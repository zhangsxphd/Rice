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drawings/charts/chart14.xml" ContentType="application/vnd.openxmlformats-officedocument.drawingml.chart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drawings/charts/chart15.xml" ContentType="application/vnd.openxmlformats-officedocument.drawingml.char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0dc9ec1bf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ed8b2d5f5b544266"/>
    <x:sheet xmlns:r="http://schemas.openxmlformats.org/officeDocument/2006/relationships" name="01_试验设计" sheetId="2" r:id="R1579efe6588d4f7c"/>
    <x:sheet xmlns:r="http://schemas.openxmlformats.org/officeDocument/2006/relationships" name="02_设备绑定" sheetId="3" r:id="Rd9fa077417674a2e"/>
    <x:sheet xmlns:r="http://schemas.openxmlformats.org/officeDocument/2006/relationships" name="10_W0_水位" sheetId="4" r:id="Rbc586e148eea4cb8"/>
    <x:sheet xmlns:r="http://schemas.openxmlformats.org/officeDocument/2006/relationships" name="11_W0_含水率" sheetId="5" r:id="Rb2d35041b6f64c35"/>
    <x:sheet xmlns:r="http://schemas.openxmlformats.org/officeDocument/2006/relationships" name="12_W0_温度" sheetId="6" r:id="R9ff4c28cef62461f"/>
    <x:sheet xmlns:r="http://schemas.openxmlformats.org/officeDocument/2006/relationships" name="13_W0_EC" sheetId="7" r:id="R48db394a340a428e"/>
    <x:sheet xmlns:r="http://schemas.openxmlformats.org/officeDocument/2006/relationships" name="14_W0_pH" sheetId="8" r:id="R60e3162c5e5c4fdb"/>
    <x:sheet xmlns:r="http://schemas.openxmlformats.org/officeDocument/2006/relationships" name="20_W1_张力" sheetId="9" r:id="R11deb78c71c34c7b"/>
    <x:sheet xmlns:r="http://schemas.openxmlformats.org/officeDocument/2006/relationships" name="21_W1_含水率" sheetId="10" r:id="R585c252094224064"/>
    <x:sheet xmlns:r="http://schemas.openxmlformats.org/officeDocument/2006/relationships" name="22_W1_温度" sheetId="11" r:id="Rc16a7101782943c9"/>
    <x:sheet xmlns:r="http://schemas.openxmlformats.org/officeDocument/2006/relationships" name="23_W1_EC" sheetId="12" r:id="R87e21da3c5b749a0"/>
    <x:sheet xmlns:r="http://schemas.openxmlformats.org/officeDocument/2006/relationships" name="24_W1_pH" sheetId="13" r:id="R62b5404253ab410a"/>
    <x:sheet xmlns:r="http://schemas.openxmlformats.org/officeDocument/2006/relationships" name="30_W2_张力" sheetId="14" r:id="R686364a41f0d442e"/>
    <x:sheet xmlns:r="http://schemas.openxmlformats.org/officeDocument/2006/relationships" name="31_W2_含水率" sheetId="15" r:id="R55d9356a4c354baf"/>
    <x:sheet xmlns:r="http://schemas.openxmlformats.org/officeDocument/2006/relationships" name="32_W2_温度" sheetId="16" r:id="R807cd0b584cb4e52"/>
    <x:sheet xmlns:r="http://schemas.openxmlformats.org/officeDocument/2006/relationships" name="33_W2_EC" sheetId="17" r:id="Ra4542ce2ef5f44bc"/>
    <x:sheet xmlns:r="http://schemas.openxmlformats.org/officeDocument/2006/relationships" name="34_W2_pH" sheetId="18" r:id="R7d68c3ec252a489a"/>
    <x:sheet xmlns:r="http://schemas.openxmlformats.org/officeDocument/2006/relationships" name="40_处理统计" sheetId="19" r:id="Rcc39126002dc4882"/>
    <x:sheet xmlns:r="http://schemas.openxmlformats.org/officeDocument/2006/relationships" name="41_数据质量" sheetId="20" r:id="R21c75ee1ddd94ee2"/>
    <x:sheet xmlns:r="http://schemas.openxmlformats.org/officeDocument/2006/relationships" name="99_原始长表" sheetId="21" r:id="R25464eb01359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0.0"/>
    <x:numFmt numFmtId="202" formatCode="0"/>
    <x:numFmt numFmtId="203" formatCode="0.00"/>
    <x:numFmt numFmtId="204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b/>
      <x:sz val="11"/>
      <x:color rgb="FF16324F"/>
      <x:name val="Carlito"/>
    </x:font>
    <x:font>
      <x:b/>
      <x:sz val="10"/>
      <x:color rgb="FF16324F"/>
      <x:name val="Carlito"/>
    </x:font>
    <x:font>
      <x:b/>
      <x:sz val="11"/>
      <x:color rgb="FF7A5A00"/>
      <x:name val="Carlito"/>
    </x:font>
    <x:font>
      <x:i/>
      <x:sz val="11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8A5F"/>
      </x:patternFill>
    </x:fill>
    <x:fill>
      <x:patternFill patternType="solid">
        <x:fgColor rgb="FFFFF7D6"/>
      </x:patternFill>
    </x:fill>
    <x:fill>
      <x:patternFill patternType="solid">
        <x:fgColor rgb="FFF5F7FA"/>
      </x:patternFill>
    </x:fill>
    <x:fill>
      <x:patternFill patternType="solid">
        <x:fgColor rgb="FF2563EB"/>
      </x:patternFill>
    </x:fill>
    <x:fill>
      <x:patternFill patternType="solid">
        <x:fgColor rgb="FFEA6A15"/>
      </x:patternFill>
    </x:fill>
  </x:fills>
  <x:borders count="10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bottom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8" xfId="0" applyNumberFormat="1" applyFont="1" applyFill="1" applyBorder="1"/>
    <x:xf numFmtId="0" fontId="2" fillId="6" borderId="3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8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4" xfId="0" applyNumberFormat="1" applyFont="1" applyFill="1" applyBorder="1"/>
    <x:xf numFmtId="0" fontId="2" fillId="6" borderId="9" xfId="0" applyNumberFormat="1" applyFont="1" applyFill="1" applyBorder="1"/>
    <x:xf numFmtId="0" fontId="2" fillId="6" borderId="5" xfId="0" applyNumberFormat="1" applyFont="1" applyFill="1" applyBorder="1"/>
    <x:xf numFmtId="0" fontId="2" fillId="6" borderId="4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horizontal="center" wrapText="1"/>
    </x:xf>
    <x:xf numFmtId="0" fontId="2" fillId="6" borderId="9" xfId="0" applyNumberFormat="1" applyFont="1" applyFill="1" applyBorder="1" applyAlignment="1">
      <x:alignment horizontal="center" wrapText="1"/>
    </x:xf>
    <x:xf numFmtId="0" fontId="2" fillId="6" borderId="5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2" fillId="6" borderId="9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8" xfId="0" applyNumberFormat="1" applyFont="1" applyFill="1" applyBorder="1"/>
    <x:xf numFmtId="0" fontId="2" fillId="7" borderId="3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wrapText="1"/>
    </x:xf>
    <x:xf numFmtId="0" fontId="2" fillId="7" borderId="8" xfId="0" applyNumberFormat="1" applyFont="1" applyFill="1" applyBorder="1" applyAlignment="1">
      <x:alignment horizontal="center" wrapText="1"/>
    </x:xf>
    <x:xf numFmtId="0" fontId="2" fillId="7" borderId="3" xfId="0" applyNumberFormat="1" applyFont="1" applyFill="1" applyBorder="1" applyAlignment="1">
      <x:alignment horizont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4" xfId="0" applyNumberFormat="1" applyFont="1" applyFill="1" applyBorder="1"/>
    <x:xf numFmtId="0" fontId="2" fillId="7" borderId="9" xfId="0" applyNumberFormat="1" applyFont="1" applyFill="1" applyBorder="1"/>
    <x:xf numFmtId="0" fontId="2" fillId="7" borderId="5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horizontal="center" wrapText="1"/>
    </x:xf>
    <x:xf numFmtId="0" fontId="2" fillId="7" borderId="9" xfId="0" applyNumberFormat="1" applyFont="1" applyFill="1" applyBorder="1" applyAlignment="1">
      <x:alignment horizontal="center" wrapText="1"/>
    </x:xf>
    <x:xf numFmtId="0" fontId="2" fillId="7" borderId="5" xfId="0" applyNumberFormat="1" applyFont="1" applyFill="1" applyBorder="1" applyAlignment="1">
      <x:alignment horizont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204" fontId="3" fillId="0" borderId="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6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8"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ont>
        <x:color rgb="FFDC2626"/>
      </x:font>
      <x:fill>
        <x:patternFill patternType="solid">
          <x:bgColor rgb="FFFDECEC"/>
        </x:patternFill>
      </x:fill>
    </x:dxf>
    <x:dxf>
      <x:font>
        <x:color rgb="FFDC2626"/>
      </x:font>
      <x:fill>
        <x:patternFill patternType="solid">
          <x:bgColor rgb="FFFDECEC"/>
        </x:patternFill>
      </x:fill>
    </x:dxf>
    <x:dxf>
      <x:font>
        <x:b/>
        <x:color rgb="FFDC2626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34df9c9be4b39" /><Relationship Type="http://schemas.openxmlformats.org/officeDocument/2006/relationships/theme" Target="/xl/theme/theme1.xml" Id="R23bddfa27dfa413e" /><Relationship Type="http://schemas.openxmlformats.org/officeDocument/2006/relationships/sharedStrings" Target="/xl/sharedStrings.xml" Id="Re41b087a776845d7" /><Relationship Type="http://schemas.openxmlformats.org/officeDocument/2006/relationships/worksheet" Target="/xl/worksheets/sheet1.xml" Id="Red8b2d5f5b544266" /><Relationship Type="http://schemas.openxmlformats.org/officeDocument/2006/relationships/worksheet" Target="/xl/worksheets/sheet2.xml" Id="R1579efe6588d4f7c" /><Relationship Type="http://schemas.openxmlformats.org/officeDocument/2006/relationships/worksheet" Target="/xl/worksheets/sheet3.xml" Id="Rd9fa077417674a2e" /><Relationship Type="http://schemas.openxmlformats.org/officeDocument/2006/relationships/worksheet" Target="/xl/worksheets/sheet4.xml" Id="Rbc586e148eea4cb8" /><Relationship Type="http://schemas.openxmlformats.org/officeDocument/2006/relationships/worksheet" Target="/xl/worksheets/sheet5.xml" Id="Rb2d35041b6f64c35" /><Relationship Type="http://schemas.openxmlformats.org/officeDocument/2006/relationships/worksheet" Target="/xl/worksheets/sheet6.xml" Id="R9ff4c28cef62461f" /><Relationship Type="http://schemas.openxmlformats.org/officeDocument/2006/relationships/worksheet" Target="/xl/worksheets/sheet7.xml" Id="R48db394a340a428e" /><Relationship Type="http://schemas.openxmlformats.org/officeDocument/2006/relationships/worksheet" Target="/xl/worksheets/sheet8.xml" Id="R60e3162c5e5c4fdb" /><Relationship Type="http://schemas.openxmlformats.org/officeDocument/2006/relationships/worksheet" Target="/xl/worksheets/sheet9.xml" Id="R11deb78c71c34c7b" /><Relationship Type="http://schemas.openxmlformats.org/officeDocument/2006/relationships/worksheet" Target="/xl/worksheets/sheet10.xml" Id="R585c252094224064" /><Relationship Type="http://schemas.openxmlformats.org/officeDocument/2006/relationships/worksheet" Target="/xl/worksheets/sheet11.xml" Id="Rc16a7101782943c9" /><Relationship Type="http://schemas.openxmlformats.org/officeDocument/2006/relationships/worksheet" Target="/xl/worksheets/sheet12.xml" Id="R87e21da3c5b749a0" /><Relationship Type="http://schemas.openxmlformats.org/officeDocument/2006/relationships/worksheet" Target="/xl/worksheets/sheet13.xml" Id="R62b5404253ab410a" /><Relationship Type="http://schemas.openxmlformats.org/officeDocument/2006/relationships/worksheet" Target="/xl/worksheets/sheet14.xml" Id="R686364a41f0d442e" /><Relationship Type="http://schemas.openxmlformats.org/officeDocument/2006/relationships/worksheet" Target="/xl/worksheets/sheet15.xml" Id="R55d9356a4c354baf" /><Relationship Type="http://schemas.openxmlformats.org/officeDocument/2006/relationships/worksheet" Target="/xl/worksheets/sheet16.xml" Id="R807cd0b584cb4e52" /><Relationship Type="http://schemas.openxmlformats.org/officeDocument/2006/relationships/worksheet" Target="/xl/worksheets/sheet17.xml" Id="Ra4542ce2ef5f44bc" /><Relationship Type="http://schemas.openxmlformats.org/officeDocument/2006/relationships/worksheet" Target="/xl/worksheets/sheet18.xml" Id="R7d68c3ec252a489a" /><Relationship Type="http://schemas.openxmlformats.org/officeDocument/2006/relationships/worksheet" Target="/xl/worksheets/sheet19.xml" Id="Rcc39126002dc4882" /><Relationship Type="http://schemas.openxmlformats.org/officeDocument/2006/relationships/worksheet" Target="/xl/worksheets/sheet20.xml" Id="R21c75ee1ddd94ee2" /><Relationship Type="http://schemas.openxmlformats.org/officeDocument/2006/relationships/worksheet" Target="/xl/worksheets/sheet21.xml" Id="R25464eb013594f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d6d4b4a4f04df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a2675005c054f2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f3b3df7812e401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3ff93be6973441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6d5b159a645473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b9782d32d3b49b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b25bc643bc541f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14ff37ea7c4482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7ba7247a22114c23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31a0e2d6205a4b3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e7067cd785a54961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beaf28174e7e4918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3ae31a20efbe404a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d4cf253d44df4624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1fa132cbcfa14a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W0处理 水位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B1-W0-V1（P01）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B1-W0-V2（P02）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B2-W0-V1（P07）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B2-W0-V2（P08）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B3-W0-V1（P13）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B3-W0-V2（P14）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B4-W0-V1（P19）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B4-W0-V2（P20）</c:v>
          </c:tx>
          <c:cat>
            <c:strRef>
              <c:f>'10_W0_水位'!$A$5:$A$53</c:f>
              <c:strCache>
                <c:ptCount val="0"/>
              </c:strCache>
            </c:strRef>
          </c:cat>
          <c:val>
            <c:numRef>
              <c:f>'10_W0_水位'!$I$5:$I$53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W0处理 土壤含水率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B1-W0-V1（P01）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B1-W0-V2（P02）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B2-W0-V1（P07）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B2-W0-V2（P08）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B3-W0-V1（P13）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B3-W0-V2（P14）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B4-W0-V1（P19）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B4-W0-V2（P20）</c:v>
          </c:tx>
          <c:cat>
            <c:strRef>
              <c:f>'11_W0_含水率'!$A$5:$A$53</c:f>
              <c:strCache>
                <c:ptCount val="0"/>
              </c:strCache>
            </c:strRef>
          </c:cat>
          <c:val>
            <c:numRef>
              <c:f>'11_W0_含水率'!$I$5:$I$53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W0处理 土壤温度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B1-W0-V1（P01）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B1-W0-V2（P02）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B2-W0-V1（P07）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B2-W0-V2（P08）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B3-W0-V1（P13）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B3-W0-V2（P14）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B4-W0-V1（P19）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B4-W0-V2（P20）</c:v>
          </c:tx>
          <c:cat>
            <c:strRef>
              <c:f>'12_W0_温度'!$A$5:$A$53</c:f>
              <c:strCache>
                <c:ptCount val="0"/>
              </c:strCache>
            </c:strRef>
          </c:cat>
          <c:val>
            <c:numRef>
              <c:f>'12_W0_温度'!$I$5:$I$53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W0处理 土壤EC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B1-W0-V1（P01）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'13_W0_EC'!$B$5:$B$53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B1-W0-V2（P02）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'13_W0_EC'!$C$5:$C$53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B2-W0-V1（P07）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'13_W0_EC'!$D$5:$D$53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B2-W0-V2（P08）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'13_W0_EC'!$E$5:$E$53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B3-W0-V1（P13）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'13_W0_EC'!$F$5:$F$53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B3-W0-V2（P14）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'13_W0_EC'!$G$5:$G$53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B4-W0-V1（P19）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'13_W0_EC'!$H$5:$H$53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B4-W0-V2（P20）</c:v>
          </c:tx>
          <c:cat>
            <c:strRef>
              <c:f>'13_W0_EC'!$A$5:$A$53</c:f>
              <c:strCache>
                <c:ptCount val="0"/>
              </c:strCache>
            </c:strRef>
          </c:cat>
          <c:val>
            <c:numRef>
              <c:f>'13_W0_EC'!$I$5:$I$53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W0处理 土壤pH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B1-W0-V1（P01）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'14_W0_pH'!$B$5:$B$53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B1-W0-V2（P02）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'14_W0_pH'!$C$5:$C$53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B2-W0-V1（P07）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'14_W0_pH'!$D$5:$D$53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B2-W0-V2（P08）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'14_W0_pH'!$E$5:$E$53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B3-W0-V1（P13）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'14_W0_pH'!$F$5:$F$53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B3-W0-V2（P14）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'14_W0_pH'!$G$5:$G$53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B4-W0-V1（P19）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'14_W0_pH'!$H$5:$H$53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B4-W0-V2（P20）</c:v>
          </c:tx>
          <c:cat>
            <c:strRef>
              <c:f>'14_W0_pH'!$A$5:$A$53</c:f>
              <c:strCache>
                <c:ptCount val="0"/>
              </c:strCache>
            </c:strRef>
          </c:cat>
          <c:val>
            <c:numRef>
              <c:f>'14_W0_pH'!$I$5:$I$53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W1处理 土壤张力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B1-W1-V1（P03）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B1-W1-V2（P04）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B2-W1-V1（P09）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B2-W1-V2（P10）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B3-W1-V1（P15）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B3-W1-V2（P16）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B4-W1-V1（P21）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B4-W1-V2（P22）</c:v>
          </c:tx>
          <c:cat>
            <c:strRef>
              <c:f>'20_W1_张力'!$A$5:$A$53</c:f>
              <c:strCache>
                <c:ptCount val="0"/>
              </c:strCache>
            </c:strRef>
          </c:cat>
          <c:val>
            <c:numRef>
              <c:f>'20_W1_张力'!$I$5:$I$53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W1处理 土壤含水率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B1-W1-V1（P03）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B1-W1-V2（P04）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B2-W1-V1（P09）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B2-W1-V2（P10）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B3-W1-V1（P15）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B3-W1-V2（P16）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B4-W1-V1（P21）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B4-W1-V2（P22）</c:v>
          </c:tx>
          <c:cat>
            <c:strRef>
              <c:f>'21_W1_含水率'!$A$5:$A$53</c:f>
              <c:strCache>
                <c:ptCount val="0"/>
              </c:strCache>
            </c:strRef>
          </c:cat>
          <c:val>
            <c:numRef>
              <c:f>'21_W1_含水率'!$I$5:$I$53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W1处理 土壤温度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B1-W1-V1（P03）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B1-W1-V2（P04）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B2-W1-V1（P09）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B2-W1-V2（P10）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B3-W1-V1（P15）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B3-W1-V2（P16）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B4-W1-V1（P21）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B4-W1-V2（P22）</c:v>
          </c:tx>
          <c:cat>
            <c:strRef>
              <c:f>'22_W1_温度'!$A$5:$A$53</c:f>
              <c:strCache>
                <c:ptCount val="0"/>
              </c:strCache>
            </c:strRef>
          </c:cat>
          <c:val>
            <c:numRef>
              <c:f>'22_W1_温度'!$I$5:$I$53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W1处理 土壤EC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B1-W1-V1（P03）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'23_W1_EC'!$B$5:$B$53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B1-W1-V2（P04）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'23_W1_EC'!$C$5:$C$53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B2-W1-V1（P09）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'23_W1_EC'!$D$5:$D$53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B2-W1-V2（P10）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'23_W1_EC'!$E$5:$E$53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B3-W1-V1（P15）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'23_W1_EC'!$F$5:$F$53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B3-W1-V2（P16）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'23_W1_EC'!$G$5:$G$53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B4-W1-V1（P21）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'23_W1_EC'!$H$5:$H$53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B4-W1-V2（P22）</c:v>
          </c:tx>
          <c:cat>
            <c:strRef>
              <c:f>'23_W1_EC'!$A$5:$A$53</c:f>
              <c:strCache>
                <c:ptCount val="0"/>
              </c:strCache>
            </c:strRef>
          </c:cat>
          <c:val>
            <c:numRef>
              <c:f>'23_W1_EC'!$I$5:$I$53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W1处理 土壤pH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B1-W1-V1（P03）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'24_W1_pH'!$B$5:$B$53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B1-W1-V2（P04）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'24_W1_pH'!$C$5:$C$53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B2-W1-V1（P09）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'24_W1_pH'!$D$5:$D$53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B2-W1-V2（P10）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'24_W1_pH'!$E$5:$E$53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B3-W1-V1（P15）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'24_W1_pH'!$F$5:$F$53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B3-W1-V2（P16）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'24_W1_pH'!$G$5:$G$53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B4-W1-V1（P21）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'24_W1_pH'!$H$5:$H$53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B4-W1-V2（P22）</c:v>
          </c:tx>
          <c:cat>
            <c:strRef>
              <c:f>'24_W1_pH'!$A$5:$A$53</c:f>
              <c:strCache>
                <c:ptCount val="0"/>
              </c:strCache>
            </c:strRef>
          </c:cat>
          <c:val>
            <c:numRef>
              <c:f>'24_W1_pH'!$I$5:$I$53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W2处理 土壤张力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B1-W2-V1（P05）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B1-W2-V2（P06）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B2-W2-V1（P11）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B2-W2-V2（P12）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B3-W2-V1（P17）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B3-W2-V2（P18）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B4-W2-V1（P23）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B4-W2-V2（P24）</c:v>
          </c:tx>
          <c:cat>
            <c:strRef>
              <c:f>'30_W2_张力'!$A$5:$A$53</c:f>
              <c:strCache>
                <c:ptCount val="0"/>
              </c:strCache>
            </c:strRef>
          </c:cat>
          <c:val>
            <c:numRef>
              <c:f>'30_W2_张力'!$I$5:$I$53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W2处理 土壤含水率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B1-W2-V1（P05）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B1-W2-V2（P06）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B2-W2-V1（P11）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B2-W2-V2（P12）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B3-W2-V1（P17）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B3-W2-V2（P18）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B4-W2-V1（P23）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B4-W2-V2（P24）</c:v>
          </c:tx>
          <c:cat>
            <c:strRef>
              <c:f>'31_W2_含水率'!$A$5:$A$53</c:f>
              <c:strCache>
                <c:ptCount val="0"/>
              </c:strCache>
            </c:strRef>
          </c:cat>
          <c:val>
            <c:numRef>
              <c:f>'31_W2_含水率'!$I$5:$I$53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W2处理 土壤温度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B1-W2-V1（P05）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'32_W2_温度'!$B$5:$B$53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B1-W2-V2（P06）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'32_W2_温度'!$C$5:$C$53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B2-W2-V1（P11）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'32_W2_温度'!$D$5:$D$53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B2-W2-V2（P12）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'32_W2_温度'!$E$5:$E$53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B3-W2-V1（P17）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'32_W2_温度'!$F$5:$F$53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B3-W2-V2（P18）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'32_W2_温度'!$G$5:$G$53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B4-W2-V1（P23）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'32_W2_温度'!$H$5:$H$53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B4-W2-V2（P24）</c:v>
          </c:tx>
          <c:cat>
            <c:strRef>
              <c:f>'32_W2_温度'!$A$5:$A$53</c:f>
              <c:strCache>
                <c:ptCount val="0"/>
              </c:strCache>
            </c:strRef>
          </c:cat>
          <c:val>
            <c:numRef>
              <c:f>'32_W2_温度'!$I$5:$I$53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W2处理 土壤EC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B1-W2-V1（P05）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'33_W2_EC'!$B$5:$B$53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B1-W2-V2（P06）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'33_W2_EC'!$C$5:$C$53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B2-W2-V1（P11）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'33_W2_EC'!$D$5:$D$53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B2-W2-V2（P12）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'33_W2_EC'!$E$5:$E$53</c:f>
              <c:numCache>
                <c:formatCode>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B3-W2-V1（P17）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'33_W2_EC'!$F$5:$F$53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B3-W2-V2（P18）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'33_W2_EC'!$G$5:$G$53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B4-W2-V1（P23）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'33_W2_EC'!$H$5:$H$53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B4-W2-V2（P24）</c:v>
          </c:tx>
          <c:cat>
            <c:strRef>
              <c:f>'33_W2_EC'!$A$5:$A$53</c:f>
              <c:strCache>
                <c:ptCount val="0"/>
              </c:strCache>
            </c:strRef>
          </c:cat>
          <c:val>
            <c:numRef>
              <c:f>'33_W2_EC'!$I$5:$I$53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W2处理 土壤pH 时间变化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B1-W2-V1（P05）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'34_W2_pH'!$B$5:$B$53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B1-W2-V2（P06）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'34_W2_pH'!$C$5:$C$53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B2-W2-V1（P11）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'34_W2_pH'!$D$5:$D$53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B2-W2-V2（P12）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'34_W2_pH'!$E$5:$E$53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B3-W2-V1（P17）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'34_W2_pH'!$F$5:$F$53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B3-W2-V2（P18）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'34_W2_pH'!$G$5:$G$53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B4-W2-V1（P23）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'34_W2_pH'!$H$5:$H$53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B4-W2-V2（P24）</c:v>
          </c:tx>
          <c:cat>
            <c:strRef>
              <c:f>'34_W2_pH'!$A$5:$A$53</c:f>
              <c:strCache>
                <c:ptCount val="0"/>
              </c:strCache>
            </c:strRef>
          </c:cat>
          <c:val>
            <c:numRef>
              <c:f>'34_W2_pH'!$I$5:$I$53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d6d4b4a4f04df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675005c054f2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3b3df7812e401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ff93be697344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d5b159a645473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782d32d3b49ba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25bc643bc541f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4ff37ea7c4482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a7247a22114c2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a0e2d6205a4b3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067cd785a5496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af28174e7e49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e31a20efbe404a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f253d44df462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a132cbcfa14a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signTable" displayName="DesignTable" ref="A3:G27" headerRowCount="1">
  <x:tableColumns count="7">
    <x:tableColumn id="1" name="小区编号"/>
    <x:tableColumn id="2" name="试验编号"/>
    <x:tableColumn id="3" name="区组"/>
    <x:tableColumn id="4" name="水分处理"/>
    <x:tableColumn id="5" name="品种"/>
    <x:tableColumn id="6" name="传感器模式"/>
    <x:tableColumn id="7" name="监测指标"/>
  </x:tableColumns>
  <x:tableStyleInfo name="TableStyleMedium2" showRowStripes="1"/>
</x:table>
</file>

<file path=xl/tables/table2.xml><?xml version="1.0" encoding="utf-8"?>
<x:table xmlns:x="http://schemas.openxmlformats.org/spreadsheetml/2006/main" id="2" name="BindingTable" displayName="BindingTable" ref="A3:H27" headerRowCount="1">
  <x:tableColumns count="8">
    <x:tableColumn id="1" name="小区编号"/>
    <x:tableColumn id="2" name="试验编号"/>
    <x:tableColumn id="3" name="IMEI"/>
    <x:tableColumn id="4" name="传感器模式"/>
    <x:tableColumn id="5" name="首次采集时间"/>
    <x:tableColumn id="6" name="最后采集时间"/>
    <x:tableColumn id="7" name="记录数"/>
    <x:tableColumn id="8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TreatmentStatsTable" displayName="TreatmentStatsTable" ref="A3:J1473" headerRowCount="1">
  <x:tableColumns count="10">
    <x:tableColumn id="1" name="采集时间"/>
    <x:tableColumn id="2" name="指标"/>
    <x:tableColumn id="3" name="水分处理"/>
    <x:tableColumn id="4" name="品种"/>
    <x:tableColumn id="5" name="有效重复数 n"/>
    <x:tableColumn id="6" name="均值"/>
    <x:tableColumn id="7" name="标准差"/>
    <x:tableColumn id="8" name="最小值"/>
    <x:tableColumn id="9" name="最大值"/>
    <x:tableColumn id="10" name="单位"/>
  </x:tableColumns>
  <x:tableStyleInfo name="TableStyleMedium2" showRowStripes="1"/>
</x:table>
</file>

<file path=xl/tables/table4.xml><?xml version="1.0" encoding="utf-8"?>
<x:table xmlns:x="http://schemas.openxmlformats.org/spreadsheetml/2006/main" id="4" name="QualityTable" displayName="QualityTable" ref="A3:W27" headerRowCount="1">
  <x:tableColumns count="23">
    <x:tableColumn id="1" name="小区编号"/>
    <x:tableColumn id="2" name="试验编号"/>
    <x:tableColumn id="3" name="水分处理"/>
    <x:tableColumn id="4" name="品种"/>
    <x:tableColumn id="5" name="IMEI"/>
    <x:tableColumn id="6" name="应有记录数"/>
    <x:tableColumn id="7" name="实际记录数"/>
    <x:tableColumn id="8" name="缺失记录数"/>
    <x:tableColumn id="9" name="重复记录数"/>
    <x:tableColumn id="10" name="最大时间间隔(min)"/>
    <x:tableColumn id="11" name="水位有效数"/>
    <x:tableColumn id="12" name="张力有效数"/>
    <x:tableColumn id="13" name="含水率有效数"/>
    <x:tableColumn id="14" name="温度有效数"/>
    <x:tableColumn id="15" name="EC有效数"/>
    <x:tableColumn id="16" name="pH有效数"/>
    <x:tableColumn id="17" name="partial数量"/>
    <x:tableColumn id="18" name="error数量"/>
    <x:tableColumn id="19" name="平均接收延迟(s)"/>
    <x:tableColumn id="20" name="最大接收延迟(s)"/>
    <x:tableColumn id="21" name="首次采集时间"/>
    <x:tableColumn id="22" name="最后采集时间"/>
    <x:tableColumn id="23" name="综合结论"/>
  </x:tableColumns>
  <x:tableStyleInfo name="TableStyleMedium2" showRowStripes="1"/>
</x:table>
</file>

<file path=xl/tables/table5.xml><?xml version="1.0" encoding="utf-8"?>
<x:table xmlns:x="http://schemas.openxmlformats.org/spreadsheetml/2006/main" id="5" name="RawReadingsTable" displayName="RawReadingsTable" ref="A3:W1179" headerRowCount="1">
  <x:tableColumns count="23">
    <x:tableColumn id="1" name="采集时间"/>
    <x:tableColumn id="2" name="服务器接收时间"/>
    <x:tableColumn id="3" name="小区编号"/>
    <x:tableColumn id="4" name="试验编号"/>
    <x:tableColumn id="5" name="区组"/>
    <x:tableColumn id="6" name="水分处理"/>
    <x:tableColumn id="7" name="品种"/>
    <x:tableColumn id="8" name="传感器模式"/>
    <x:tableColumn id="9" name="IMEI"/>
    <x:tableColumn id="10" name="水位_mm"/>
    <x:tableColumn id="11" name="张力_kPa"/>
    <x:tableColumn id="12" name="含水率_pct"/>
    <x:tableColumn id="13" name="温度_degC"/>
    <x:tableColumn id="14" name="EC_us_cm"/>
    <x:tableColumn id="15" name="pH"/>
    <x:tableColumn id="16" name="电池电压_V"/>
    <x:tableColumn id="17" name="CSQ"/>
    <x:tableColumn id="18" name="水位状态"/>
    <x:tableColumn id="19" name="张力状态"/>
    <x:tableColumn id="20" name="土壤状态"/>
    <x:tableColumn id="21" name="周期状态"/>
    <x:tableColumn id="22" name="载荷状态"/>
    <x:tableColumn id="23" name="原始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a6b10f86149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c01eef272341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d9e8e5abd4345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04b74c5ee27f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3464211b145f42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e0ccb0d42bfa4c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fe2fc6fb236e4a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33c5c9cb88754e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ee5cd6a4ca224c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ad1ca0aceb3d45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9.xml" Id="R9643b907de0041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0.xml" Id="R7b6bd91634034f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1.xml" Id="R497226ced210422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2.xml" Id="Recb79d25b6cc4e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3.xml" Id="R7300f1d9aa7e4a5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4.xml" Id="R18753346bc8c41a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5.xml" Id="Reb6f935c117c4b6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.xml" Id="Rfea7b99777184c9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.xml" Id="Rc6e20418954f40a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5.xml" Id="R2af158b8464f495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8" t="str">
        <x:v>水稻试验科研分析导出说明</x:v>
      </x:c>
      <x:c r="B1" s="58"/>
      <x:c r="C1" s="58"/>
      <x:c r="D1" s="58"/>
      <x:c r="E1" s="58"/>
      <x:c r="F1" s="58"/>
      <x:c r="G1" s="58"/>
      <x:c r="H1" s="58"/>
    </x:row>
    <x:row r="2">
      <x:c r="A2" s="59"/>
      <x:c r="B2" s="59"/>
      <x:c r="C2" s="59"/>
      <x:c r="D2" s="59"/>
      <x:c r="E2" s="59"/>
      <x:c r="F2" s="59"/>
      <x:c r="G2" s="59"/>
      <x:c r="H2" s="59"/>
    </x:row>
    <x:row r="3" ht="26" customHeight="1">
      <x:c r="A3" s="38" t="str">
        <x:v>项目</x:v>
      </x:c>
      <x:c r="B3" s="19" t="str">
        <x:v>内容</x:v>
      </x:c>
      <x:c r="C3" s="59"/>
      <x:c r="D3" s="18" t="str">
        <x:v>数据规则</x:v>
      </x:c>
      <x:c r="E3" s="47"/>
      <x:c r="F3" s="47"/>
      <x:c r="G3" s="47"/>
      <x:c r="H3" s="19"/>
    </x:row>
    <x:row r="4">
      <x:c r="A4" s="60" t="str">
        <x:v>数据来源</x:v>
      </x:c>
      <x:c r="B4" s="61" t="str">
        <x:v>rice-readings(1).csv</x:v>
      </x:c>
      <x:c r="C4" s="59"/>
      <x:c r="D4" s="61" t="str">
        <x:v>1</x:v>
      </x:c>
      <x:c r="E4" s="61" t="str">
        <x:v>空白单元格</x:v>
      </x:c>
      <x:c r="F4" s="61" t="str">
        <x:v>表示该数据缺失；不使用0、--或NaN替代</x:v>
      </x:c>
      <x:c r="G4" s="61"/>
      <x:c r="H4" s="61"/>
    </x:row>
    <x:row r="5">
      <x:c r="A5" s="60" t="str">
        <x:v>数据记录数</x:v>
      </x:c>
      <x:c r="B5" s="61" t="n">
        <x:v>1176</x:v>
      </x:c>
      <x:c r="C5" s="59"/>
      <x:c r="D5" s="61" t="str">
        <x:v>2</x:v>
      </x:c>
      <x:c r="E5" s="61" t="str">
        <x:v>未配置指标</x:v>
      </x:c>
      <x:c r="F5" s="61" t="str">
        <x:v>W0不配置张力；W1/W2不配置水位，不计为缺测</x:v>
      </x:c>
      <x:c r="G5" s="61"/>
      <x:c r="H5" s="61"/>
    </x:row>
    <x:row r="6">
      <x:c r="A6" s="60" t="str">
        <x:v>小区数量</x:v>
      </x:c>
      <x:c r="B6" s="61" t="n">
        <x:v>24</x:v>
      </x:c>
      <x:c r="C6" s="59"/>
      <x:c r="D6" s="61" t="str">
        <x:v>3</x:v>
      </x:c>
      <x:c r="E6" s="61" t="str">
        <x:v>水位</x:v>
      </x:c>
      <x:c r="F6" s="61" t="str">
        <x:v>mm，1位小数</x:v>
      </x:c>
      <x:c r="G6" s="61"/>
      <x:c r="H6" s="61"/>
    </x:row>
    <x:row r="7">
      <x:c r="A7" s="60" t="str">
        <x:v>统一时间点数</x:v>
      </x:c>
      <x:c r="B7" s="61" t="n">
        <x:v>49</x:v>
      </x:c>
      <x:c r="C7" s="59"/>
      <x:c r="D7" s="61" t="str">
        <x:v>4</x:v>
      </x:c>
      <x:c r="E7" s="61" t="str">
        <x:v>张力</x:v>
      </x:c>
      <x:c r="F7" s="61" t="str">
        <x:v>kPa，负值保留为真正数值，不再带英文单引号</x:v>
      </x:c>
      <x:c r="G7" s="61"/>
      <x:c r="H7" s="61"/>
    </x:row>
    <x:row r="8">
      <x:c r="A8" s="60" t="str">
        <x:v>采集间隔</x:v>
      </x:c>
      <x:c r="B8" s="61" t="str">
        <x:v>5 分钟</x:v>
      </x:c>
      <x:c r="C8" s="59"/>
      <x:c r="D8" s="61" t="str">
        <x:v>5</x:v>
      </x:c>
      <x:c r="E8" s="61" t="str">
        <x:v>含水率/温度/EC/pH</x:v>
      </x:c>
      <x:c r="F8" s="61" t="str">
        <x:v>% / ℃ / μS·cm⁻¹ / 无量纲</x:v>
      </x:c>
      <x:c r="G8" s="61"/>
      <x:c r="H8" s="61"/>
    </x:row>
    <x:row r="9">
      <x:c r="A9" s="60" t="str">
        <x:v>时间范围（北京时间）</x:v>
      </x:c>
      <x:c r="B9" s="61" t="str">
        <x:v>2026-08-06 19:15:53 至 2026-08-06 23:15:53</x:v>
      </x:c>
      <x:c r="C9" s="59"/>
      <x:c r="D9" s="61" t="str">
        <x:v>6</x:v>
      </x:c>
      <x:c r="E9" s="61" t="str">
        <x:v>电池</x:v>
      </x:c>
      <x:c r="F9" s="61" t="str">
        <x:v>由mV换算为V，保留3位小数</x:v>
      </x:c>
      <x:c r="G9" s="61"/>
      <x:c r="H9" s="61"/>
    </x:row>
    <x:row r="10">
      <x:c r="A10" s="60" t="str">
        <x:v>时区</x:v>
      </x:c>
      <x:c r="B10" s="61" t="str">
        <x:v>Asia/Shanghai（Excel中已转为北京时间）</x:v>
      </x:c>
      <x:c r="C10" s="59"/>
      <x:c r="D10" s="62" t="str">
        <x:v>7</x:v>
      </x:c>
      <x:c r="E10" s="62" t="str">
        <x:v>信号</x:v>
      </x:c>
      <x:c r="F10" s="62" t="str">
        <x:v>保留CSQ整数，不错误标记为dBm</x:v>
      </x:c>
      <x:c r="G10" s="62"/>
      <x:c r="H10" s="62"/>
    </x:row>
    <x:row r="11">
      <x:c r="A11" s="60" t="str">
        <x:v>工作簿用途</x:v>
      </x:c>
      <x:c r="B11" s="61" t="str">
        <x:v>按处理、指标和时间重排，便于曲线分析、处理比较与数据质量检查</x:v>
      </x:c>
      <x:c r="C11" s="59"/>
      <x:c r="D11" s="59"/>
      <x:c r="E11" s="59"/>
      <x:c r="F11" s="59"/>
      <x:c r="G11" s="59"/>
      <x:c r="H11" s="59"/>
    </x:row>
    <x:row r="12">
      <x:c r="A12" s="63" t="str">
        <x:v>原始数据保留</x:v>
      </x:c>
      <x:c r="B12" s="62" t="str">
        <x:v>99_原始长表保留逐条记录及原始JSON</x:v>
      </x:c>
      <x:c r="C12" s="59"/>
      <x:c r="D12" s="59"/>
      <x:c r="E12" s="59"/>
      <x:c r="F12" s="59"/>
      <x:c r="G12" s="59"/>
      <x:c r="H12" s="59"/>
    </x:row>
    <x:row r="13">
      <x:c r="A13" s="59"/>
      <x:c r="B13" s="59"/>
      <x:c r="C13" s="59"/>
      <x:c r="D13" s="59"/>
      <x:c r="E13" s="59"/>
      <x:c r="F13" s="59"/>
      <x:c r="G13" s="59"/>
      <x:c r="H13" s="59"/>
    </x:row>
    <x:row r="14">
      <x:c r="A14" s="64" t="str">
        <x:v>本次文件检查摘要</x:v>
      </x:c>
      <x:c r="B14" s="64"/>
      <x:c r="C14" s="64"/>
      <x:c r="D14" s="64"/>
      <x:c r="E14" s="64"/>
      <x:c r="F14" s="64"/>
      <x:c r="G14" s="64"/>
      <x:c r="H14" s="64"/>
    </x:row>
    <x:row r="15" ht="26" customHeight="1">
      <x:c r="A15" s="18" t="str">
        <x:v>检查项</x:v>
      </x:c>
      <x:c r="B15" s="47" t="str">
        <x:v>结果</x:v>
      </x:c>
      <x:c r="C15" s="47" t="str">
        <x:v>说明</x:v>
      </x:c>
      <x:c r="D15" s="47"/>
      <x:c r="E15" s="47"/>
      <x:c r="F15" s="47"/>
      <x:c r="G15" s="47"/>
      <x:c r="H15" s="19"/>
    </x:row>
    <x:row r="16">
      <x:c r="A16" s="61" t="str">
        <x:v>张力文本问题</x:v>
      </x:c>
      <x:c r="B16" s="61" t="str">
        <x:v>已修复</x:v>
      </x:c>
      <x:c r="C16" s="61" t="str">
        <x:v>原CSV中的 '-26.4 等文本已转换为数值 -26.4</x:v>
      </x:c>
      <x:c r="D16" s="61"/>
      <x:c r="E16" s="61"/>
      <x:c r="F16" s="61"/>
      <x:c r="G16" s="61"/>
      <x:c r="H16" s="61"/>
    </x:row>
    <x:row r="17">
      <x:c r="A17" s="61" t="str">
        <x:v>重复记录</x:v>
      </x:c>
      <x:c r="B17" s="61" t="str">
        <x:v>0</x:v>
      </x:c>
      <x:c r="C17" s="61" t="str">
        <x:v>按“小区编号+采集时间”检查，无重复</x:v>
      </x:c>
      <x:c r="D17" s="61"/>
      <x:c r="E17" s="61"/>
      <x:c r="F17" s="61"/>
      <x:c r="G17" s="61"/>
      <x:c r="H17" s="61"/>
    </x:row>
    <x:row r="18">
      <x:c r="A18" s="61" t="str">
        <x:v>W2张力缺失</x:v>
      </x:c>
      <x:c r="B18" s="61" t="n">
        <x:v>1</x:v>
      </x:c>
      <x:c r="C18" s="61" t="str">
        <x:v>P11，2026-08-06 23:15:53</x:v>
      </x:c>
      <x:c r="D18" s="61"/>
      <x:c r="E18" s="61"/>
      <x:c r="F18" s="61"/>
      <x:c r="G18" s="61"/>
      <x:c r="H18" s="61"/>
    </x:row>
    <x:row r="19">
      <x:c r="A19" s="62" t="str">
        <x:v>任务版本</x:v>
      </x:c>
      <x:c r="B19" s="62" t="str">
        <x:v>rice_tension_soil_demo；rice_w0_water_soil_demo</x:v>
      </x:c>
      <x:c r="C19" s="62" t="str">
        <x:v>当前原始JSON包含demo标识，正式试验前应确认是否需清除测试数据</x:v>
      </x:c>
      <x:c r="D19" s="62"/>
      <x:c r="E19" s="62"/>
      <x:c r="F19" s="62"/>
      <x:c r="G19" s="62"/>
      <x:c r="H19" s="62"/>
    </x:row>
    <x:row r="20">
      <x:c r="A20" s="59"/>
      <x:c r="B20" s="59"/>
      <x:c r="C20" s="59"/>
      <x:c r="D20" s="59"/>
      <x:c r="E20" s="59"/>
      <x:c r="F20" s="59"/>
      <x:c r="G20" s="59"/>
      <x:c r="H20" s="59"/>
    </x:row>
    <x:row r="21">
      <x:c r="A21" s="59"/>
      <x:c r="B21" s="59"/>
      <x:c r="C21" s="59"/>
      <x:c r="D21" s="59"/>
      <x:c r="E21" s="59"/>
      <x:c r="F21" s="59"/>
      <x:c r="G21" s="59"/>
      <x:c r="H21" s="59"/>
    </x:row>
    <x:row r="22">
      <x:c r="A22" s="59"/>
      <x:c r="B22" s="59"/>
      <x:c r="C22" s="59"/>
      <x:c r="D22" s="59"/>
      <x:c r="E22" s="59"/>
      <x:c r="F22" s="59"/>
      <x:c r="G22" s="59"/>
      <x:c r="H22" s="59"/>
    </x:row>
  </x:sheetData>
  <x:mergeCells>
    <x:mergeCell ref="A1:H1"/>
    <x:mergeCell ref="D3:H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2" hidden="0" customWidth="1"/>
    <x:col min="5" max="5" width="10" hidden="0" customWidth="1"/>
    <x:col min="6" max="6" width="18" hidden="0" customWidth="1"/>
    <x:col min="7" max="7" width="38" hidden="0" customWidth="1"/>
  </x:cols>
  <x:sheetData>
    <x:row r="1" ht="30" customHeight="1">
      <x:c r="A1" s="5" t="str">
        <x:v>24个小区试验设计与传感器配置</x:v>
      </x:c>
      <x:c r="B1" s="5"/>
      <x:c r="C1" s="5"/>
      <x:c r="D1" s="5"/>
      <x:c r="E1" s="5"/>
      <x:c r="F1" s="5"/>
      <x:c r="G1" s="5"/>
    </x:row>
    <x:row r="3" ht="26" customHeight="1">
      <x:c r="A3" s="18" t="str">
        <x:v>小区编号</x:v>
      </x:c>
      <x:c r="B3" s="47" t="str">
        <x:v>试验编号</x:v>
      </x:c>
      <x:c r="C3" s="47" t="str">
        <x:v>区组</x:v>
      </x:c>
      <x:c r="D3" s="47" t="str">
        <x:v>水分处理</x:v>
      </x:c>
      <x:c r="E3" s="47" t="str">
        <x:v>品种</x:v>
      </x:c>
      <x:c r="F3" s="47" t="str">
        <x:v>传感器模式</x:v>
      </x:c>
      <x:c r="G3" s="19" t="str">
        <x:v>监测指标</x:v>
      </x:c>
    </x:row>
    <x:row r="4">
      <x:c r="A4" s="32" t="str">
        <x:v>P01</x:v>
      </x:c>
      <x:c r="B4" s="32" t="str">
        <x:v>B1-W0-V1</x:v>
      </x:c>
      <x:c r="C4" s="32" t="str">
        <x:v>B1</x:v>
      </x:c>
      <x:c r="D4" s="32" t="str">
        <x:v>W0</x:v>
      </x:c>
      <x:c r="E4" s="32" t="str">
        <x:v>V1</x:v>
      </x:c>
      <x:c r="F4" s="32" t="str">
        <x:v>water_soil</x:v>
      </x:c>
      <x:c r="G4" s="32" t="str">
        <x:v>水位、含水率、温度、EC、pH</x:v>
      </x:c>
    </x:row>
    <x:row r="5">
      <x:c r="A5" s="32" t="str">
        <x:v>P02</x:v>
      </x:c>
      <x:c r="B5" s="32" t="str">
        <x:v>B1-W0-V2</x:v>
      </x:c>
      <x:c r="C5" s="32" t="str">
        <x:v>B1</x:v>
      </x:c>
      <x:c r="D5" s="32" t="str">
        <x:v>W0</x:v>
      </x:c>
      <x:c r="E5" s="32" t="str">
        <x:v>V2</x:v>
      </x:c>
      <x:c r="F5" s="32" t="str">
        <x:v>water_soil</x:v>
      </x:c>
      <x:c r="G5" s="32" t="str">
        <x:v>水位、含水率、温度、EC、pH</x:v>
      </x:c>
    </x:row>
    <x:row r="6">
      <x:c r="A6" s="32" t="str">
        <x:v>P03</x:v>
      </x:c>
      <x:c r="B6" s="32" t="str">
        <x:v>B1-W1-V1</x:v>
      </x:c>
      <x:c r="C6" s="32" t="str">
        <x:v>B1</x:v>
      </x:c>
      <x:c r="D6" s="32" t="str">
        <x:v>W1</x:v>
      </x:c>
      <x:c r="E6" s="32" t="str">
        <x:v>V1</x:v>
      </x:c>
      <x:c r="F6" s="32" t="str">
        <x:v>tension_soil</x:v>
      </x:c>
      <x:c r="G6" s="32" t="str">
        <x:v>张力、含水率、温度、EC、pH</x:v>
      </x:c>
    </x:row>
    <x:row r="7">
      <x:c r="A7" s="32" t="str">
        <x:v>P04</x:v>
      </x:c>
      <x:c r="B7" s="32" t="str">
        <x:v>B1-W1-V2</x:v>
      </x:c>
      <x:c r="C7" s="32" t="str">
        <x:v>B1</x:v>
      </x:c>
      <x:c r="D7" s="32" t="str">
        <x:v>W1</x:v>
      </x:c>
      <x:c r="E7" s="32" t="str">
        <x:v>V2</x:v>
      </x:c>
      <x:c r="F7" s="32" t="str">
        <x:v>tension_soil</x:v>
      </x:c>
      <x:c r="G7" s="32" t="str">
        <x:v>张力、含水率、温度、EC、pH</x:v>
      </x:c>
    </x:row>
    <x:row r="8">
      <x:c r="A8" s="32" t="str">
        <x:v>P05</x:v>
      </x:c>
      <x:c r="B8" s="32" t="str">
        <x:v>B1-W2-V1</x:v>
      </x:c>
      <x:c r="C8" s="32" t="str">
        <x:v>B1</x:v>
      </x:c>
      <x:c r="D8" s="32" t="str">
        <x:v>W2</x:v>
      </x:c>
      <x:c r="E8" s="32" t="str">
        <x:v>V1</x:v>
      </x:c>
      <x:c r="F8" s="32" t="str">
        <x:v>tension_soil</x:v>
      </x:c>
      <x:c r="G8" s="32" t="str">
        <x:v>张力、含水率、温度、EC、pH</x:v>
      </x:c>
    </x:row>
    <x:row r="9">
      <x:c r="A9" s="32" t="str">
        <x:v>P06</x:v>
      </x:c>
      <x:c r="B9" s="32" t="str">
        <x:v>B1-W2-V2</x:v>
      </x:c>
      <x:c r="C9" s="32" t="str">
        <x:v>B1</x:v>
      </x:c>
      <x:c r="D9" s="32" t="str">
        <x:v>W2</x:v>
      </x:c>
      <x:c r="E9" s="32" t="str">
        <x:v>V2</x:v>
      </x:c>
      <x:c r="F9" s="32" t="str">
        <x:v>tension_soil</x:v>
      </x:c>
      <x:c r="G9" s="32" t="str">
        <x:v>张力、含水率、温度、EC、pH</x:v>
      </x:c>
    </x:row>
    <x:row r="10">
      <x:c r="A10" s="32" t="str">
        <x:v>P07</x:v>
      </x:c>
      <x:c r="B10" s="32" t="str">
        <x:v>B2-W0-V1</x:v>
      </x:c>
      <x:c r="C10" s="32" t="str">
        <x:v>B2</x:v>
      </x:c>
      <x:c r="D10" s="32" t="str">
        <x:v>W0</x:v>
      </x:c>
      <x:c r="E10" s="32" t="str">
        <x:v>V1</x:v>
      </x:c>
      <x:c r="F10" s="32" t="str">
        <x:v>water_soil</x:v>
      </x:c>
      <x:c r="G10" s="32" t="str">
        <x:v>水位、含水率、温度、EC、pH</x:v>
      </x:c>
    </x:row>
    <x:row r="11">
      <x:c r="A11" s="32" t="str">
        <x:v>P08</x:v>
      </x:c>
      <x:c r="B11" s="32" t="str">
        <x:v>B2-W0-V2</x:v>
      </x:c>
      <x:c r="C11" s="32" t="str">
        <x:v>B2</x:v>
      </x:c>
      <x:c r="D11" s="32" t="str">
        <x:v>W0</x:v>
      </x:c>
      <x:c r="E11" s="32" t="str">
        <x:v>V2</x:v>
      </x:c>
      <x:c r="F11" s="32" t="str">
        <x:v>water_soil</x:v>
      </x:c>
      <x:c r="G11" s="32" t="str">
        <x:v>水位、含水率、温度、EC、pH</x:v>
      </x:c>
    </x:row>
    <x:row r="12">
      <x:c r="A12" s="32" t="str">
        <x:v>P09</x:v>
      </x:c>
      <x:c r="B12" s="32" t="str">
        <x:v>B2-W1-V1</x:v>
      </x:c>
      <x:c r="C12" s="32" t="str">
        <x:v>B2</x:v>
      </x:c>
      <x:c r="D12" s="32" t="str">
        <x:v>W1</x:v>
      </x:c>
      <x:c r="E12" s="32" t="str">
        <x:v>V1</x:v>
      </x:c>
      <x:c r="F12" s="32" t="str">
        <x:v>tension_soil</x:v>
      </x:c>
      <x:c r="G12" s="32" t="str">
        <x:v>张力、含水率、温度、EC、pH</x:v>
      </x:c>
    </x:row>
    <x:row r="13">
      <x:c r="A13" s="32" t="str">
        <x:v>P10</x:v>
      </x:c>
      <x:c r="B13" s="32" t="str">
        <x:v>B2-W1-V2</x:v>
      </x:c>
      <x:c r="C13" s="32" t="str">
        <x:v>B2</x:v>
      </x:c>
      <x:c r="D13" s="32" t="str">
        <x:v>W1</x:v>
      </x:c>
      <x:c r="E13" s="32" t="str">
        <x:v>V2</x:v>
      </x:c>
      <x:c r="F13" s="32" t="str">
        <x:v>tension_soil</x:v>
      </x:c>
      <x:c r="G13" s="32" t="str">
        <x:v>张力、含水率、温度、EC、pH</x:v>
      </x:c>
    </x:row>
    <x:row r="14">
      <x:c r="A14" s="32" t="str">
        <x:v>P11</x:v>
      </x:c>
      <x:c r="B14" s="32" t="str">
        <x:v>B2-W2-V1</x:v>
      </x:c>
      <x:c r="C14" s="32" t="str">
        <x:v>B2</x:v>
      </x:c>
      <x:c r="D14" s="32" t="str">
        <x:v>W2</x:v>
      </x:c>
      <x:c r="E14" s="32" t="str">
        <x:v>V1</x:v>
      </x:c>
      <x:c r="F14" s="32" t="str">
        <x:v>tension_soil</x:v>
      </x:c>
      <x:c r="G14" s="32" t="str">
        <x:v>张力、含水率、温度、EC、pH</x:v>
      </x:c>
    </x:row>
    <x:row r="15">
      <x:c r="A15" s="32" t="str">
        <x:v>P12</x:v>
      </x:c>
      <x:c r="B15" s="32" t="str">
        <x:v>B2-W2-V2</x:v>
      </x:c>
      <x:c r="C15" s="32" t="str">
        <x:v>B2</x:v>
      </x:c>
      <x:c r="D15" s="32" t="str">
        <x:v>W2</x:v>
      </x:c>
      <x:c r="E15" s="32" t="str">
        <x:v>V2</x:v>
      </x:c>
      <x:c r="F15" s="32" t="str">
        <x:v>tension_soil</x:v>
      </x:c>
      <x:c r="G15" s="32" t="str">
        <x:v>张力、含水率、温度、EC、pH</x:v>
      </x:c>
    </x:row>
    <x:row r="16">
      <x:c r="A16" s="32" t="str">
        <x:v>P13</x:v>
      </x:c>
      <x:c r="B16" s="32" t="str">
        <x:v>B3-W0-V1</x:v>
      </x:c>
      <x:c r="C16" s="32" t="str">
        <x:v>B3</x:v>
      </x:c>
      <x:c r="D16" s="32" t="str">
        <x:v>W0</x:v>
      </x:c>
      <x:c r="E16" s="32" t="str">
        <x:v>V1</x:v>
      </x:c>
      <x:c r="F16" s="32" t="str">
        <x:v>water_soil</x:v>
      </x:c>
      <x:c r="G16" s="32" t="str">
        <x:v>水位、含水率、温度、EC、pH</x:v>
      </x:c>
    </x:row>
    <x:row r="17">
      <x:c r="A17" s="32" t="str">
        <x:v>P14</x:v>
      </x:c>
      <x:c r="B17" s="32" t="str">
        <x:v>B3-W0-V2</x:v>
      </x:c>
      <x:c r="C17" s="32" t="str">
        <x:v>B3</x:v>
      </x:c>
      <x:c r="D17" s="32" t="str">
        <x:v>W0</x:v>
      </x:c>
      <x:c r="E17" s="32" t="str">
        <x:v>V2</x:v>
      </x:c>
      <x:c r="F17" s="32" t="str">
        <x:v>water_soil</x:v>
      </x:c>
      <x:c r="G17" s="32" t="str">
        <x:v>水位、含水率、温度、EC、pH</x:v>
      </x:c>
    </x:row>
    <x:row r="18">
      <x:c r="A18" s="32" t="str">
        <x:v>P15</x:v>
      </x:c>
      <x:c r="B18" s="32" t="str">
        <x:v>B3-W1-V1</x:v>
      </x:c>
      <x:c r="C18" s="32" t="str">
        <x:v>B3</x:v>
      </x:c>
      <x:c r="D18" s="32" t="str">
        <x:v>W1</x:v>
      </x:c>
      <x:c r="E18" s="32" t="str">
        <x:v>V1</x:v>
      </x:c>
      <x:c r="F18" s="32" t="str">
        <x:v>tension_soil</x:v>
      </x:c>
      <x:c r="G18" s="32" t="str">
        <x:v>张力、含水率、温度、EC、pH</x:v>
      </x:c>
    </x:row>
    <x:row r="19">
      <x:c r="A19" s="32" t="str">
        <x:v>P16</x:v>
      </x:c>
      <x:c r="B19" s="32" t="str">
        <x:v>B3-W1-V2</x:v>
      </x:c>
      <x:c r="C19" s="32" t="str">
        <x:v>B3</x:v>
      </x:c>
      <x:c r="D19" s="32" t="str">
        <x:v>W1</x:v>
      </x:c>
      <x:c r="E19" s="32" t="str">
        <x:v>V2</x:v>
      </x:c>
      <x:c r="F19" s="32" t="str">
        <x:v>tension_soil</x:v>
      </x:c>
      <x:c r="G19" s="32" t="str">
        <x:v>张力、含水率、温度、EC、pH</x:v>
      </x:c>
    </x:row>
    <x:row r="20">
      <x:c r="A20" s="32" t="str">
        <x:v>P17</x:v>
      </x:c>
      <x:c r="B20" s="32" t="str">
        <x:v>B3-W2-V1</x:v>
      </x:c>
      <x:c r="C20" s="32" t="str">
        <x:v>B3</x:v>
      </x:c>
      <x:c r="D20" s="32" t="str">
        <x:v>W2</x:v>
      </x:c>
      <x:c r="E20" s="32" t="str">
        <x:v>V1</x:v>
      </x:c>
      <x:c r="F20" s="32" t="str">
        <x:v>tension_soil</x:v>
      </x:c>
      <x:c r="G20" s="32" t="str">
        <x:v>张力、含水率、温度、EC、pH</x:v>
      </x:c>
    </x:row>
    <x:row r="21">
      <x:c r="A21" s="32" t="str">
        <x:v>P18</x:v>
      </x:c>
      <x:c r="B21" s="32" t="str">
        <x:v>B3-W2-V2</x:v>
      </x:c>
      <x:c r="C21" s="32" t="str">
        <x:v>B3</x:v>
      </x:c>
      <x:c r="D21" s="32" t="str">
        <x:v>W2</x:v>
      </x:c>
      <x:c r="E21" s="32" t="str">
        <x:v>V2</x:v>
      </x:c>
      <x:c r="F21" s="32" t="str">
        <x:v>tension_soil</x:v>
      </x:c>
      <x:c r="G21" s="32" t="str">
        <x:v>张力、含水率、温度、EC、pH</x:v>
      </x:c>
    </x:row>
    <x:row r="22">
      <x:c r="A22" s="32" t="str">
        <x:v>P19</x:v>
      </x:c>
      <x:c r="B22" s="32" t="str">
        <x:v>B4-W0-V1</x:v>
      </x:c>
      <x:c r="C22" s="32" t="str">
        <x:v>B4</x:v>
      </x:c>
      <x:c r="D22" s="32" t="str">
        <x:v>W0</x:v>
      </x:c>
      <x:c r="E22" s="32" t="str">
        <x:v>V1</x:v>
      </x:c>
      <x:c r="F22" s="32" t="str">
        <x:v>water_soil</x:v>
      </x:c>
      <x:c r="G22" s="32" t="str">
        <x:v>水位、含水率、温度、EC、pH</x:v>
      </x:c>
    </x:row>
    <x:row r="23">
      <x:c r="A23" s="32" t="str">
        <x:v>P20</x:v>
      </x:c>
      <x:c r="B23" s="32" t="str">
        <x:v>B4-W0-V2</x:v>
      </x:c>
      <x:c r="C23" s="32" t="str">
        <x:v>B4</x:v>
      </x:c>
      <x:c r="D23" s="32" t="str">
        <x:v>W0</x:v>
      </x:c>
      <x:c r="E23" s="32" t="str">
        <x:v>V2</x:v>
      </x:c>
      <x:c r="F23" s="32" t="str">
        <x:v>water_soil</x:v>
      </x:c>
      <x:c r="G23" s="32" t="str">
        <x:v>水位、含水率、温度、EC、pH</x:v>
      </x:c>
    </x:row>
    <x:row r="24">
      <x:c r="A24" s="32" t="str">
        <x:v>P21</x:v>
      </x:c>
      <x:c r="B24" s="32" t="str">
        <x:v>B4-W1-V1</x:v>
      </x:c>
      <x:c r="C24" s="32" t="str">
        <x:v>B4</x:v>
      </x:c>
      <x:c r="D24" s="32" t="str">
        <x:v>W1</x:v>
      </x:c>
      <x:c r="E24" s="32" t="str">
        <x:v>V1</x:v>
      </x:c>
      <x:c r="F24" s="32" t="str">
        <x:v>tension_soil</x:v>
      </x:c>
      <x:c r="G24" s="32" t="str">
        <x:v>张力、含水率、温度、EC、pH</x:v>
      </x:c>
    </x:row>
    <x:row r="25">
      <x:c r="A25" s="32" t="str">
        <x:v>P22</x:v>
      </x:c>
      <x:c r="B25" s="32" t="str">
        <x:v>B4-W1-V2</x:v>
      </x:c>
      <x:c r="C25" s="32" t="str">
        <x:v>B4</x:v>
      </x:c>
      <x:c r="D25" s="32" t="str">
        <x:v>W1</x:v>
      </x:c>
      <x:c r="E25" s="32" t="str">
        <x:v>V2</x:v>
      </x:c>
      <x:c r="F25" s="32" t="str">
        <x:v>tension_soil</x:v>
      </x:c>
      <x:c r="G25" s="32" t="str">
        <x:v>张力、含水率、温度、EC、pH</x:v>
      </x:c>
    </x:row>
    <x:row r="26">
      <x:c r="A26" s="32" t="str">
        <x:v>P23</x:v>
      </x:c>
      <x:c r="B26" s="32" t="str">
        <x:v>B4-W2-V1</x:v>
      </x:c>
      <x:c r="C26" s="32" t="str">
        <x:v>B4</x:v>
      </x:c>
      <x:c r="D26" s="32" t="str">
        <x:v>W2</x:v>
      </x:c>
      <x:c r="E26" s="32" t="str">
        <x:v>V1</x:v>
      </x:c>
      <x:c r="F26" s="32" t="str">
        <x:v>tension_soil</x:v>
      </x:c>
      <x:c r="G26" s="32" t="str">
        <x:v>张力、含水率、温度、EC、pH</x:v>
      </x:c>
    </x:row>
    <x:row r="27">
      <x:c r="A27" s="33" t="str">
        <x:v>P24</x:v>
      </x:c>
      <x:c r="B27" s="33" t="str">
        <x:v>B4-W2-V2</x:v>
      </x:c>
      <x:c r="C27" s="33" t="str">
        <x:v>B4</x:v>
      </x:c>
      <x:c r="D27" s="33" t="str">
        <x:v>W2</x:v>
      </x:c>
      <x:c r="E27" s="33" t="str">
        <x:v>V2</x:v>
      </x:c>
      <x:c r="F27" s="33" t="str">
        <x:v>tension_soil</x:v>
      </x:c>
      <x:c r="G27" s="33" t="str">
        <x:v>张力、含水率、温度、EC、pH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4ba6b10f86149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21" hidden="0" customWidth="1"/>
    <x:col min="6" max="6" width="21" hidden="0" customWidth="1"/>
    <x:col min="7" max="7" width="10" hidden="0" customWidth="1"/>
    <x:col min="8" max="8" width="14" hidden="0" customWidth="1"/>
  </x:cols>
  <x:sheetData>
    <x:row r="1" ht="30" customHeight="1">
      <x:c r="A1" s="5" t="str">
        <x:v>小区—D100L-Ym2设备绑定与数据覆盖</x:v>
      </x:c>
      <x:c r="B1" s="5"/>
      <x:c r="C1" s="5"/>
      <x:c r="D1" s="5"/>
      <x:c r="E1" s="5"/>
      <x:c r="F1" s="5"/>
      <x:c r="G1" s="5"/>
      <x:c r="H1" s="5"/>
    </x:row>
    <x:row r="3" ht="26" customHeight="1">
      <x:c r="A3" s="18" t="str">
        <x:v>小区编号</x:v>
      </x:c>
      <x:c r="B3" s="47" t="str">
        <x:v>试验编号</x:v>
      </x:c>
      <x:c r="C3" s="47" t="str">
        <x:v>IMEI</x:v>
      </x:c>
      <x:c r="D3" s="47" t="str">
        <x:v>传感器模式</x:v>
      </x:c>
      <x:c r="E3" s="47" t="str">
        <x:v>首次采集时间</x:v>
      </x:c>
      <x:c r="F3" s="47" t="str">
        <x:v>最后采集时间</x:v>
      </x:c>
      <x:c r="G3" s="47" t="str">
        <x:v>记录数</x:v>
      </x:c>
      <x:c r="H3" s="19" t="str">
        <x:v>状态</x:v>
      </x:c>
    </x:row>
    <x:row r="4">
      <x:c r="A4" s="32" t="str">
        <x:v>P01</x:v>
      </x:c>
      <x:c r="B4" s="32" t="str">
        <x:v>B1-W0-V1</x:v>
      </x:c>
      <x:c r="C4" s="32" t="str">
        <x:v>862323089930701</x:v>
      </x:c>
      <x:c r="D4" s="32" t="str">
        <x:v>water_soil</x:v>
      </x:c>
      <x:c r="E4" s="72" t="n">
        <x:v>46240.80269675926</x:v>
      </x:c>
      <x:c r="F4" s="72" t="n">
        <x:v>46240.969363425924</x:v>
      </x:c>
      <x:c r="G4" s="32" t="n">
        <x:v>49</x:v>
      </x:c>
      <x:c r="H4" s="32" t="str">
        <x:v>正常</x:v>
      </x:c>
    </x:row>
    <x:row r="5">
      <x:c r="A5" s="32" t="str">
        <x:v>P02</x:v>
      </x:c>
      <x:c r="B5" s="32" t="str">
        <x:v>B1-W0-V2</x:v>
      </x:c>
      <x:c r="C5" s="32" t="str">
        <x:v>862323089930702</x:v>
      </x:c>
      <x:c r="D5" s="32" t="str">
        <x:v>water_soil</x:v>
      </x:c>
      <x:c r="E5" s="72" t="n">
        <x:v>46240.80269675926</x:v>
      </x:c>
      <x:c r="F5" s="72" t="n">
        <x:v>46240.969363425924</x:v>
      </x:c>
      <x:c r="G5" s="32" t="n">
        <x:v>49</x:v>
      </x:c>
      <x:c r="H5" s="32" t="str">
        <x:v>正常</x:v>
      </x:c>
    </x:row>
    <x:row r="6">
      <x:c r="A6" s="32" t="str">
        <x:v>P03</x:v>
      </x:c>
      <x:c r="B6" s="32" t="str">
        <x:v>B1-W1-V1</x:v>
      </x:c>
      <x:c r="C6" s="32" t="str">
        <x:v>862323089930703</x:v>
      </x:c>
      <x:c r="D6" s="32" t="str">
        <x:v>tension_soil</x:v>
      </x:c>
      <x:c r="E6" s="72" t="n">
        <x:v>46240.80269675926</x:v>
      </x:c>
      <x:c r="F6" s="72" t="n">
        <x:v>46240.969363425924</x:v>
      </x:c>
      <x:c r="G6" s="32" t="n">
        <x:v>49</x:v>
      </x:c>
      <x:c r="H6" s="32" t="str">
        <x:v>正常</x:v>
      </x:c>
    </x:row>
    <x:row r="7">
      <x:c r="A7" s="32" t="str">
        <x:v>P04</x:v>
      </x:c>
      <x:c r="B7" s="32" t="str">
        <x:v>B1-W1-V2</x:v>
      </x:c>
      <x:c r="C7" s="32" t="str">
        <x:v>862323089930704</x:v>
      </x:c>
      <x:c r="D7" s="32" t="str">
        <x:v>tension_soil</x:v>
      </x:c>
      <x:c r="E7" s="72" t="n">
        <x:v>46240.80269675926</x:v>
      </x:c>
      <x:c r="F7" s="72" t="n">
        <x:v>46240.969363425924</x:v>
      </x:c>
      <x:c r="G7" s="32" t="n">
        <x:v>49</x:v>
      </x:c>
      <x:c r="H7" s="32" t="str">
        <x:v>正常</x:v>
      </x:c>
    </x:row>
    <x:row r="8">
      <x:c r="A8" s="32" t="str">
        <x:v>P05</x:v>
      </x:c>
      <x:c r="B8" s="32" t="str">
        <x:v>B1-W2-V1</x:v>
      </x:c>
      <x:c r="C8" s="32" t="str">
        <x:v>862323089930705</x:v>
      </x:c>
      <x:c r="D8" s="32" t="str">
        <x:v>tension_soil</x:v>
      </x:c>
      <x:c r="E8" s="72" t="n">
        <x:v>46240.80269675926</x:v>
      </x:c>
      <x:c r="F8" s="72" t="n">
        <x:v>46240.969363425924</x:v>
      </x:c>
      <x:c r="G8" s="32" t="n">
        <x:v>49</x:v>
      </x:c>
      <x:c r="H8" s="32" t="str">
        <x:v>正常</x:v>
      </x:c>
    </x:row>
    <x:row r="9">
      <x:c r="A9" s="32" t="str">
        <x:v>P06</x:v>
      </x:c>
      <x:c r="B9" s="32" t="str">
        <x:v>B1-W2-V2</x:v>
      </x:c>
      <x:c r="C9" s="32" t="str">
        <x:v>862323089930706</x:v>
      </x:c>
      <x:c r="D9" s="32" t="str">
        <x:v>tension_soil</x:v>
      </x:c>
      <x:c r="E9" s="72" t="n">
        <x:v>46240.80269675926</x:v>
      </x:c>
      <x:c r="F9" s="72" t="n">
        <x:v>46240.969363425924</x:v>
      </x:c>
      <x:c r="G9" s="32" t="n">
        <x:v>49</x:v>
      </x:c>
      <x:c r="H9" s="32" t="str">
        <x:v>正常</x:v>
      </x:c>
    </x:row>
    <x:row r="10">
      <x:c r="A10" s="32" t="str">
        <x:v>P07</x:v>
      </x:c>
      <x:c r="B10" s="32" t="str">
        <x:v>B2-W0-V1</x:v>
      </x:c>
      <x:c r="C10" s="32" t="str">
        <x:v>862323089930707</x:v>
      </x:c>
      <x:c r="D10" s="32" t="str">
        <x:v>water_soil</x:v>
      </x:c>
      <x:c r="E10" s="72" t="n">
        <x:v>46240.80269675926</x:v>
      </x:c>
      <x:c r="F10" s="72" t="n">
        <x:v>46240.969363425924</x:v>
      </x:c>
      <x:c r="G10" s="32" t="n">
        <x:v>49</x:v>
      </x:c>
      <x:c r="H10" s="32" t="str">
        <x:v>正常</x:v>
      </x:c>
    </x:row>
    <x:row r="11">
      <x:c r="A11" s="32" t="str">
        <x:v>P08</x:v>
      </x:c>
      <x:c r="B11" s="32" t="str">
        <x:v>B2-W0-V2</x:v>
      </x:c>
      <x:c r="C11" s="32" t="str">
        <x:v>862323089930708</x:v>
      </x:c>
      <x:c r="D11" s="32" t="str">
        <x:v>water_soil</x:v>
      </x:c>
      <x:c r="E11" s="72" t="n">
        <x:v>46240.80269675926</x:v>
      </x:c>
      <x:c r="F11" s="72" t="n">
        <x:v>46240.969363425924</x:v>
      </x:c>
      <x:c r="G11" s="32" t="n">
        <x:v>49</x:v>
      </x:c>
      <x:c r="H11" s="32" t="str">
        <x:v>正常</x:v>
      </x:c>
    </x:row>
    <x:row r="12">
      <x:c r="A12" s="32" t="str">
        <x:v>P09</x:v>
      </x:c>
      <x:c r="B12" s="32" t="str">
        <x:v>B2-W1-V1</x:v>
      </x:c>
      <x:c r="C12" s="32" t="str">
        <x:v>862323089930709</x:v>
      </x:c>
      <x:c r="D12" s="32" t="str">
        <x:v>tension_soil</x:v>
      </x:c>
      <x:c r="E12" s="72" t="n">
        <x:v>46240.80269675926</x:v>
      </x:c>
      <x:c r="F12" s="72" t="n">
        <x:v>46240.969363425924</x:v>
      </x:c>
      <x:c r="G12" s="32" t="n">
        <x:v>49</x:v>
      </x:c>
      <x:c r="H12" s="32" t="str">
        <x:v>正常</x:v>
      </x:c>
    </x:row>
    <x:row r="13">
      <x:c r="A13" s="32" t="str">
        <x:v>P10</x:v>
      </x:c>
      <x:c r="B13" s="32" t="str">
        <x:v>B2-W1-V2</x:v>
      </x:c>
      <x:c r="C13" s="32" t="str">
        <x:v>862323089930710</x:v>
      </x:c>
      <x:c r="D13" s="32" t="str">
        <x:v>tension_soil</x:v>
      </x:c>
      <x:c r="E13" s="72" t="n">
        <x:v>46240.80269675926</x:v>
      </x:c>
      <x:c r="F13" s="72" t="n">
        <x:v>46240.969363425924</x:v>
      </x:c>
      <x:c r="G13" s="32" t="n">
        <x:v>49</x:v>
      </x:c>
      <x:c r="H13" s="32" t="str">
        <x:v>正常</x:v>
      </x:c>
    </x:row>
    <x:row r="14">
      <x:c r="A14" s="32" t="str">
        <x:v>P11</x:v>
      </x:c>
      <x:c r="B14" s="32" t="str">
        <x:v>B2-W2-V1</x:v>
      </x:c>
      <x:c r="C14" s="32" t="str">
        <x:v>862323089930711</x:v>
      </x:c>
      <x:c r="D14" s="32" t="str">
        <x:v>tension_soil</x:v>
      </x:c>
      <x:c r="E14" s="72" t="n">
        <x:v>46240.80269675926</x:v>
      </x:c>
      <x:c r="F14" s="72" t="n">
        <x:v>46240.969363425924</x:v>
      </x:c>
      <x:c r="G14" s="32" t="n">
        <x:v>49</x:v>
      </x:c>
      <x:c r="H14" s="32" t="str">
        <x:v>正常</x:v>
      </x:c>
    </x:row>
    <x:row r="15">
      <x:c r="A15" s="32" t="str">
        <x:v>P12</x:v>
      </x:c>
      <x:c r="B15" s="32" t="str">
        <x:v>B2-W2-V2</x:v>
      </x:c>
      <x:c r="C15" s="32" t="str">
        <x:v>862323089930712</x:v>
      </x:c>
      <x:c r="D15" s="32" t="str">
        <x:v>tension_soil</x:v>
      </x:c>
      <x:c r="E15" s="72" t="n">
        <x:v>46240.80269675926</x:v>
      </x:c>
      <x:c r="F15" s="72" t="n">
        <x:v>46240.969363425924</x:v>
      </x:c>
      <x:c r="G15" s="32" t="n">
        <x:v>49</x:v>
      </x:c>
      <x:c r="H15" s="32" t="str">
        <x:v>正常</x:v>
      </x:c>
    </x:row>
    <x:row r="16">
      <x:c r="A16" s="32" t="str">
        <x:v>P13</x:v>
      </x:c>
      <x:c r="B16" s="32" t="str">
        <x:v>B3-W0-V1</x:v>
      </x:c>
      <x:c r="C16" s="32" t="str">
        <x:v>862323089930713</x:v>
      </x:c>
      <x:c r="D16" s="32" t="str">
        <x:v>water_soil</x:v>
      </x:c>
      <x:c r="E16" s="72" t="n">
        <x:v>46240.80269675926</x:v>
      </x:c>
      <x:c r="F16" s="72" t="n">
        <x:v>46240.969363425924</x:v>
      </x:c>
      <x:c r="G16" s="32" t="n">
        <x:v>49</x:v>
      </x:c>
      <x:c r="H16" s="32" t="str">
        <x:v>正常</x:v>
      </x:c>
    </x:row>
    <x:row r="17">
      <x:c r="A17" s="32" t="str">
        <x:v>P14</x:v>
      </x:c>
      <x:c r="B17" s="32" t="str">
        <x:v>B3-W0-V2</x:v>
      </x:c>
      <x:c r="C17" s="32" t="str">
        <x:v>862323089930714</x:v>
      </x:c>
      <x:c r="D17" s="32" t="str">
        <x:v>water_soil</x:v>
      </x:c>
      <x:c r="E17" s="72" t="n">
        <x:v>46240.80269675926</x:v>
      </x:c>
      <x:c r="F17" s="72" t="n">
        <x:v>46240.969363425924</x:v>
      </x:c>
      <x:c r="G17" s="32" t="n">
        <x:v>49</x:v>
      </x:c>
      <x:c r="H17" s="32" t="str">
        <x:v>正常</x:v>
      </x:c>
    </x:row>
    <x:row r="18">
      <x:c r="A18" s="32" t="str">
        <x:v>P15</x:v>
      </x:c>
      <x:c r="B18" s="32" t="str">
        <x:v>B3-W1-V1</x:v>
      </x:c>
      <x:c r="C18" s="32" t="str">
        <x:v>862323089930715</x:v>
      </x:c>
      <x:c r="D18" s="32" t="str">
        <x:v>tension_soil</x:v>
      </x:c>
      <x:c r="E18" s="72" t="n">
        <x:v>46240.80269675926</x:v>
      </x:c>
      <x:c r="F18" s="72" t="n">
        <x:v>46240.969363425924</x:v>
      </x:c>
      <x:c r="G18" s="32" t="n">
        <x:v>49</x:v>
      </x:c>
      <x:c r="H18" s="32" t="str">
        <x:v>正常</x:v>
      </x:c>
    </x:row>
    <x:row r="19">
      <x:c r="A19" s="32" t="str">
        <x:v>P16</x:v>
      </x:c>
      <x:c r="B19" s="32" t="str">
        <x:v>B3-W1-V2</x:v>
      </x:c>
      <x:c r="C19" s="32" t="str">
        <x:v>862323089930716</x:v>
      </x:c>
      <x:c r="D19" s="32" t="str">
        <x:v>tension_soil</x:v>
      </x:c>
      <x:c r="E19" s="72" t="n">
        <x:v>46240.80269675926</x:v>
      </x:c>
      <x:c r="F19" s="72" t="n">
        <x:v>46240.969363425924</x:v>
      </x:c>
      <x:c r="G19" s="32" t="n">
        <x:v>49</x:v>
      </x:c>
      <x:c r="H19" s="32" t="str">
        <x:v>正常</x:v>
      </x:c>
    </x:row>
    <x:row r="20">
      <x:c r="A20" s="32" t="str">
        <x:v>P17</x:v>
      </x:c>
      <x:c r="B20" s="32" t="str">
        <x:v>B3-W2-V1</x:v>
      </x:c>
      <x:c r="C20" s="32" t="str">
        <x:v>862323089930717</x:v>
      </x:c>
      <x:c r="D20" s="32" t="str">
        <x:v>tension_soil</x:v>
      </x:c>
      <x:c r="E20" s="72" t="n">
        <x:v>46240.80269675926</x:v>
      </x:c>
      <x:c r="F20" s="72" t="n">
        <x:v>46240.969363425924</x:v>
      </x:c>
      <x:c r="G20" s="32" t="n">
        <x:v>49</x:v>
      </x:c>
      <x:c r="H20" s="32" t="str">
        <x:v>正常</x:v>
      </x:c>
    </x:row>
    <x:row r="21">
      <x:c r="A21" s="32" t="str">
        <x:v>P18</x:v>
      </x:c>
      <x:c r="B21" s="32" t="str">
        <x:v>B3-W2-V2</x:v>
      </x:c>
      <x:c r="C21" s="32" t="str">
        <x:v>862323089930718</x:v>
      </x:c>
      <x:c r="D21" s="32" t="str">
        <x:v>tension_soil</x:v>
      </x:c>
      <x:c r="E21" s="72" t="n">
        <x:v>46240.80269675926</x:v>
      </x:c>
      <x:c r="F21" s="72" t="n">
        <x:v>46240.969363425924</x:v>
      </x:c>
      <x:c r="G21" s="32" t="n">
        <x:v>49</x:v>
      </x:c>
      <x:c r="H21" s="32" t="str">
        <x:v>正常</x:v>
      </x:c>
    </x:row>
    <x:row r="22">
      <x:c r="A22" s="32" t="str">
        <x:v>P19</x:v>
      </x:c>
      <x:c r="B22" s="32" t="str">
        <x:v>B4-W0-V1</x:v>
      </x:c>
      <x:c r="C22" s="32" t="str">
        <x:v>862323089930719</x:v>
      </x:c>
      <x:c r="D22" s="32" t="str">
        <x:v>water_soil</x:v>
      </x:c>
      <x:c r="E22" s="72" t="n">
        <x:v>46240.80269675926</x:v>
      </x:c>
      <x:c r="F22" s="72" t="n">
        <x:v>46240.969363425924</x:v>
      </x:c>
      <x:c r="G22" s="32" t="n">
        <x:v>49</x:v>
      </x:c>
      <x:c r="H22" s="32" t="str">
        <x:v>正常</x:v>
      </x:c>
    </x:row>
    <x:row r="23">
      <x:c r="A23" s="32" t="str">
        <x:v>P20</x:v>
      </x:c>
      <x:c r="B23" s="32" t="str">
        <x:v>B4-W0-V2</x:v>
      </x:c>
      <x:c r="C23" s="32" t="str">
        <x:v>862323089930720</x:v>
      </x:c>
      <x:c r="D23" s="32" t="str">
        <x:v>water_soil</x:v>
      </x:c>
      <x:c r="E23" s="72" t="n">
        <x:v>46240.80269675926</x:v>
      </x:c>
      <x:c r="F23" s="72" t="n">
        <x:v>46240.969363425924</x:v>
      </x:c>
      <x:c r="G23" s="32" t="n">
        <x:v>49</x:v>
      </x:c>
      <x:c r="H23" s="32" t="str">
        <x:v>正常</x:v>
      </x:c>
    </x:row>
    <x:row r="24">
      <x:c r="A24" s="32" t="str">
        <x:v>P21</x:v>
      </x:c>
      <x:c r="B24" s="32" t="str">
        <x:v>B4-W1-V1</x:v>
      </x:c>
      <x:c r="C24" s="32" t="str">
        <x:v>862323089930721</x:v>
      </x:c>
      <x:c r="D24" s="32" t="str">
        <x:v>tension_soil</x:v>
      </x:c>
      <x:c r="E24" s="72" t="n">
        <x:v>46240.80269675926</x:v>
      </x:c>
      <x:c r="F24" s="72" t="n">
        <x:v>46240.969363425924</x:v>
      </x:c>
      <x:c r="G24" s="32" t="n">
        <x:v>49</x:v>
      </x:c>
      <x:c r="H24" s="32" t="str">
        <x:v>正常</x:v>
      </x:c>
    </x:row>
    <x:row r="25">
      <x:c r="A25" s="32" t="str">
        <x:v>P22</x:v>
      </x:c>
      <x:c r="B25" s="32" t="str">
        <x:v>B4-W1-V2</x:v>
      </x:c>
      <x:c r="C25" s="32" t="str">
        <x:v>862323089930722</x:v>
      </x:c>
      <x:c r="D25" s="32" t="str">
        <x:v>tension_soil</x:v>
      </x:c>
      <x:c r="E25" s="72" t="n">
        <x:v>46240.80269675926</x:v>
      </x:c>
      <x:c r="F25" s="72" t="n">
        <x:v>46240.969363425924</x:v>
      </x:c>
      <x:c r="G25" s="32" t="n">
        <x:v>49</x:v>
      </x:c>
      <x:c r="H25" s="32" t="str">
        <x:v>正常</x:v>
      </x:c>
    </x:row>
    <x:row r="26">
      <x:c r="A26" s="32" t="str">
        <x:v>P23</x:v>
      </x:c>
      <x:c r="B26" s="32" t="str">
        <x:v>B4-W2-V1</x:v>
      </x:c>
      <x:c r="C26" s="32" t="str">
        <x:v>862323089930723</x:v>
      </x:c>
      <x:c r="D26" s="32" t="str">
        <x:v>tension_soil</x:v>
      </x:c>
      <x:c r="E26" s="72" t="n">
        <x:v>46240.80269675926</x:v>
      </x:c>
      <x:c r="F26" s="72" t="n">
        <x:v>46240.969363425924</x:v>
      </x:c>
      <x:c r="G26" s="32" t="n">
        <x:v>49</x:v>
      </x:c>
      <x:c r="H26" s="32" t="str">
        <x:v>正常</x:v>
      </x:c>
    </x:row>
    <x:row r="27">
      <x:c r="A27" s="33" t="str">
        <x:v>P24</x:v>
      </x:c>
      <x:c r="B27" s="33" t="str">
        <x:v>B4-W2-V2</x:v>
      </x:c>
      <x:c r="C27" s="33" t="str">
        <x:v>862323089930724</x:v>
      </x:c>
      <x:c r="D27" s="33" t="str">
        <x:v>tension_soil</x:v>
      </x:c>
      <x:c r="E27" s="73" t="n">
        <x:v>46240.80269675926</x:v>
      </x:c>
      <x:c r="F27" s="73" t="n">
        <x:v>46240.969363425924</x:v>
      </x:c>
      <x:c r="G27" s="33" t="n">
        <x:v>49</x:v>
      </x:c>
      <x:c r="H27" s="33" t="str">
        <x:v>正常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c01eef272341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W0处理：水位随时间变化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排列。单位：mm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8" t="str">
        <x:v>采集时间</x:v>
      </x:c>
      <x:c r="B4" s="47" t="str">
        <x:v>B1-W0-V1（P01）</x:v>
      </x:c>
      <x:c r="C4" s="47" t="str">
        <x:v>B1-W0-V2（P02）</x:v>
      </x:c>
      <x:c r="D4" s="47" t="str">
        <x:v>B2-W0-V1（P07）</x:v>
      </x:c>
      <x:c r="E4" s="47" t="str">
        <x:v>B2-W0-V2（P08）</x:v>
      </x:c>
      <x:c r="F4" s="47" t="str">
        <x:v>B3-W0-V1（P13）</x:v>
      </x:c>
      <x:c r="G4" s="47" t="str">
        <x:v>B3-W0-V2（P14）</x:v>
      </x:c>
      <x:c r="H4" s="47" t="str">
        <x:v>B4-W0-V1（P19）</x:v>
      </x:c>
      <x:c r="I4" s="19" t="str">
        <x:v>B4-W0-V2（P20）</x:v>
      </x:c>
    </x:row>
    <x:row r="5">
      <x:c r="A5" s="72" t="n">
        <x:v>46240.80269675926</x:v>
      </x:c>
      <x:c r="B5" s="82" t="n">
        <x:v>29.4</x:v>
      </x:c>
      <x:c r="C5" s="82" t="n">
        <x:v>33.7</x:v>
      </x:c>
      <x:c r="D5" s="82" t="n">
        <x:v>41.6</x:v>
      </x:c>
      <x:c r="E5" s="82" t="n">
        <x:v>33</x:v>
      </x:c>
      <x:c r="F5" s="82" t="n">
        <x:v>33.2</x:v>
      </x:c>
      <x:c r="G5" s="82" t="n">
        <x:v>35</x:v>
      </x:c>
      <x:c r="H5" s="82" t="n">
        <x:v>32.7</x:v>
      </x:c>
      <x:c r="I5" s="82" t="n">
        <x:v>23.2</x:v>
      </x:c>
    </x:row>
    <x:row r="6">
      <x:c r="A6" s="72" t="n">
        <x:v>46240.80616898148</x:v>
      </x:c>
      <x:c r="B6" s="82" t="n">
        <x:v>28.3</x:v>
      </x:c>
      <x:c r="C6" s="82" t="n">
        <x:v>32.4</x:v>
      </x:c>
      <x:c r="D6" s="82" t="n">
        <x:v>41</x:v>
      </x:c>
      <x:c r="E6" s="82" t="n">
        <x:v>32.6</x:v>
      </x:c>
      <x:c r="F6" s="82" t="n">
        <x:v>34.3</x:v>
      </x:c>
      <x:c r="G6" s="82" t="n">
        <x:v>36.2</x:v>
      </x:c>
      <x:c r="H6" s="82" t="n">
        <x:v>33.4</x:v>
      </x:c>
      <x:c r="I6" s="82" t="n">
        <x:v>23.7</x:v>
      </x:c>
    </x:row>
    <x:row r="7">
      <x:c r="A7" s="72" t="n">
        <x:v>46240.809641203705</x:v>
      </x:c>
      <x:c r="B7" s="82" t="n">
        <x:v>27.4</x:v>
      </x:c>
      <x:c r="C7" s="82" t="n">
        <x:v>31.3</x:v>
      </x:c>
      <x:c r="D7" s="82" t="n">
        <x:v>40.2</x:v>
      </x:c>
      <x:c r="E7" s="82" t="n">
        <x:v>32</x:v>
      </x:c>
      <x:c r="F7" s="82" t="n">
        <x:v>35.1</x:v>
      </x:c>
      <x:c r="G7" s="82" t="n">
        <x:v>37.3</x:v>
      </x:c>
      <x:c r="H7" s="82" t="n">
        <x:v>34.4</x:v>
      </x:c>
      <x:c r="I7" s="82" t="n">
        <x:v>24.4</x:v>
      </x:c>
    </x:row>
    <x:row r="8">
      <x:c r="A8" s="72" t="n">
        <x:v>46240.813113425924</x:v>
      </x:c>
      <x:c r="B8" s="82" t="n">
        <x:v>26.6</x:v>
      </x:c>
      <x:c r="C8" s="82" t="n">
        <x:v>30.4</x:v>
      </x:c>
      <x:c r="D8" s="82" t="n">
        <x:v>39.1</x:v>
      </x:c>
      <x:c r="E8" s="82" t="n">
        <x:v>31.2</x:v>
      </x:c>
      <x:c r="F8" s="82" t="n">
        <x:v>35.7</x:v>
      </x:c>
      <x:c r="G8" s="82" t="n">
        <x:v>38.1</x:v>
      </x:c>
      <x:c r="H8" s="82" t="n">
        <x:v>35.6</x:v>
      </x:c>
      <x:c r="I8" s="82" t="n">
        <x:v>25.4</x:v>
      </x:c>
    </x:row>
    <x:row r="9">
      <x:c r="A9" s="72" t="n">
        <x:v>46240.81658564815</x:v>
      </x:c>
      <x:c r="B9" s="82" t="n">
        <x:v>26.2</x:v>
      </x:c>
      <x:c r="C9" s="82" t="n">
        <x:v>29.6</x:v>
      </x:c>
      <x:c r="D9" s="82" t="n">
        <x:v>37.9</x:v>
      </x:c>
      <x:c r="E9" s="82" t="n">
        <x:v>30.1</x:v>
      </x:c>
      <x:c r="F9" s="82" t="n">
        <x:v>36</x:v>
      </x:c>
      <x:c r="G9" s="82" t="n">
        <x:v>38.7</x:v>
      </x:c>
      <x:c r="H9" s="82" t="n">
        <x:v>36.8</x:v>
      </x:c>
      <x:c r="I9" s="82" t="n">
        <x:v>26.6</x:v>
      </x:c>
    </x:row>
    <x:row r="10">
      <x:c r="A10" s="72" t="n">
        <x:v>46240.82005787037</x:v>
      </x:c>
      <x:c r="B10" s="82" t="n">
        <x:v>26</x:v>
      </x:c>
      <x:c r="C10" s="82" t="n">
        <x:v>29.2</x:v>
      </x:c>
      <x:c r="D10" s="82" t="n">
        <x:v>36.7</x:v>
      </x:c>
      <x:c r="E10" s="82" t="n">
        <x:v>28.9</x:v>
      </x:c>
      <x:c r="F10" s="82" t="n">
        <x:v>36</x:v>
      </x:c>
      <x:c r="G10" s="82" t="n">
        <x:v>39</x:v>
      </x:c>
      <x:c r="H10" s="82" t="n">
        <x:v>38</x:v>
      </x:c>
      <x:c r="I10" s="82" t="n">
        <x:v>27.8</x:v>
      </x:c>
    </x:row>
    <x:row r="11">
      <x:c r="A11" s="72" t="n">
        <x:v>46240.823530092595</x:v>
      </x:c>
      <x:c r="B11" s="82" t="n">
        <x:v>26.2</x:v>
      </x:c>
      <x:c r="C11" s="82" t="n">
        <x:v>29</x:v>
      </x:c>
      <x:c r="D11" s="82" t="n">
        <x:v>35.4</x:v>
      </x:c>
      <x:c r="E11" s="82" t="n">
        <x:v>27.7</x:v>
      </x:c>
      <x:c r="F11" s="82" t="n">
        <x:v>35.6</x:v>
      </x:c>
      <x:c r="G11" s="82" t="n">
        <x:v>39</x:v>
      </x:c>
      <x:c r="H11" s="82" t="n">
        <x:v>39.2</x:v>
      </x:c>
      <x:c r="I11" s="82" t="n">
        <x:v>29</x:v>
      </x:c>
    </x:row>
    <x:row r="12">
      <x:c r="A12" s="72" t="n">
        <x:v>46240.827002314814</x:v>
      </x:c>
      <x:c r="B12" s="82" t="n">
        <x:v>26.6</x:v>
      </x:c>
      <x:c r="C12" s="82" t="n">
        <x:v>29.2</x:v>
      </x:c>
      <x:c r="D12" s="82" t="n">
        <x:v>34.3</x:v>
      </x:c>
      <x:c r="E12" s="82" t="n">
        <x:v>26.4</x:v>
      </x:c>
      <x:c r="F12" s="82" t="n">
        <x:v>35</x:v>
      </x:c>
      <x:c r="G12" s="82" t="n">
        <x:v>38.6</x:v>
      </x:c>
      <x:c r="H12" s="82" t="n">
        <x:v>40.3</x:v>
      </x:c>
      <x:c r="I12" s="82" t="n">
        <x:v>30.2</x:v>
      </x:c>
    </x:row>
    <x:row r="13">
      <x:c r="A13" s="72" t="n">
        <x:v>46240.83047453704</x:v>
      </x:c>
      <x:c r="B13" s="82" t="n">
        <x:v>27.3</x:v>
      </x:c>
      <x:c r="C13" s="82" t="n">
        <x:v>29.6</x:v>
      </x:c>
      <x:c r="D13" s="82" t="n">
        <x:v>33.4</x:v>
      </x:c>
      <x:c r="E13" s="82" t="n">
        <x:v>25.3</x:v>
      </x:c>
      <x:c r="F13" s="82" t="n">
        <x:v>34.2</x:v>
      </x:c>
      <x:c r="G13" s="82" t="n">
        <x:v>38</x:v>
      </x:c>
      <x:c r="H13" s="82" t="n">
        <x:v>41.1</x:v>
      </x:c>
      <x:c r="I13" s="82" t="n">
        <x:v>31.3</x:v>
      </x:c>
    </x:row>
    <x:row r="14">
      <x:c r="A14" s="72" t="n">
        <x:v>46240.83394675926</x:v>
      </x:c>
      <x:c r="B14" s="82" t="n">
        <x:v>28.3</x:v>
      </x:c>
      <x:c r="C14" s="82" t="n">
        <x:v>30.3</x:v>
      </x:c>
      <x:c r="D14" s="82" t="n">
        <x:v>32.6</x:v>
      </x:c>
      <x:c r="E14" s="82" t="n">
        <x:v>24.4</x:v>
      </x:c>
      <x:c r="F14" s="82" t="n">
        <x:v>33.1</x:v>
      </x:c>
      <x:c r="G14" s="82" t="n">
        <x:v>37.2</x:v>
      </x:c>
      <x:c r="H14" s="82" t="n">
        <x:v>41.7</x:v>
      </x:c>
      <x:c r="I14" s="82" t="n">
        <x:v>32.1</x:v>
      </x:c>
    </x:row>
    <x:row r="15">
      <x:c r="A15" s="72" t="n">
        <x:v>46240.83741898148</x:v>
      </x:c>
      <x:c r="B15" s="82" t="n">
        <x:v>29.4</x:v>
      </x:c>
      <x:c r="C15" s="82" t="n">
        <x:v>31.3</x:v>
      </x:c>
      <x:c r="D15" s="82" t="n">
        <x:v>32.2</x:v>
      </x:c>
      <x:c r="E15" s="82" t="n">
        <x:v>23.6</x:v>
      </x:c>
      <x:c r="F15" s="82" t="n">
        <x:v>31.9</x:v>
      </x:c>
      <x:c r="G15" s="82" t="n">
        <x:v>36.1</x:v>
      </x:c>
      <x:c r="H15" s="82" t="n">
        <x:v>42</x:v>
      </x:c>
      <x:c r="I15" s="82" t="n">
        <x:v>32.7</x:v>
      </x:c>
    </x:row>
    <x:row r="16">
      <x:c r="A16" s="72" t="n">
        <x:v>46240.840891203705</x:v>
      </x:c>
      <x:c r="B16" s="82" t="n">
        <x:v>30.6</x:v>
      </x:c>
      <x:c r="C16" s="82" t="n">
        <x:v>32.4</x:v>
      </x:c>
      <x:c r="D16" s="82" t="n">
        <x:v>32</x:v>
      </x:c>
      <x:c r="E16" s="82" t="n">
        <x:v>23.2</x:v>
      </x:c>
      <x:c r="F16" s="82" t="n">
        <x:v>30.7</x:v>
      </x:c>
      <x:c r="G16" s="82" t="n">
        <x:v>34.9</x:v>
      </x:c>
      <x:c r="H16" s="82" t="n">
        <x:v>42</x:v>
      </x:c>
      <x:c r="I16" s="82" t="n">
        <x:v>33</x:v>
      </x:c>
    </x:row>
    <x:row r="17">
      <x:c r="A17" s="72" t="n">
        <x:v>46240.844363425924</x:v>
      </x:c>
      <x:c r="B17" s="82" t="n">
        <x:v>31.9</x:v>
      </x:c>
      <x:c r="C17" s="82" t="n">
        <x:v>33.6</x:v>
      </x:c>
      <x:c r="D17" s="82" t="n">
        <x:v>32.2</x:v>
      </x:c>
      <x:c r="E17" s="82" t="n">
        <x:v>23</x:v>
      </x:c>
      <x:c r="F17" s="82" t="n">
        <x:v>29.4</x:v>
      </x:c>
      <x:c r="G17" s="82" t="n">
        <x:v>33.7</x:v>
      </x:c>
      <x:c r="H17" s="82" t="n">
        <x:v>41.6</x:v>
      </x:c>
      <x:c r="I17" s="82" t="n">
        <x:v>33</x:v>
      </x:c>
    </x:row>
    <x:row r="18">
      <x:c r="A18" s="72" t="n">
        <x:v>46240.84783564815</x:v>
      </x:c>
      <x:c r="B18" s="82" t="n">
        <x:v>33.1</x:v>
      </x:c>
      <x:c r="C18" s="82" t="n">
        <x:v>34.9</x:v>
      </x:c>
      <x:c r="D18" s="82" t="n">
        <x:v>32.6</x:v>
      </x:c>
      <x:c r="E18" s="82" t="n">
        <x:v>23.2</x:v>
      </x:c>
      <x:c r="F18" s="82" t="n">
        <x:v>28.3</x:v>
      </x:c>
      <x:c r="G18" s="82" t="n">
        <x:v>32.4</x:v>
      </x:c>
      <x:c r="H18" s="82" t="n">
        <x:v>41</x:v>
      </x:c>
      <x:c r="I18" s="82" t="n">
        <x:v>32.6</x:v>
      </x:c>
    </x:row>
    <x:row r="19">
      <x:c r="A19" s="72" t="n">
        <x:v>46240.85130787037</x:v>
      </x:c>
      <x:c r="B19" s="82" t="n">
        <x:v>34.1</x:v>
      </x:c>
      <x:c r="C19" s="82" t="n">
        <x:v>36.1</x:v>
      </x:c>
      <x:c r="D19" s="82" t="n">
        <x:v>33.3</x:v>
      </x:c>
      <x:c r="E19" s="82" t="n">
        <x:v>23.6</x:v>
      </x:c>
      <x:c r="F19" s="82" t="n">
        <x:v>27.4</x:v>
      </x:c>
      <x:c r="G19" s="82" t="n">
        <x:v>31.3</x:v>
      </x:c>
      <x:c r="H19" s="82" t="n">
        <x:v>40.2</x:v>
      </x:c>
      <x:c r="I19" s="82" t="n">
        <x:v>32</x:v>
      </x:c>
    </x:row>
    <x:row r="20">
      <x:c r="A20" s="72" t="n">
        <x:v>46240.854780092595</x:v>
      </x:c>
      <x:c r="B20" s="82" t="n">
        <x:v>35</x:v>
      </x:c>
      <x:c r="C20" s="82" t="n">
        <x:v>37.1</x:v>
      </x:c>
      <x:c r="D20" s="82" t="n">
        <x:v>34.3</x:v>
      </x:c>
      <x:c r="E20" s="82" t="n">
        <x:v>24.3</x:v>
      </x:c>
      <x:c r="F20" s="82" t="n">
        <x:v>26.6</x:v>
      </x:c>
      <x:c r="G20" s="82" t="n">
        <x:v>30.4</x:v>
      </x:c>
      <x:c r="H20" s="82" t="n">
        <x:v>39.1</x:v>
      </x:c>
      <x:c r="I20" s="82" t="n">
        <x:v>31.2</x:v>
      </x:c>
    </x:row>
    <x:row r="21">
      <x:c r="A21" s="72" t="n">
        <x:v>46240.858252314814</x:v>
      </x:c>
      <x:c r="B21" s="82" t="n">
        <x:v>35.6</x:v>
      </x:c>
      <x:c r="C21" s="82" t="n">
        <x:v>38</x:v>
      </x:c>
      <x:c r="D21" s="82" t="n">
        <x:v>35.4</x:v>
      </x:c>
      <x:c r="E21" s="82" t="n">
        <x:v>25.3</x:v>
      </x:c>
      <x:c r="F21" s="82" t="n">
        <x:v>26.2</x:v>
      </x:c>
      <x:c r="G21" s="82" t="n">
        <x:v>29.6</x:v>
      </x:c>
      <x:c r="H21" s="82" t="n">
        <x:v>37.9</x:v>
      </x:c>
      <x:c r="I21" s="82" t="n">
        <x:v>30.1</x:v>
      </x:c>
    </x:row>
    <x:row r="22">
      <x:c r="A22" s="72" t="n">
        <x:v>46240.86172453704</x:v>
      </x:c>
      <x:c r="B22" s="82" t="n">
        <x:v>35.9</x:v>
      </x:c>
      <x:c r="C22" s="82" t="n">
        <x:v>38.6</x:v>
      </x:c>
      <x:c r="D22" s="82" t="n">
        <x:v>36.6</x:v>
      </x:c>
      <x:c r="E22" s="82" t="n">
        <x:v>26.4</x:v>
      </x:c>
      <x:c r="F22" s="82" t="n">
        <x:v>26</x:v>
      </x:c>
      <x:c r="G22" s="82" t="n">
        <x:v>29.2</x:v>
      </x:c>
      <x:c r="H22" s="82" t="n">
        <x:v>36.7</x:v>
      </x:c>
      <x:c r="I22" s="82" t="n">
        <x:v>28.9</x:v>
      </x:c>
    </x:row>
    <x:row r="23">
      <x:c r="A23" s="72" t="n">
        <x:v>46240.86519675926</x:v>
      </x:c>
      <x:c r="B23" s="82" t="n">
        <x:v>36</x:v>
      </x:c>
      <x:c r="C23" s="82" t="n">
        <x:v>38.9</x:v>
      </x:c>
      <x:c r="D23" s="82" t="n">
        <x:v>37.9</x:v>
      </x:c>
      <x:c r="E23" s="82" t="n">
        <x:v>27.6</x:v>
      </x:c>
      <x:c r="F23" s="82" t="n">
        <x:v>26.2</x:v>
      </x:c>
      <x:c r="G23" s="82" t="n">
        <x:v>29</x:v>
      </x:c>
      <x:c r="H23" s="82" t="n">
        <x:v>35.4</x:v>
      </x:c>
      <x:c r="I23" s="82" t="n">
        <x:v>27.7</x:v>
      </x:c>
    </x:row>
    <x:row r="24">
      <x:c r="A24" s="72" t="n">
        <x:v>46240.86866898148</x:v>
      </x:c>
      <x:c r="B24" s="82" t="n">
        <x:v>35.7</x:v>
      </x:c>
      <x:c r="C24" s="82" t="n">
        <x:v>39</x:v>
      </x:c>
      <x:c r="D24" s="82" t="n">
        <x:v>39.1</x:v>
      </x:c>
      <x:c r="E24" s="82" t="n">
        <x:v>28.9</x:v>
      </x:c>
      <x:c r="F24" s="82" t="n">
        <x:v>26.6</x:v>
      </x:c>
      <x:c r="G24" s="82" t="n">
        <x:v>29.2</x:v>
      </x:c>
      <x:c r="H24" s="82" t="n">
        <x:v>34.3</x:v>
      </x:c>
      <x:c r="I24" s="82" t="n">
        <x:v>26.4</x:v>
      </x:c>
    </x:row>
    <x:row r="25">
      <x:c r="A25" s="72" t="n">
        <x:v>46240.872141203705</x:v>
      </x:c>
      <x:c r="B25" s="82" t="n">
        <x:v>35.1</x:v>
      </x:c>
      <x:c r="C25" s="82" t="n">
        <x:v>38.7</x:v>
      </x:c>
      <x:c r="D25" s="82" t="n">
        <x:v>40.1</x:v>
      </x:c>
      <x:c r="E25" s="82" t="n">
        <x:v>30.1</x:v>
      </x:c>
      <x:c r="F25" s="82" t="n">
        <x:v>27.3</x:v>
      </x:c>
      <x:c r="G25" s="82" t="n">
        <x:v>29.6</x:v>
      </x:c>
      <x:c r="H25" s="82" t="n">
        <x:v>33.4</x:v>
      </x:c>
      <x:c r="I25" s="82" t="n">
        <x:v>25.3</x:v>
      </x:c>
    </x:row>
    <x:row r="26">
      <x:c r="A26" s="72" t="n">
        <x:v>46240.875613425924</x:v>
      </x:c>
      <x:c r="B26" s="82" t="n">
        <x:v>34.3</x:v>
      </x:c>
      <x:c r="C26" s="82" t="n">
        <x:v>38.1</x:v>
      </x:c>
      <x:c r="D26" s="82" t="n">
        <x:v>41</x:v>
      </x:c>
      <x:c r="E26" s="82" t="n">
        <x:v>31.1</x:v>
      </x:c>
      <x:c r="F26" s="82" t="n">
        <x:v>28.3</x:v>
      </x:c>
      <x:c r="G26" s="82" t="n">
        <x:v>30.3</x:v>
      </x:c>
      <x:c r="H26" s="82" t="n">
        <x:v>32.6</x:v>
      </x:c>
      <x:c r="I26" s="82" t="n">
        <x:v>24.4</x:v>
      </x:c>
    </x:row>
    <x:row r="27">
      <x:c r="A27" s="72" t="n">
        <x:v>46240.87908564815</x:v>
      </x:c>
      <x:c r="B27" s="82" t="n">
        <x:v>33.3</x:v>
      </x:c>
      <x:c r="C27" s="82" t="n">
        <x:v>37.3</x:v>
      </x:c>
      <x:c r="D27" s="82" t="n">
        <x:v>41.6</x:v>
      </x:c>
      <x:c r="E27" s="82" t="n">
        <x:v>32</x:v>
      </x:c>
      <x:c r="F27" s="82" t="n">
        <x:v>29.4</x:v>
      </x:c>
      <x:c r="G27" s="82" t="n">
        <x:v>31.3</x:v>
      </x:c>
      <x:c r="H27" s="82" t="n">
        <x:v>32.2</x:v>
      </x:c>
      <x:c r="I27" s="82" t="n">
        <x:v>23.6</x:v>
      </x:c>
    </x:row>
    <x:row r="28">
      <x:c r="A28" s="72" t="n">
        <x:v>46240.88255787037</x:v>
      </x:c>
      <x:c r="B28" s="82" t="n">
        <x:v>32.1</x:v>
      </x:c>
      <x:c r="C28" s="82" t="n">
        <x:v>36.3</x:v>
      </x:c>
      <x:c r="D28" s="82" t="n">
        <x:v>41.9</x:v>
      </x:c>
      <x:c r="E28" s="82" t="n">
        <x:v>32.6</x:v>
      </x:c>
      <x:c r="F28" s="82" t="n">
        <x:v>30.6</x:v>
      </x:c>
      <x:c r="G28" s="82" t="n">
        <x:v>32.4</x:v>
      </x:c>
      <x:c r="H28" s="82" t="n">
        <x:v>32</x:v>
      </x:c>
      <x:c r="I28" s="82" t="n">
        <x:v>23.2</x:v>
      </x:c>
    </x:row>
    <x:row r="29">
      <x:c r="A29" s="72" t="n">
        <x:v>46240.886030092595</x:v>
      </x:c>
      <x:c r="B29" s="82" t="n">
        <x:v>30.8</x:v>
      </x:c>
      <x:c r="C29" s="82" t="n">
        <x:v>35.1</x:v>
      </x:c>
      <x:c r="D29" s="82" t="n">
        <x:v>42</x:v>
      </x:c>
      <x:c r="E29" s="82" t="n">
        <x:v>32.9</x:v>
      </x:c>
      <x:c r="F29" s="82" t="n">
        <x:v>31.9</x:v>
      </x:c>
      <x:c r="G29" s="82" t="n">
        <x:v>33.6</x:v>
      </x:c>
      <x:c r="H29" s="82" t="n">
        <x:v>32.2</x:v>
      </x:c>
      <x:c r="I29" s="82" t="n">
        <x:v>23</x:v>
      </x:c>
    </x:row>
    <x:row r="30">
      <x:c r="A30" s="72" t="n">
        <x:v>46240.889502314814</x:v>
      </x:c>
      <x:c r="B30" s="82" t="n">
        <x:v>29.6</x:v>
      </x:c>
      <x:c r="C30" s="82" t="n">
        <x:v>33.8</x:v>
      </x:c>
      <x:c r="D30" s="82" t="n">
        <x:v>41.7</x:v>
      </x:c>
      <x:c r="E30" s="82" t="n">
        <x:v>33</x:v>
      </x:c>
      <x:c r="F30" s="82" t="n">
        <x:v>33.1</x:v>
      </x:c>
      <x:c r="G30" s="82" t="n">
        <x:v>34.9</x:v>
      </x:c>
      <x:c r="H30" s="82" t="n">
        <x:v>32.6</x:v>
      </x:c>
      <x:c r="I30" s="82" t="n">
        <x:v>23.2</x:v>
      </x:c>
    </x:row>
    <x:row r="31">
      <x:c r="A31" s="72" t="n">
        <x:v>46240.89297453704</x:v>
      </x:c>
      <x:c r="B31" s="82" t="n">
        <x:v>28.5</x:v>
      </x:c>
      <x:c r="C31" s="82" t="n">
        <x:v>32.6</x:v>
      </x:c>
      <x:c r="D31" s="82" t="n">
        <x:v>41.1</x:v>
      </x:c>
      <x:c r="E31" s="82" t="n">
        <x:v>32.7</x:v>
      </x:c>
      <x:c r="F31" s="82" t="n">
        <x:v>34.1</x:v>
      </x:c>
      <x:c r="G31" s="82" t="n">
        <x:v>36.1</x:v>
      </x:c>
      <x:c r="H31" s="82" t="n">
        <x:v>33.3</x:v>
      </x:c>
      <x:c r="I31" s="82" t="n">
        <x:v>23.6</x:v>
      </x:c>
    </x:row>
    <x:row r="32">
      <x:c r="A32" s="72" t="n">
        <x:v>46240.89644675926</x:v>
      </x:c>
      <x:c r="B32" s="82" t="n">
        <x:v>27.5</x:v>
      </x:c>
      <x:c r="C32" s="82" t="n">
        <x:v>31.5</x:v>
      </x:c>
      <x:c r="D32" s="82" t="n">
        <x:v>40.3</x:v>
      </x:c>
      <x:c r="E32" s="82" t="n">
        <x:v>32.1</x:v>
      </x:c>
      <x:c r="F32" s="82" t="n">
        <x:v>35</x:v>
      </x:c>
      <x:c r="G32" s="82" t="n">
        <x:v>37.1</x:v>
      </x:c>
      <x:c r="H32" s="82" t="n">
        <x:v>34.3</x:v>
      </x:c>
      <x:c r="I32" s="82" t="n">
        <x:v>24.3</x:v>
      </x:c>
    </x:row>
    <x:row r="33">
      <x:c r="A33" s="72" t="n">
        <x:v>46240.89991898148</x:v>
      </x:c>
      <x:c r="B33" s="82" t="n">
        <x:v>26.7</x:v>
      </x:c>
      <x:c r="C33" s="82" t="n">
        <x:v>30.5</x:v>
      </x:c>
      <x:c r="D33" s="82" t="n">
        <x:v>39.3</x:v>
      </x:c>
      <x:c r="E33" s="82" t="n">
        <x:v>31.3</x:v>
      </x:c>
      <x:c r="F33" s="82" t="n">
        <x:v>35.6</x:v>
      </x:c>
      <x:c r="G33" s="82" t="n">
        <x:v>38</x:v>
      </x:c>
      <x:c r="H33" s="82" t="n">
        <x:v>35.4</x:v>
      </x:c>
      <x:c r="I33" s="82" t="n">
        <x:v>25.3</x:v>
      </x:c>
    </x:row>
    <x:row r="34">
      <x:c r="A34" s="72" t="n">
        <x:v>46240.903391203705</x:v>
      </x:c>
      <x:c r="B34" s="82" t="n">
        <x:v>26.2</x:v>
      </x:c>
      <x:c r="C34" s="82" t="n">
        <x:v>29.7</x:v>
      </x:c>
      <x:c r="D34" s="82" t="n">
        <x:v>38.1</x:v>
      </x:c>
      <x:c r="E34" s="82" t="n">
        <x:v>30.3</x:v>
      </x:c>
      <x:c r="F34" s="82" t="n">
        <x:v>35.9</x:v>
      </x:c>
      <x:c r="G34" s="82" t="n">
        <x:v>38.6</x:v>
      </x:c>
      <x:c r="H34" s="82" t="n">
        <x:v>36.6</x:v>
      </x:c>
      <x:c r="I34" s="82" t="n">
        <x:v>26.4</x:v>
      </x:c>
    </x:row>
    <x:row r="35">
      <x:c r="A35" s="72" t="n">
        <x:v>46240.906863425924</x:v>
      </x:c>
      <x:c r="B35" s="82" t="n">
        <x:v>26</x:v>
      </x:c>
      <x:c r="C35" s="82" t="n">
        <x:v>29.2</x:v>
      </x:c>
      <x:c r="D35" s="82" t="n">
        <x:v>36.8</x:v>
      </x:c>
      <x:c r="E35" s="82" t="n">
        <x:v>29.1</x:v>
      </x:c>
      <x:c r="F35" s="82" t="n">
        <x:v>36</x:v>
      </x:c>
      <x:c r="G35" s="82" t="n">
        <x:v>38.9</x:v>
      </x:c>
      <x:c r="H35" s="82" t="n">
        <x:v>37.9</x:v>
      </x:c>
      <x:c r="I35" s="82" t="n">
        <x:v>27.6</x:v>
      </x:c>
    </x:row>
    <x:row r="36">
      <x:c r="A36" s="72" t="n">
        <x:v>46240.91033564815</x:v>
      </x:c>
      <x:c r="B36" s="82" t="n">
        <x:v>26.1</x:v>
      </x:c>
      <x:c r="C36" s="82" t="n">
        <x:v>29</x:v>
      </x:c>
      <x:c r="D36" s="82" t="n">
        <x:v>35.6</x:v>
      </x:c>
      <x:c r="E36" s="82" t="n">
        <x:v>27.8</x:v>
      </x:c>
      <x:c r="F36" s="82" t="n">
        <x:v>35.7</x:v>
      </x:c>
      <x:c r="G36" s="82" t="n">
        <x:v>39</x:v>
      </x:c>
      <x:c r="H36" s="82" t="n">
        <x:v>39.1</x:v>
      </x:c>
      <x:c r="I36" s="82" t="n">
        <x:v>28.9</x:v>
      </x:c>
    </x:row>
    <x:row r="37">
      <x:c r="A37" s="72" t="n">
        <x:v>46240.91380787037</x:v>
      </x:c>
      <x:c r="B37" s="82" t="n">
        <x:v>26.5</x:v>
      </x:c>
      <x:c r="C37" s="82" t="n">
        <x:v>29.1</x:v>
      </x:c>
      <x:c r="D37" s="82" t="n">
        <x:v>34.5</x:v>
      </x:c>
      <x:c r="E37" s="82" t="n">
        <x:v>26.6</x:v>
      </x:c>
      <x:c r="F37" s="82" t="n">
        <x:v>35.1</x:v>
      </x:c>
      <x:c r="G37" s="82" t="n">
        <x:v>38.7</x:v>
      </x:c>
      <x:c r="H37" s="82" t="n">
        <x:v>40.1</x:v>
      </x:c>
      <x:c r="I37" s="82" t="n">
        <x:v>30.1</x:v>
      </x:c>
    </x:row>
    <x:row r="38">
      <x:c r="A38" s="72" t="n">
        <x:v>46240.917280092595</x:v>
      </x:c>
      <x:c r="B38" s="82" t="n">
        <x:v>27.2</x:v>
      </x:c>
      <x:c r="C38" s="82" t="n">
        <x:v>29.5</x:v>
      </x:c>
      <x:c r="D38" s="82" t="n">
        <x:v>33.5</x:v>
      </x:c>
      <x:c r="E38" s="82" t="n">
        <x:v>25.5</x:v>
      </x:c>
      <x:c r="F38" s="82" t="n">
        <x:v>34.3</x:v>
      </x:c>
      <x:c r="G38" s="82" t="n">
        <x:v>38.1</x:v>
      </x:c>
      <x:c r="H38" s="82" t="n">
        <x:v>41</x:v>
      </x:c>
      <x:c r="I38" s="82" t="n">
        <x:v>31.1</x:v>
      </x:c>
    </x:row>
    <x:row r="39">
      <x:c r="A39" s="72" t="n">
        <x:v>46240.920752314814</x:v>
      </x:c>
      <x:c r="B39" s="82" t="n">
        <x:v>28.1</x:v>
      </x:c>
      <x:c r="C39" s="82" t="n">
        <x:v>30.2</x:v>
      </x:c>
      <x:c r="D39" s="82" t="n">
        <x:v>32.7</x:v>
      </x:c>
      <x:c r="E39" s="82" t="n">
        <x:v>24.5</x:v>
      </x:c>
      <x:c r="F39" s="82" t="n">
        <x:v>33.3</x:v>
      </x:c>
      <x:c r="G39" s="82" t="n">
        <x:v>37.3</x:v>
      </x:c>
      <x:c r="H39" s="82" t="n">
        <x:v>41.6</x:v>
      </x:c>
      <x:c r="I39" s="82" t="n">
        <x:v>32</x:v>
      </x:c>
    </x:row>
    <x:row r="40">
      <x:c r="A40" s="72" t="n">
        <x:v>46240.92422453704</x:v>
      </x:c>
      <x:c r="B40" s="82" t="n">
        <x:v>29.2</x:v>
      </x:c>
      <x:c r="C40" s="82" t="n">
        <x:v>31.1</x:v>
      </x:c>
      <x:c r="D40" s="82" t="n">
        <x:v>32.2</x:v>
      </x:c>
      <x:c r="E40" s="82" t="n">
        <x:v>23.7</x:v>
      </x:c>
      <x:c r="F40" s="82" t="n">
        <x:v>32.1</x:v>
      </x:c>
      <x:c r="G40" s="82" t="n">
        <x:v>36.3</x:v>
      </x:c>
      <x:c r="H40" s="82" t="n">
        <x:v>41.9</x:v>
      </x:c>
      <x:c r="I40" s="82" t="n">
        <x:v>32.6</x:v>
      </x:c>
    </x:row>
    <x:row r="41">
      <x:c r="A41" s="72" t="n">
        <x:v>46240.92769675926</x:v>
      </x:c>
      <x:c r="B41" s="82" t="n">
        <x:v>30.5</x:v>
      </x:c>
      <x:c r="C41" s="82" t="n">
        <x:v>32.2</x:v>
      </x:c>
      <x:c r="D41" s="82" t="n">
        <x:v>32</x:v>
      </x:c>
      <x:c r="E41" s="82" t="n">
        <x:v>23.2</x:v>
      </x:c>
      <x:c r="F41" s="82" t="n">
        <x:v>30.8</x:v>
      </x:c>
      <x:c r="G41" s="82" t="n">
        <x:v>35.1</x:v>
      </x:c>
      <x:c r="H41" s="82" t="n">
        <x:v>42</x:v>
      </x:c>
      <x:c r="I41" s="82" t="n">
        <x:v>32.9</x:v>
      </x:c>
    </x:row>
    <x:row r="42">
      <x:c r="A42" s="72" t="n">
        <x:v>46240.93116898148</x:v>
      </x:c>
      <x:c r="B42" s="82" t="n">
        <x:v>31.7</x:v>
      </x:c>
      <x:c r="C42" s="82" t="n">
        <x:v>33.5</x:v>
      </x:c>
      <x:c r="D42" s="82" t="n">
        <x:v>32.1</x:v>
      </x:c>
      <x:c r="E42" s="82" t="n">
        <x:v>23</x:v>
      </x:c>
      <x:c r="F42" s="82" t="n">
        <x:v>29.6</x:v>
      </x:c>
      <x:c r="G42" s="82" t="n">
        <x:v>33.8</x:v>
      </x:c>
      <x:c r="H42" s="82" t="n">
        <x:v>41.7</x:v>
      </x:c>
      <x:c r="I42" s="82" t="n">
        <x:v>33</x:v>
      </x:c>
    </x:row>
    <x:row r="43">
      <x:c r="A43" s="72" t="n">
        <x:v>46240.934641203705</x:v>
      </x:c>
      <x:c r="B43" s="82" t="n">
        <x:v>32.9</x:v>
      </x:c>
      <x:c r="C43" s="82" t="n">
        <x:v>34.7</x:v>
      </x:c>
      <x:c r="D43" s="82" t="n">
        <x:v>32.5</x:v>
      </x:c>
      <x:c r="E43" s="82" t="n">
        <x:v>23.1</x:v>
      </x:c>
      <x:c r="F43" s="82" t="n">
        <x:v>28.5</x:v>
      </x:c>
      <x:c r="G43" s="82" t="n">
        <x:v>32.6</x:v>
      </x:c>
      <x:c r="H43" s="82" t="n">
        <x:v>41.1</x:v>
      </x:c>
      <x:c r="I43" s="82" t="n">
        <x:v>32.7</x:v>
      </x:c>
    </x:row>
    <x:row r="44">
      <x:c r="A44" s="72" t="n">
        <x:v>46240.938113425924</x:v>
      </x:c>
      <x:c r="B44" s="82" t="n">
        <x:v>34</x:v>
      </x:c>
      <x:c r="C44" s="82" t="n">
        <x:v>35.9</x:v>
      </x:c>
      <x:c r="D44" s="82" t="n">
        <x:v>33.2</x:v>
      </x:c>
      <x:c r="E44" s="82" t="n">
        <x:v>23.5</x:v>
      </x:c>
      <x:c r="F44" s="82" t="n">
        <x:v>27.5</x:v>
      </x:c>
      <x:c r="G44" s="82" t="n">
        <x:v>31.5</x:v>
      </x:c>
      <x:c r="H44" s="82" t="n">
        <x:v>40.3</x:v>
      </x:c>
      <x:c r="I44" s="82" t="n">
        <x:v>32.1</x:v>
      </x:c>
    </x:row>
    <x:row r="45">
      <x:c r="A45" s="72" t="n">
        <x:v>46240.94158564815</x:v>
      </x:c>
      <x:c r="B45" s="82" t="n">
        <x:v>34.9</x:v>
      </x:c>
      <x:c r="C45" s="82" t="n">
        <x:v>37</x:v>
      </x:c>
      <x:c r="D45" s="82" t="n">
        <x:v>34.1</x:v>
      </x:c>
      <x:c r="E45" s="82" t="n">
        <x:v>24.2</x:v>
      </x:c>
      <x:c r="F45" s="82" t="n">
        <x:v>26.7</x:v>
      </x:c>
      <x:c r="G45" s="82" t="n">
        <x:v>30.5</x:v>
      </x:c>
      <x:c r="H45" s="82" t="n">
        <x:v>39.3</x:v>
      </x:c>
      <x:c r="I45" s="82" t="n">
        <x:v>31.3</x:v>
      </x:c>
    </x:row>
    <x:row r="46">
      <x:c r="A46" s="72" t="n">
        <x:v>46240.94505787037</x:v>
      </x:c>
      <x:c r="B46" s="82" t="n">
        <x:v>35.5</x:v>
      </x:c>
      <x:c r="C46" s="82" t="n">
        <x:v>37.9</x:v>
      </x:c>
      <x:c r="D46" s="82" t="n">
        <x:v>35.2</x:v>
      </x:c>
      <x:c r="E46" s="82" t="n">
        <x:v>25.1</x:v>
      </x:c>
      <x:c r="F46" s="82" t="n">
        <x:v>26.2</x:v>
      </x:c>
      <x:c r="G46" s="82" t="n">
        <x:v>29.7</x:v>
      </x:c>
      <x:c r="H46" s="82" t="n">
        <x:v>38.1</x:v>
      </x:c>
      <x:c r="I46" s="82" t="n">
        <x:v>30.3</x:v>
      </x:c>
    </x:row>
    <x:row r="47">
      <x:c r="A47" s="72" t="n">
        <x:v>46240.948530092595</x:v>
      </x:c>
      <x:c r="B47" s="82" t="n">
        <x:v>35.9</x:v>
      </x:c>
      <x:c r="C47" s="82" t="n">
        <x:v>38.5</x:v>
      </x:c>
      <x:c r="D47" s="82" t="n">
        <x:v>36.5</x:v>
      </x:c>
      <x:c r="E47" s="82" t="n">
        <x:v>26.2</x:v>
      </x:c>
      <x:c r="F47" s="82" t="n">
        <x:v>26</x:v>
      </x:c>
      <x:c r="G47" s="82" t="n">
        <x:v>29.2</x:v>
      </x:c>
      <x:c r="H47" s="82" t="n">
        <x:v>36.8</x:v>
      </x:c>
      <x:c r="I47" s="82" t="n">
        <x:v>29.1</x:v>
      </x:c>
    </x:row>
    <x:row r="48">
      <x:c r="A48" s="72" t="n">
        <x:v>46240.952002314814</x:v>
      </x:c>
      <x:c r="B48" s="82" t="n">
        <x:v>36</x:v>
      </x:c>
      <x:c r="C48" s="82" t="n">
        <x:v>38.9</x:v>
      </x:c>
      <x:c r="D48" s="82" t="n">
        <x:v>37.7</x:v>
      </x:c>
      <x:c r="E48" s="82" t="n">
        <x:v>27.5</x:v>
      </x:c>
      <x:c r="F48" s="82" t="n">
        <x:v>26.1</x:v>
      </x:c>
      <x:c r="G48" s="82" t="n">
        <x:v>29</x:v>
      </x:c>
      <x:c r="H48" s="82" t="n">
        <x:v>35.6</x:v>
      </x:c>
      <x:c r="I48" s="82" t="n">
        <x:v>27.8</x:v>
      </x:c>
    </x:row>
    <x:row r="49">
      <x:c r="A49" s="72" t="n">
        <x:v>46240.95547453704</x:v>
      </x:c>
      <x:c r="B49" s="82" t="n">
        <x:v>35.7</x:v>
      </x:c>
      <x:c r="C49" s="82" t="n">
        <x:v>39</x:v>
      </x:c>
      <x:c r="D49" s="82" t="n">
        <x:v>38.9</x:v>
      </x:c>
      <x:c r="E49" s="82" t="n">
        <x:v>28.7</x:v>
      </x:c>
      <x:c r="F49" s="82" t="n">
        <x:v>26.5</x:v>
      </x:c>
      <x:c r="G49" s="82" t="n">
        <x:v>29.1</x:v>
      </x:c>
      <x:c r="H49" s="82" t="n">
        <x:v>34.5</x:v>
      </x:c>
      <x:c r="I49" s="82" t="n">
        <x:v>26.6</x:v>
      </x:c>
    </x:row>
    <x:row r="50">
      <x:c r="A50" s="72" t="n">
        <x:v>46240.95894675926</x:v>
      </x:c>
      <x:c r="B50" s="82" t="n">
        <x:v>35.2</x:v>
      </x:c>
      <x:c r="C50" s="82" t="n">
        <x:v>38.7</x:v>
      </x:c>
      <x:c r="D50" s="82" t="n">
        <x:v>40</x:v>
      </x:c>
      <x:c r="E50" s="82" t="n">
        <x:v>29.9</x:v>
      </x:c>
      <x:c r="F50" s="82" t="n">
        <x:v>27.2</x:v>
      </x:c>
      <x:c r="G50" s="82" t="n">
        <x:v>29.5</x:v>
      </x:c>
      <x:c r="H50" s="82" t="n">
        <x:v>33.5</x:v>
      </x:c>
      <x:c r="I50" s="82" t="n">
        <x:v>25.5</x:v>
      </x:c>
    </x:row>
    <x:row r="51">
      <x:c r="A51" s="72" t="n">
        <x:v>46240.96241898148</x:v>
      </x:c>
      <x:c r="B51" s="82" t="n">
        <x:v>34.4</x:v>
      </x:c>
      <x:c r="C51" s="82" t="n">
        <x:v>38.2</x:v>
      </x:c>
      <x:c r="D51" s="82" t="n">
        <x:v>40.9</x:v>
      </x:c>
      <x:c r="E51" s="82" t="n">
        <x:v>31</x:v>
      </x:c>
      <x:c r="F51" s="82" t="n">
        <x:v>28.1</x:v>
      </x:c>
      <x:c r="G51" s="82" t="n">
        <x:v>30.2</x:v>
      </x:c>
      <x:c r="H51" s="82" t="n">
        <x:v>32.7</x:v>
      </x:c>
      <x:c r="I51" s="82" t="n">
        <x:v>24.5</x:v>
      </x:c>
    </x:row>
    <x:row r="52">
      <x:c r="A52" s="72" t="n">
        <x:v>46240.965891203705</x:v>
      </x:c>
      <x:c r="B52" s="82" t="n">
        <x:v>33.4</x:v>
      </x:c>
      <x:c r="C52" s="82" t="n">
        <x:v>37.4</x:v>
      </x:c>
      <x:c r="D52" s="82" t="n">
        <x:v>41.5</x:v>
      </x:c>
      <x:c r="E52" s="82" t="n">
        <x:v>31.9</x:v>
      </x:c>
      <x:c r="F52" s="82" t="n">
        <x:v>29.2</x:v>
      </x:c>
      <x:c r="G52" s="82" t="n">
        <x:v>31.1</x:v>
      </x:c>
      <x:c r="H52" s="82" t="n">
        <x:v>32.2</x:v>
      </x:c>
      <x:c r="I52" s="82" t="n">
        <x:v>23.7</x:v>
      </x:c>
    </x:row>
    <x:row r="53">
      <x:c r="A53" s="73" t="n">
        <x:v>46240.969363425924</x:v>
      </x:c>
      <x:c r="B53" s="83" t="n">
        <x:v>32.2</x:v>
      </x:c>
      <x:c r="C53" s="83" t="n">
        <x:v>36.4</x:v>
      </x:c>
      <x:c r="D53" s="83" t="n">
        <x:v>41.9</x:v>
      </x:c>
      <x:c r="E53" s="83" t="n">
        <x:v>32.5</x:v>
      </x:c>
      <x:c r="F53" s="83" t="n">
        <x:v>30.5</x:v>
      </x:c>
      <x:c r="G53" s="83" t="n">
        <x:v>32.2</x:v>
      </x:c>
      <x:c r="H53" s="83" t="n">
        <x:v>32</x:v>
      </x:c>
      <x:c r="I53" s="83" t="n">
        <x:v>23.2</x:v>
      </x:c>
    </x:row>
  </x:sheetData>
  <x:mergeCells>
    <x:mergeCell ref="A1:I1"/>
    <x:mergeCell ref="A2:I2"/>
  </x:mergeCells>
  <x:conditionalFormatting sqref="B5:I53">
    <x:cfRule type="expression" dxfId="0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ad9e8e5abd434597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W0处理：土壤含水率随时间变化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排列。单位：%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8" t="str">
        <x:v>采集时间</x:v>
      </x:c>
      <x:c r="B4" s="47" t="str">
        <x:v>B1-W0-V1（P01）</x:v>
      </x:c>
      <x:c r="C4" s="47" t="str">
        <x:v>B1-W0-V2（P02）</x:v>
      </x:c>
      <x:c r="D4" s="47" t="str">
        <x:v>B2-W0-V1（P07）</x:v>
      </x:c>
      <x:c r="E4" s="47" t="str">
        <x:v>B2-W0-V2（P08）</x:v>
      </x:c>
      <x:c r="F4" s="47" t="str">
        <x:v>B3-W0-V1（P13）</x:v>
      </x:c>
      <x:c r="G4" s="47" t="str">
        <x:v>B3-W0-V2（P14）</x:v>
      </x:c>
      <x:c r="H4" s="47" t="str">
        <x:v>B4-W0-V1（P19）</x:v>
      </x:c>
      <x:c r="I4" s="19" t="str">
        <x:v>B4-W0-V2（P20）</x:v>
      </x:c>
    </x:row>
    <x:row r="5">
      <x:c r="A5" s="72" t="n">
        <x:v>46240.80269675926</x:v>
      </x:c>
      <x:c r="B5" s="82" t="n">
        <x:v>34.4</x:v>
      </x:c>
      <x:c r="C5" s="82" t="n">
        <x:v>35.9</x:v>
      </x:c>
      <x:c r="D5" s="82" t="n">
        <x:v>42.9</x:v>
      </x:c>
      <x:c r="E5" s="82" t="n">
        <x:v>36</x:v>
      </x:c>
      <x:c r="F5" s="82" t="n">
        <x:v>39.9</x:v>
      </x:c>
      <x:c r="G5" s="82" t="n">
        <x:v>40.4</x:v>
      </x:c>
      <x:c r="H5" s="82" t="n">
        <x:v>35.3</x:v>
      </x:c>
      <x:c r="I5" s="82" t="n">
        <x:v>36.1</x:v>
      </x:c>
    </x:row>
    <x:row r="6">
      <x:c r="A6" s="72" t="n">
        <x:v>46240.80616898148</x:v>
      </x:c>
      <x:c r="B6" s="82" t="n">
        <x:v>33.9</x:v>
      </x:c>
      <x:c r="C6" s="82" t="n">
        <x:v>35.4</x:v>
      </x:c>
      <x:c r="D6" s="82" t="n">
        <x:v>42.6</x:v>
      </x:c>
      <x:c r="E6" s="82" t="n">
        <x:v>35.9</x:v>
      </x:c>
      <x:c r="F6" s="82" t="n">
        <x:v>40.3</x:v>
      </x:c>
      <x:c r="G6" s="82" t="n">
        <x:v>40.9</x:v>
      </x:c>
      <x:c r="H6" s="82" t="n">
        <x:v>35.6</x:v>
      </x:c>
      <x:c r="I6" s="82" t="n">
        <x:v>36.3</x:v>
      </x:c>
    </x:row>
    <x:row r="7">
      <x:c r="A7" s="72" t="n">
        <x:v>46240.809641203705</x:v>
      </x:c>
      <x:c r="B7" s="82" t="n">
        <x:v>33.5</x:v>
      </x:c>
      <x:c r="C7" s="82" t="n">
        <x:v>34.9</x:v>
      </x:c>
      <x:c r="D7" s="82" t="n">
        <x:v>42.3</x:v>
      </x:c>
      <x:c r="E7" s="82" t="n">
        <x:v>35.6</x:v>
      </x:c>
      <x:c r="F7" s="82" t="n">
        <x:v>40.6</x:v>
      </x:c>
      <x:c r="G7" s="82" t="n">
        <x:v>41.3</x:v>
      </x:c>
      <x:c r="H7" s="82" t="n">
        <x:v>36</x:v>
      </x:c>
      <x:c r="I7" s="82" t="n">
        <x:v>36.6</x:v>
      </x:c>
    </x:row>
    <x:row r="8">
      <x:c r="A8" s="72" t="n">
        <x:v>46240.813113425924</x:v>
      </x:c>
      <x:c r="B8" s="82" t="n">
        <x:v>33.2</x:v>
      </x:c>
      <x:c r="C8" s="82" t="n">
        <x:v>34.5</x:v>
      </x:c>
      <x:c r="D8" s="82" t="n">
        <x:v>41.8</x:v>
      </x:c>
      <x:c r="E8" s="82" t="n">
        <x:v>35.3</x:v>
      </x:c>
      <x:c r="F8" s="82" t="n">
        <x:v>40.9</x:v>
      </x:c>
      <x:c r="G8" s="82" t="n">
        <x:v>41.6</x:v>
      </x:c>
      <x:c r="H8" s="82" t="n">
        <x:v>36.4</x:v>
      </x:c>
      <x:c r="I8" s="82" t="n">
        <x:v>37</x:v>
      </x:c>
    </x:row>
    <x:row r="9">
      <x:c r="A9" s="72" t="n">
        <x:v>46240.81658564815</x:v>
      </x:c>
      <x:c r="B9" s="82" t="n">
        <x:v>33.1</x:v>
      </x:c>
      <x:c r="C9" s="82" t="n">
        <x:v>34.2</x:v>
      </x:c>
      <x:c r="D9" s="82" t="n">
        <x:v>41.4</x:v>
      </x:c>
      <x:c r="E9" s="82" t="n">
        <x:v>34.8</x:v>
      </x:c>
      <x:c r="F9" s="82" t="n">
        <x:v>41</x:v>
      </x:c>
      <x:c r="G9" s="82" t="n">
        <x:v>41.9</x:v>
      </x:c>
      <x:c r="H9" s="82" t="n">
        <x:v>36.9</x:v>
      </x:c>
      <x:c r="I9" s="82" t="n">
        <x:v>37.4</x:v>
      </x:c>
    </x:row>
    <x:row r="10">
      <x:c r="A10" s="72" t="n">
        <x:v>46240.82005787037</x:v>
      </x:c>
      <x:c r="B10" s="82" t="n">
        <x:v>33</x:v>
      </x:c>
      <x:c r="C10" s="82" t="n">
        <x:v>34.1</x:v>
      </x:c>
      <x:c r="D10" s="82" t="n">
        <x:v>40.9</x:v>
      </x:c>
      <x:c r="E10" s="82" t="n">
        <x:v>34.4</x:v>
      </x:c>
      <x:c r="F10" s="82" t="n">
        <x:v>41</x:v>
      </x:c>
      <x:c r="G10" s="82" t="n">
        <x:v>42</x:v>
      </x:c>
      <x:c r="H10" s="82" t="n">
        <x:v>37.4</x:v>
      </x:c>
      <x:c r="I10" s="82" t="n">
        <x:v>37.9</x:v>
      </x:c>
    </x:row>
    <x:row r="11">
      <x:c r="A11" s="72" t="n">
        <x:v>46240.823530092595</x:v>
      </x:c>
      <x:c r="B11" s="82" t="n">
        <x:v>33.1</x:v>
      </x:c>
      <x:c r="C11" s="82" t="n">
        <x:v>34</x:v>
      </x:c>
      <x:c r="D11" s="82" t="n">
        <x:v>40.4</x:v>
      </x:c>
      <x:c r="E11" s="82" t="n">
        <x:v>33.9</x:v>
      </x:c>
      <x:c r="F11" s="82" t="n">
        <x:v>40.9</x:v>
      </x:c>
      <x:c r="G11" s="82" t="n">
        <x:v>42</x:v>
      </x:c>
      <x:c r="H11" s="82" t="n">
        <x:v>37.9</x:v>
      </x:c>
      <x:c r="I11" s="82" t="n">
        <x:v>38.4</x:v>
      </x:c>
    </x:row>
    <x:row r="12">
      <x:c r="A12" s="72" t="n">
        <x:v>46240.827002314814</x:v>
      </x:c>
      <x:c r="B12" s="82" t="n">
        <x:v>33.2</x:v>
      </x:c>
      <x:c r="C12" s="82" t="n">
        <x:v>34.1</x:v>
      </x:c>
      <x:c r="D12" s="82" t="n">
        <x:v>39.9</x:v>
      </x:c>
      <x:c r="E12" s="82" t="n">
        <x:v>33.4</x:v>
      </x:c>
      <x:c r="F12" s="82" t="n">
        <x:v>40.6</x:v>
      </x:c>
      <x:c r="G12" s="82" t="n">
        <x:v>41.9</x:v>
      </x:c>
      <x:c r="H12" s="82" t="n">
        <x:v>38.3</x:v>
      </x:c>
      <x:c r="I12" s="82" t="n">
        <x:v>38.9</x:v>
      </x:c>
    </x:row>
    <x:row r="13">
      <x:c r="A13" s="72" t="n">
        <x:v>46240.83047453704</x:v>
      </x:c>
      <x:c r="B13" s="82" t="n">
        <x:v>33.5</x:v>
      </x:c>
      <x:c r="C13" s="82" t="n">
        <x:v>34.2</x:v>
      </x:c>
      <x:c r="D13" s="82" t="n">
        <x:v>39.5</x:v>
      </x:c>
      <x:c r="E13" s="82" t="n">
        <x:v>32.9</x:v>
      </x:c>
      <x:c r="F13" s="82" t="n">
        <x:v>40.3</x:v>
      </x:c>
      <x:c r="G13" s="82" t="n">
        <x:v>41.6</x:v>
      </x:c>
      <x:c r="H13" s="82" t="n">
        <x:v>38.6</x:v>
      </x:c>
      <x:c r="I13" s="82" t="n">
        <x:v>39.3</x:v>
      </x:c>
    </x:row>
    <x:row r="14">
      <x:c r="A14" s="72" t="n">
        <x:v>46240.83394675926</x:v>
      </x:c>
      <x:c r="B14" s="82" t="n">
        <x:v>33.9</x:v>
      </x:c>
      <x:c r="C14" s="82" t="n">
        <x:v>34.5</x:v>
      </x:c>
      <x:c r="D14" s="82" t="n">
        <x:v>39.2</x:v>
      </x:c>
      <x:c r="E14" s="82" t="n">
        <x:v>32.5</x:v>
      </x:c>
      <x:c r="F14" s="82" t="n">
        <x:v>39.8</x:v>
      </x:c>
      <x:c r="G14" s="82" t="n">
        <x:v>41.3</x:v>
      </x:c>
      <x:c r="H14" s="82" t="n">
        <x:v>38.9</x:v>
      </x:c>
      <x:c r="I14" s="82" t="n">
        <x:v>39.6</x:v>
      </x:c>
    </x:row>
    <x:row r="15">
      <x:c r="A15" s="72" t="n">
        <x:v>46240.83741898148</x:v>
      </x:c>
      <x:c r="B15" s="82" t="n">
        <x:v>34.4</x:v>
      </x:c>
      <x:c r="C15" s="82" t="n">
        <x:v>34.9</x:v>
      </x:c>
      <x:c r="D15" s="82" t="n">
        <x:v>39.1</x:v>
      </x:c>
      <x:c r="E15" s="82" t="n">
        <x:v>32.2</x:v>
      </x:c>
      <x:c r="F15" s="82" t="n">
        <x:v>39.4</x:v>
      </x:c>
      <x:c r="G15" s="82" t="n">
        <x:v>40.8</x:v>
      </x:c>
      <x:c r="H15" s="82" t="n">
        <x:v>39</x:v>
      </x:c>
      <x:c r="I15" s="82" t="n">
        <x:v>39.9</x:v>
      </x:c>
    </x:row>
    <x:row r="16">
      <x:c r="A16" s="72" t="n">
        <x:v>46240.840891203705</x:v>
      </x:c>
      <x:c r="B16" s="82" t="n">
        <x:v>34.8</x:v>
      </x:c>
      <x:c r="C16" s="82" t="n">
        <x:v>35.4</x:v>
      </x:c>
      <x:c r="D16" s="82" t="n">
        <x:v>39</x:v>
      </x:c>
      <x:c r="E16" s="82" t="n">
        <x:v>32.1</x:v>
      </x:c>
      <x:c r="F16" s="82" t="n">
        <x:v>38.9</x:v>
      </x:c>
      <x:c r="G16" s="82" t="n">
        <x:v>40.4</x:v>
      </x:c>
      <x:c r="H16" s="82" t="n">
        <x:v>39</x:v>
      </x:c>
      <x:c r="I16" s="82" t="n">
        <x:v>40</x:v>
      </x:c>
    </x:row>
    <x:row r="17">
      <x:c r="A17" s="72" t="n">
        <x:v>46240.844363425924</x:v>
      </x:c>
      <x:c r="B17" s="82" t="n">
        <x:v>35.3</x:v>
      </x:c>
      <x:c r="C17" s="82" t="n">
        <x:v>35.8</x:v>
      </x:c>
      <x:c r="D17" s="82" t="n">
        <x:v>39.1</x:v>
      </x:c>
      <x:c r="E17" s="82" t="n">
        <x:v>32</x:v>
      </x:c>
      <x:c r="F17" s="82" t="n">
        <x:v>38.4</x:v>
      </x:c>
      <x:c r="G17" s="82" t="n">
        <x:v>39.9</x:v>
      </x:c>
      <x:c r="H17" s="82" t="n">
        <x:v>38.9</x:v>
      </x:c>
      <x:c r="I17" s="82" t="n">
        <x:v>40</x:v>
      </x:c>
    </x:row>
    <x:row r="18">
      <x:c r="A18" s="72" t="n">
        <x:v>46240.84783564815</x:v>
      </x:c>
      <x:c r="B18" s="82" t="n">
        <x:v>35.8</x:v>
      </x:c>
      <x:c r="C18" s="82" t="n">
        <x:v>36.3</x:v>
      </x:c>
      <x:c r="D18" s="82" t="n">
        <x:v>39.2</x:v>
      </x:c>
      <x:c r="E18" s="82" t="n">
        <x:v>32.1</x:v>
      </x:c>
      <x:c r="F18" s="82" t="n">
        <x:v>37.9</x:v>
      </x:c>
      <x:c r="G18" s="82" t="n">
        <x:v>39.4</x:v>
      </x:c>
      <x:c r="H18" s="82" t="n">
        <x:v>38.6</x:v>
      </x:c>
      <x:c r="I18" s="82" t="n">
        <x:v>39.9</x:v>
      </x:c>
    </x:row>
    <x:row r="19">
      <x:c r="A19" s="72" t="n">
        <x:v>46240.85130787037</x:v>
      </x:c>
      <x:c r="B19" s="82" t="n">
        <x:v>36.2</x:v>
      </x:c>
      <x:c r="C19" s="82" t="n">
        <x:v>36.8</x:v>
      </x:c>
      <x:c r="D19" s="82" t="n">
        <x:v>39.5</x:v>
      </x:c>
      <x:c r="E19" s="82" t="n">
        <x:v>32.2</x:v>
      </x:c>
      <x:c r="F19" s="82" t="n">
        <x:v>37.5</x:v>
      </x:c>
      <x:c r="G19" s="82" t="n">
        <x:v>38.9</x:v>
      </x:c>
      <x:c r="H19" s="82" t="n">
        <x:v>38.3</x:v>
      </x:c>
      <x:c r="I19" s="82" t="n">
        <x:v>39.6</x:v>
      </x:c>
    </x:row>
    <x:row r="20">
      <x:c r="A20" s="72" t="n">
        <x:v>46240.854780092595</x:v>
      </x:c>
      <x:c r="B20" s="82" t="n">
        <x:v>36.6</x:v>
      </x:c>
      <x:c r="C20" s="82" t="n">
        <x:v>37.2</x:v>
      </x:c>
      <x:c r="D20" s="82" t="n">
        <x:v>39.9</x:v>
      </x:c>
      <x:c r="E20" s="82" t="n">
        <x:v>32.5</x:v>
      </x:c>
      <x:c r="F20" s="82" t="n">
        <x:v>37.2</x:v>
      </x:c>
      <x:c r="G20" s="82" t="n">
        <x:v>38.5</x:v>
      </x:c>
      <x:c r="H20" s="82" t="n">
        <x:v>37.8</x:v>
      </x:c>
      <x:c r="I20" s="82" t="n">
        <x:v>39.3</x:v>
      </x:c>
    </x:row>
    <x:row r="21">
      <x:c r="A21" s="72" t="n">
        <x:v>46240.858252314814</x:v>
      </x:c>
      <x:c r="B21" s="82" t="n">
        <x:v>36.8</x:v>
      </x:c>
      <x:c r="C21" s="82" t="n">
        <x:v>37.6</x:v>
      </x:c>
      <x:c r="D21" s="82" t="n">
        <x:v>40.4</x:v>
      </x:c>
      <x:c r="E21" s="82" t="n">
        <x:v>32.9</x:v>
      </x:c>
      <x:c r="F21" s="82" t="n">
        <x:v>37.1</x:v>
      </x:c>
      <x:c r="G21" s="82" t="n">
        <x:v>38.2</x:v>
      </x:c>
      <x:c r="H21" s="82" t="n">
        <x:v>37.4</x:v>
      </x:c>
      <x:c r="I21" s="82" t="n">
        <x:v>38.8</x:v>
      </x:c>
    </x:row>
    <x:row r="22">
      <x:c r="A22" s="72" t="n">
        <x:v>46240.86172453704</x:v>
      </x:c>
      <x:c r="B22" s="82" t="n">
        <x:v>37</x:v>
      </x:c>
      <x:c r="C22" s="82" t="n">
        <x:v>37.8</x:v>
      </x:c>
      <x:c r="D22" s="82" t="n">
        <x:v>40.8</x:v>
      </x:c>
      <x:c r="E22" s="82" t="n">
        <x:v>33.4</x:v>
      </x:c>
      <x:c r="F22" s="82" t="n">
        <x:v>37</x:v>
      </x:c>
      <x:c r="G22" s="82" t="n">
        <x:v>38.1</x:v>
      </x:c>
      <x:c r="H22" s="82" t="n">
        <x:v>36.9</x:v>
      </x:c>
      <x:c r="I22" s="82" t="n">
        <x:v>38.4</x:v>
      </x:c>
    </x:row>
    <x:row r="23">
      <x:c r="A23" s="72" t="n">
        <x:v>46240.86519675926</x:v>
      </x:c>
      <x:c r="B23" s="82" t="n">
        <x:v>37</x:v>
      </x:c>
      <x:c r="C23" s="82" t="n">
        <x:v>38</x:v>
      </x:c>
      <x:c r="D23" s="82" t="n">
        <x:v>41.3</x:v>
      </x:c>
      <x:c r="E23" s="82" t="n">
        <x:v>33.8</x:v>
      </x:c>
      <x:c r="F23" s="82" t="n">
        <x:v>37.1</x:v>
      </x:c>
      <x:c r="G23" s="82" t="n">
        <x:v>38</x:v>
      </x:c>
      <x:c r="H23" s="82" t="n">
        <x:v>36.4</x:v>
      </x:c>
      <x:c r="I23" s="82" t="n">
        <x:v>37.9</x:v>
      </x:c>
    </x:row>
    <x:row r="24">
      <x:c r="A24" s="72" t="n">
        <x:v>46240.86866898148</x:v>
      </x:c>
      <x:c r="B24" s="82" t="n">
        <x:v>36.9</x:v>
      </x:c>
      <x:c r="C24" s="82" t="n">
        <x:v>38</x:v>
      </x:c>
      <x:c r="D24" s="82" t="n">
        <x:v>41.8</x:v>
      </x:c>
      <x:c r="E24" s="82" t="n">
        <x:v>34.3</x:v>
      </x:c>
      <x:c r="F24" s="82" t="n">
        <x:v>37.2</x:v>
      </x:c>
      <x:c r="G24" s="82" t="n">
        <x:v>38.1</x:v>
      </x:c>
      <x:c r="H24" s="82" t="n">
        <x:v>35.9</x:v>
      </x:c>
      <x:c r="I24" s="82" t="n">
        <x:v>37.4</x:v>
      </x:c>
    </x:row>
    <x:row r="25">
      <x:c r="A25" s="72" t="n">
        <x:v>46240.872141203705</x:v>
      </x:c>
      <x:c r="B25" s="82" t="n">
        <x:v>36.6</x:v>
      </x:c>
      <x:c r="C25" s="82" t="n">
        <x:v>37.9</x:v>
      </x:c>
      <x:c r="D25" s="82" t="n">
        <x:v>42.2</x:v>
      </x:c>
      <x:c r="E25" s="82" t="n">
        <x:v>34.8</x:v>
      </x:c>
      <x:c r="F25" s="82" t="n">
        <x:v>37.5</x:v>
      </x:c>
      <x:c r="G25" s="82" t="n">
        <x:v>38.2</x:v>
      </x:c>
      <x:c r="H25" s="82" t="n">
        <x:v>35.5</x:v>
      </x:c>
      <x:c r="I25" s="82" t="n">
        <x:v>36.9</x:v>
      </x:c>
    </x:row>
    <x:row r="26">
      <x:c r="A26" s="72" t="n">
        <x:v>46240.875613425924</x:v>
      </x:c>
      <x:c r="B26" s="82" t="n">
        <x:v>36.3</x:v>
      </x:c>
      <x:c r="C26" s="82" t="n">
        <x:v>37.6</x:v>
      </x:c>
      <x:c r="D26" s="82" t="n">
        <x:v>42.6</x:v>
      </x:c>
      <x:c r="E26" s="82" t="n">
        <x:v>35.2</x:v>
      </x:c>
      <x:c r="F26" s="82" t="n">
        <x:v>37.9</x:v>
      </x:c>
      <x:c r="G26" s="82" t="n">
        <x:v>38.5</x:v>
      </x:c>
      <x:c r="H26" s="82" t="n">
        <x:v>35.2</x:v>
      </x:c>
      <x:c r="I26" s="82" t="n">
        <x:v>36.5</x:v>
      </x:c>
    </x:row>
    <x:row r="27">
      <x:c r="A27" s="72" t="n">
        <x:v>46240.87908564815</x:v>
      </x:c>
      <x:c r="B27" s="82" t="n">
        <x:v>35.9</x:v>
      </x:c>
      <x:c r="C27" s="82" t="n">
        <x:v>37.3</x:v>
      </x:c>
      <x:c r="D27" s="82" t="n">
        <x:v>42.8</x:v>
      </x:c>
      <x:c r="E27" s="82" t="n">
        <x:v>35.6</x:v>
      </x:c>
      <x:c r="F27" s="82" t="n">
        <x:v>38.4</x:v>
      </x:c>
      <x:c r="G27" s="82" t="n">
        <x:v>38.9</x:v>
      </x:c>
      <x:c r="H27" s="82" t="n">
        <x:v>35.1</x:v>
      </x:c>
      <x:c r="I27" s="82" t="n">
        <x:v>36.2</x:v>
      </x:c>
    </x:row>
    <x:row r="28">
      <x:c r="A28" s="72" t="n">
        <x:v>46240.88255787037</x:v>
      </x:c>
      <x:c r="B28" s="82" t="n">
        <x:v>35.4</x:v>
      </x:c>
      <x:c r="C28" s="82" t="n">
        <x:v>36.9</x:v>
      </x:c>
      <x:c r="D28" s="82" t="n">
        <x:v>43</x:v>
      </x:c>
      <x:c r="E28" s="82" t="n">
        <x:v>35.8</x:v>
      </x:c>
      <x:c r="F28" s="82" t="n">
        <x:v>38.8</x:v>
      </x:c>
      <x:c r="G28" s="82" t="n">
        <x:v>39.4</x:v>
      </x:c>
      <x:c r="H28" s="82" t="n">
        <x:v>35</x:v>
      </x:c>
      <x:c r="I28" s="82" t="n">
        <x:v>36.1</x:v>
      </x:c>
    </x:row>
    <x:row r="29">
      <x:c r="A29" s="72" t="n">
        <x:v>46240.886030092595</x:v>
      </x:c>
      <x:c r="B29" s="82" t="n">
        <x:v>34.9</x:v>
      </x:c>
      <x:c r="C29" s="82" t="n">
        <x:v>36.4</x:v>
      </x:c>
      <x:c r="D29" s="82" t="n">
        <x:v>43</x:v>
      </x:c>
      <x:c r="E29" s="82" t="n">
        <x:v>36</x:v>
      </x:c>
      <x:c r="F29" s="82" t="n">
        <x:v>39.3</x:v>
      </x:c>
      <x:c r="G29" s="82" t="n">
        <x:v>39.8</x:v>
      </x:c>
      <x:c r="H29" s="82" t="n">
        <x:v>35.1</x:v>
      </x:c>
      <x:c r="I29" s="82" t="n">
        <x:v>36</x:v>
      </x:c>
    </x:row>
    <x:row r="30">
      <x:c r="A30" s="72" t="n">
        <x:v>46240.889502314814</x:v>
      </x:c>
      <x:c r="B30" s="82" t="n">
        <x:v>34.4</x:v>
      </x:c>
      <x:c r="C30" s="82" t="n">
        <x:v>35.9</x:v>
      </x:c>
      <x:c r="D30" s="82" t="n">
        <x:v>42.9</x:v>
      </x:c>
      <x:c r="E30" s="82" t="n">
        <x:v>36</x:v>
      </x:c>
      <x:c r="F30" s="82" t="n">
        <x:v>39.8</x:v>
      </x:c>
      <x:c r="G30" s="82" t="n">
        <x:v>40.3</x:v>
      </x:c>
      <x:c r="H30" s="82" t="n">
        <x:v>35.2</x:v>
      </x:c>
      <x:c r="I30" s="82" t="n">
        <x:v>36.1</x:v>
      </x:c>
    </x:row>
    <x:row r="31">
      <x:c r="A31" s="72" t="n">
        <x:v>46240.89297453704</x:v>
      </x:c>
      <x:c r="B31" s="82" t="n">
        <x:v>34</x:v>
      </x:c>
      <x:c r="C31" s="82" t="n">
        <x:v>35.4</x:v>
      </x:c>
      <x:c r="D31" s="82" t="n">
        <x:v>42.6</x:v>
      </x:c>
      <x:c r="E31" s="82" t="n">
        <x:v>35.9</x:v>
      </x:c>
      <x:c r="F31" s="82" t="n">
        <x:v>40.2</x:v>
      </x:c>
      <x:c r="G31" s="82" t="n">
        <x:v>40.8</x:v>
      </x:c>
      <x:c r="H31" s="82" t="n">
        <x:v>35.5</x:v>
      </x:c>
      <x:c r="I31" s="82" t="n">
        <x:v>36.2</x:v>
      </x:c>
    </x:row>
    <x:row r="32">
      <x:c r="A32" s="72" t="n">
        <x:v>46240.89644675926</x:v>
      </x:c>
      <x:c r="B32" s="82" t="n">
        <x:v>33.6</x:v>
      </x:c>
      <x:c r="C32" s="82" t="n">
        <x:v>35</x:v>
      </x:c>
      <x:c r="D32" s="82" t="n">
        <x:v>42.3</x:v>
      </x:c>
      <x:c r="E32" s="82" t="n">
        <x:v>35.6</x:v>
      </x:c>
      <x:c r="F32" s="82" t="n">
        <x:v>40.6</x:v>
      </x:c>
      <x:c r="G32" s="82" t="n">
        <x:v>41.2</x:v>
      </x:c>
      <x:c r="H32" s="82" t="n">
        <x:v>35.9</x:v>
      </x:c>
      <x:c r="I32" s="82" t="n">
        <x:v>36.5</x:v>
      </x:c>
    </x:row>
    <x:row r="33">
      <x:c r="A33" s="72" t="n">
        <x:v>46240.89991898148</x:v>
      </x:c>
      <x:c r="B33" s="82" t="n">
        <x:v>33.3</x:v>
      </x:c>
      <x:c r="C33" s="82" t="n">
        <x:v>34.6</x:v>
      </x:c>
      <x:c r="D33" s="82" t="n">
        <x:v>41.9</x:v>
      </x:c>
      <x:c r="E33" s="82" t="n">
        <x:v>35.3</x:v>
      </x:c>
      <x:c r="F33" s="82" t="n">
        <x:v>40.8</x:v>
      </x:c>
      <x:c r="G33" s="82" t="n">
        <x:v>41.6</x:v>
      </x:c>
      <x:c r="H33" s="82" t="n">
        <x:v>36.4</x:v>
      </x:c>
      <x:c r="I33" s="82" t="n">
        <x:v>36.9</x:v>
      </x:c>
    </x:row>
    <x:row r="34">
      <x:c r="A34" s="72" t="n">
        <x:v>46240.903391203705</x:v>
      </x:c>
      <x:c r="B34" s="82" t="n">
        <x:v>33.1</x:v>
      </x:c>
      <x:c r="C34" s="82" t="n">
        <x:v>34.3</x:v>
      </x:c>
      <x:c r="D34" s="82" t="n">
        <x:v>41.4</x:v>
      </x:c>
      <x:c r="E34" s="82" t="n">
        <x:v>34.9</x:v>
      </x:c>
      <x:c r="F34" s="82" t="n">
        <x:v>41</x:v>
      </x:c>
      <x:c r="G34" s="82" t="n">
        <x:v>41.8</x:v>
      </x:c>
      <x:c r="H34" s="82" t="n">
        <x:v>36.8</x:v>
      </x:c>
      <x:c r="I34" s="82" t="n">
        <x:v>37.4</x:v>
      </x:c>
    </x:row>
    <x:row r="35">
      <x:c r="A35" s="72" t="n">
        <x:v>46240.906863425924</x:v>
      </x:c>
      <x:c r="B35" s="82" t="n">
        <x:v>33</x:v>
      </x:c>
      <x:c r="C35" s="82" t="n">
        <x:v>34.1</x:v>
      </x:c>
      <x:c r="D35" s="82" t="n">
        <x:v>40.9</x:v>
      </x:c>
      <x:c r="E35" s="82" t="n">
        <x:v>34.4</x:v>
      </x:c>
      <x:c r="F35" s="82" t="n">
        <x:v>41</x:v>
      </x:c>
      <x:c r="G35" s="82" t="n">
        <x:v>42</x:v>
      </x:c>
      <x:c r="H35" s="82" t="n">
        <x:v>37.3</x:v>
      </x:c>
      <x:c r="I35" s="82" t="n">
        <x:v>37.8</x:v>
      </x:c>
    </x:row>
    <x:row r="36">
      <x:c r="A36" s="72" t="n">
        <x:v>46240.91033564815</x:v>
      </x:c>
      <x:c r="B36" s="82" t="n">
        <x:v>33</x:v>
      </x:c>
      <x:c r="C36" s="82" t="n">
        <x:v>34</x:v>
      </x:c>
      <x:c r="D36" s="82" t="n">
        <x:v>40.4</x:v>
      </x:c>
      <x:c r="E36" s="82" t="n">
        <x:v>33.9</x:v>
      </x:c>
      <x:c r="F36" s="82" t="n">
        <x:v>40.9</x:v>
      </x:c>
      <x:c r="G36" s="82" t="n">
        <x:v>42</x:v>
      </x:c>
      <x:c r="H36" s="82" t="n">
        <x:v>37.8</x:v>
      </x:c>
      <x:c r="I36" s="82" t="n">
        <x:v>38.3</x:v>
      </x:c>
    </x:row>
    <x:row r="37">
      <x:c r="A37" s="72" t="n">
        <x:v>46240.91380787037</x:v>
      </x:c>
      <x:c r="B37" s="82" t="n">
        <x:v>33.2</x:v>
      </x:c>
      <x:c r="C37" s="82" t="n">
        <x:v>34</x:v>
      </x:c>
      <x:c r="D37" s="82" t="n">
        <x:v>40</x:v>
      </x:c>
      <x:c r="E37" s="82" t="n">
        <x:v>33.4</x:v>
      </x:c>
      <x:c r="F37" s="82" t="n">
        <x:v>40.6</x:v>
      </x:c>
      <x:c r="G37" s="82" t="n">
        <x:v>41.9</x:v>
      </x:c>
      <x:c r="H37" s="82" t="n">
        <x:v>38.2</x:v>
      </x:c>
      <x:c r="I37" s="82" t="n">
        <x:v>38.8</x:v>
      </x:c>
    </x:row>
    <x:row r="38">
      <x:c r="A38" s="72" t="n">
        <x:v>46240.917280092595</x:v>
      </x:c>
      <x:c r="B38" s="82" t="n">
        <x:v>33.5</x:v>
      </x:c>
      <x:c r="C38" s="82" t="n">
        <x:v>34.2</x:v>
      </x:c>
      <x:c r="D38" s="82" t="n">
        <x:v>39.6</x:v>
      </x:c>
      <x:c r="E38" s="82" t="n">
        <x:v>33</x:v>
      </x:c>
      <x:c r="F38" s="82" t="n">
        <x:v>40.3</x:v>
      </x:c>
      <x:c r="G38" s="82" t="n">
        <x:v>41.6</x:v>
      </x:c>
      <x:c r="H38" s="82" t="n">
        <x:v>38.6</x:v>
      </x:c>
      <x:c r="I38" s="82" t="n">
        <x:v>39.2</x:v>
      </x:c>
    </x:row>
    <x:row r="39">
      <x:c r="A39" s="72" t="n">
        <x:v>46240.920752314814</x:v>
      </x:c>
      <x:c r="B39" s="82" t="n">
        <x:v>33.9</x:v>
      </x:c>
      <x:c r="C39" s="82" t="n">
        <x:v>34.5</x:v>
      </x:c>
      <x:c r="D39" s="82" t="n">
        <x:v>39.3</x:v>
      </x:c>
      <x:c r="E39" s="82" t="n">
        <x:v>32.6</x:v>
      </x:c>
      <x:c r="F39" s="82" t="n">
        <x:v>39.9</x:v>
      </x:c>
      <x:c r="G39" s="82" t="n">
        <x:v>41.3</x:v>
      </x:c>
      <x:c r="H39" s="82" t="n">
        <x:v>38.8</x:v>
      </x:c>
      <x:c r="I39" s="82" t="n">
        <x:v>39.6</x:v>
      </x:c>
    </x:row>
    <x:row r="40">
      <x:c r="A40" s="72" t="n">
        <x:v>46240.92422453704</x:v>
      </x:c>
      <x:c r="B40" s="82" t="n">
        <x:v>34.3</x:v>
      </x:c>
      <x:c r="C40" s="82" t="n">
        <x:v>34.9</x:v>
      </x:c>
      <x:c r="D40" s="82" t="n">
        <x:v>39.1</x:v>
      </x:c>
      <x:c r="E40" s="82" t="n">
        <x:v>32.3</x:v>
      </x:c>
      <x:c r="F40" s="82" t="n">
        <x:v>39.4</x:v>
      </x:c>
      <x:c r="G40" s="82" t="n">
        <x:v>40.9</x:v>
      </x:c>
      <x:c r="H40" s="82" t="n">
        <x:v>39</x:v>
      </x:c>
      <x:c r="I40" s="82" t="n">
        <x:v>39.8</x:v>
      </x:c>
    </x:row>
    <x:row r="41">
      <x:c r="A41" s="72" t="n">
        <x:v>46240.92769675926</x:v>
      </x:c>
      <x:c r="B41" s="82" t="n">
        <x:v>34.8</x:v>
      </x:c>
      <x:c r="C41" s="82" t="n">
        <x:v>35.3</x:v>
      </x:c>
      <x:c r="D41" s="82" t="n">
        <x:v>39</x:v>
      </x:c>
      <x:c r="E41" s="82" t="n">
        <x:v>32.1</x:v>
      </x:c>
      <x:c r="F41" s="82" t="n">
        <x:v>38.9</x:v>
      </x:c>
      <x:c r="G41" s="82" t="n">
        <x:v>40.4</x:v>
      </x:c>
      <x:c r="H41" s="82" t="n">
        <x:v>39</x:v>
      </x:c>
      <x:c r="I41" s="82" t="n">
        <x:v>40</x:v>
      </x:c>
    </x:row>
    <x:row r="42">
      <x:c r="A42" s="72" t="n">
        <x:v>46240.93116898148</x:v>
      </x:c>
      <x:c r="B42" s="82" t="n">
        <x:v>35.3</x:v>
      </x:c>
      <x:c r="C42" s="82" t="n">
        <x:v>35.8</x:v>
      </x:c>
      <x:c r="D42" s="82" t="n">
        <x:v>39</x:v>
      </x:c>
      <x:c r="E42" s="82" t="n">
        <x:v>32</x:v>
      </x:c>
      <x:c r="F42" s="82" t="n">
        <x:v>38.4</x:v>
      </x:c>
      <x:c r="G42" s="82" t="n">
        <x:v>39.9</x:v>
      </x:c>
      <x:c r="H42" s="82" t="n">
        <x:v>38.9</x:v>
      </x:c>
      <x:c r="I42" s="82" t="n">
        <x:v>40</x:v>
      </x:c>
    </x:row>
    <x:row r="43">
      <x:c r="A43" s="72" t="n">
        <x:v>46240.934641203705</x:v>
      </x:c>
      <x:c r="B43" s="82" t="n">
        <x:v>35.8</x:v>
      </x:c>
      <x:c r="C43" s="82" t="n">
        <x:v>36.3</x:v>
      </x:c>
      <x:c r="D43" s="82" t="n">
        <x:v>39.2</x:v>
      </x:c>
      <x:c r="E43" s="82" t="n">
        <x:v>32</x:v>
      </x:c>
      <x:c r="F43" s="82" t="n">
        <x:v>38</x:v>
      </x:c>
      <x:c r="G43" s="82" t="n">
        <x:v>39.4</x:v>
      </x:c>
      <x:c r="H43" s="82" t="n">
        <x:v>38.6</x:v>
      </x:c>
      <x:c r="I43" s="82" t="n">
        <x:v>39.9</x:v>
      </x:c>
    </x:row>
    <x:row r="44">
      <x:c r="A44" s="72" t="n">
        <x:v>46240.938113425924</x:v>
      </x:c>
      <x:c r="B44" s="82" t="n">
        <x:v>36.2</x:v>
      </x:c>
      <x:c r="C44" s="82" t="n">
        <x:v>36.8</x:v>
      </x:c>
      <x:c r="D44" s="82" t="n">
        <x:v>39.5</x:v>
      </x:c>
      <x:c r="E44" s="82" t="n">
        <x:v>32.2</x:v>
      </x:c>
      <x:c r="F44" s="82" t="n">
        <x:v>37.6</x:v>
      </x:c>
      <x:c r="G44" s="82" t="n">
        <x:v>39</x:v>
      </x:c>
      <x:c r="H44" s="82" t="n">
        <x:v>38.3</x:v>
      </x:c>
      <x:c r="I44" s="82" t="n">
        <x:v>39.6</x:v>
      </x:c>
    </x:row>
    <x:row r="45">
      <x:c r="A45" s="72" t="n">
        <x:v>46240.94158564815</x:v>
      </x:c>
      <x:c r="B45" s="82" t="n">
        <x:v>36.6</x:v>
      </x:c>
      <x:c r="C45" s="82" t="n">
        <x:v>37.2</x:v>
      </x:c>
      <x:c r="D45" s="82" t="n">
        <x:v>39.9</x:v>
      </x:c>
      <x:c r="E45" s="82" t="n">
        <x:v>32.5</x:v>
      </x:c>
      <x:c r="F45" s="82" t="n">
        <x:v>37.3</x:v>
      </x:c>
      <x:c r="G45" s="82" t="n">
        <x:v>38.6</x:v>
      </x:c>
      <x:c r="H45" s="82" t="n">
        <x:v>37.9</x:v>
      </x:c>
      <x:c r="I45" s="82" t="n">
        <x:v>39.3</x:v>
      </x:c>
    </x:row>
    <x:row r="46">
      <x:c r="A46" s="72" t="n">
        <x:v>46240.94505787037</x:v>
      </x:c>
      <x:c r="B46" s="82" t="n">
        <x:v>36.8</x:v>
      </x:c>
      <x:c r="C46" s="82" t="n">
        <x:v>37.6</x:v>
      </x:c>
      <x:c r="D46" s="82" t="n">
        <x:v>40.3</x:v>
      </x:c>
      <x:c r="E46" s="82" t="n">
        <x:v>32.9</x:v>
      </x:c>
      <x:c r="F46" s="82" t="n">
        <x:v>37.1</x:v>
      </x:c>
      <x:c r="G46" s="82" t="n">
        <x:v>38.3</x:v>
      </x:c>
      <x:c r="H46" s="82" t="n">
        <x:v>37.4</x:v>
      </x:c>
      <x:c r="I46" s="82" t="n">
        <x:v>38.9</x:v>
      </x:c>
    </x:row>
    <x:row r="47">
      <x:c r="A47" s="72" t="n">
        <x:v>46240.948530092595</x:v>
      </x:c>
      <x:c r="B47" s="82" t="n">
        <x:v>37</x:v>
      </x:c>
      <x:c r="C47" s="82" t="n">
        <x:v>37.8</x:v>
      </x:c>
      <x:c r="D47" s="82" t="n">
        <x:v>40.8</x:v>
      </x:c>
      <x:c r="E47" s="82" t="n">
        <x:v>33.3</x:v>
      </x:c>
      <x:c r="F47" s="82" t="n">
        <x:v>37</x:v>
      </x:c>
      <x:c r="G47" s="82" t="n">
        <x:v>38.1</x:v>
      </x:c>
      <x:c r="H47" s="82" t="n">
        <x:v>36.9</x:v>
      </x:c>
      <x:c r="I47" s="82" t="n">
        <x:v>38.4</x:v>
      </x:c>
    </x:row>
    <x:row r="48">
      <x:c r="A48" s="72" t="n">
        <x:v>46240.952002314814</x:v>
      </x:c>
      <x:c r="B48" s="82" t="n">
        <x:v>37</x:v>
      </x:c>
      <x:c r="C48" s="82" t="n">
        <x:v>38</x:v>
      </x:c>
      <x:c r="D48" s="82" t="n">
        <x:v>41.3</x:v>
      </x:c>
      <x:c r="E48" s="82" t="n">
        <x:v>33.8</x:v>
      </x:c>
      <x:c r="F48" s="82" t="n">
        <x:v>37</x:v>
      </x:c>
      <x:c r="G48" s="82" t="n">
        <x:v>38</x:v>
      </x:c>
      <x:c r="H48" s="82" t="n">
        <x:v>36.4</x:v>
      </x:c>
      <x:c r="I48" s="82" t="n">
        <x:v>37.9</x:v>
      </x:c>
    </x:row>
    <x:row r="49">
      <x:c r="A49" s="72" t="n">
        <x:v>46240.95547453704</x:v>
      </x:c>
      <x:c r="B49" s="82" t="n">
        <x:v>36.9</x:v>
      </x:c>
      <x:c r="C49" s="82" t="n">
        <x:v>38</x:v>
      </x:c>
      <x:c r="D49" s="82" t="n">
        <x:v>41.8</x:v>
      </x:c>
      <x:c r="E49" s="82" t="n">
        <x:v>34.3</x:v>
      </x:c>
      <x:c r="F49" s="82" t="n">
        <x:v>37.2</x:v>
      </x:c>
      <x:c r="G49" s="82" t="n">
        <x:v>38</x:v>
      </x:c>
      <x:c r="H49" s="82" t="n">
        <x:v>36</x:v>
      </x:c>
      <x:c r="I49" s="82" t="n">
        <x:v>37.4</x:v>
      </x:c>
    </x:row>
    <x:row r="50">
      <x:c r="A50" s="72" t="n">
        <x:v>46240.95894675926</x:v>
      </x:c>
      <x:c r="B50" s="82" t="n">
        <x:v>36.7</x:v>
      </x:c>
      <x:c r="C50" s="82" t="n">
        <x:v>37.9</x:v>
      </x:c>
      <x:c r="D50" s="82" t="n">
        <x:v>42.2</x:v>
      </x:c>
      <x:c r="E50" s="82" t="n">
        <x:v>34.8</x:v>
      </x:c>
      <x:c r="F50" s="82" t="n">
        <x:v>37.5</x:v>
      </x:c>
      <x:c r="G50" s="82" t="n">
        <x:v>38.2</x:v>
      </x:c>
      <x:c r="H50" s="82" t="n">
        <x:v>35.6</x:v>
      </x:c>
      <x:c r="I50" s="82" t="n">
        <x:v>37</x:v>
      </x:c>
    </x:row>
    <x:row r="51">
      <x:c r="A51" s="72" t="n">
        <x:v>46240.96241898148</x:v>
      </x:c>
      <x:c r="B51" s="82" t="n">
        <x:v>36.4</x:v>
      </x:c>
      <x:c r="C51" s="82" t="n">
        <x:v>37.7</x:v>
      </x:c>
      <x:c r="D51" s="82" t="n">
        <x:v>42.6</x:v>
      </x:c>
      <x:c r="E51" s="82" t="n">
        <x:v>35.2</x:v>
      </x:c>
      <x:c r="F51" s="82" t="n">
        <x:v>37.9</x:v>
      </x:c>
      <x:c r="G51" s="82" t="n">
        <x:v>38.5</x:v>
      </x:c>
      <x:c r="H51" s="82" t="n">
        <x:v>35.3</x:v>
      </x:c>
      <x:c r="I51" s="82" t="n">
        <x:v>36.6</x:v>
      </x:c>
    </x:row>
    <x:row r="52">
      <x:c r="A52" s="72" t="n">
        <x:v>46240.965891203705</x:v>
      </x:c>
      <x:c r="B52" s="82" t="n">
        <x:v>36</x:v>
      </x:c>
      <x:c r="C52" s="82" t="n">
        <x:v>37.4</x:v>
      </x:c>
      <x:c r="D52" s="82" t="n">
        <x:v>42.8</x:v>
      </x:c>
      <x:c r="E52" s="82" t="n">
        <x:v>35.6</x:v>
      </x:c>
      <x:c r="F52" s="82" t="n">
        <x:v>38.3</x:v>
      </x:c>
      <x:c r="G52" s="82" t="n">
        <x:v>38.9</x:v>
      </x:c>
      <x:c r="H52" s="82" t="n">
        <x:v>35.1</x:v>
      </x:c>
      <x:c r="I52" s="82" t="n">
        <x:v>36.3</x:v>
      </x:c>
    </x:row>
    <x:row r="53">
      <x:c r="A53" s="73" t="n">
        <x:v>46240.969363425924</x:v>
      </x:c>
      <x:c r="B53" s="83" t="n">
        <x:v>35.5</x:v>
      </x:c>
      <x:c r="C53" s="83" t="n">
        <x:v>37</x:v>
      </x:c>
      <x:c r="D53" s="83" t="n">
        <x:v>43</x:v>
      </x:c>
      <x:c r="E53" s="83" t="n">
        <x:v>35.8</x:v>
      </x:c>
      <x:c r="F53" s="83" t="n">
        <x:v>38.8</x:v>
      </x:c>
      <x:c r="G53" s="83" t="n">
        <x:v>39.3</x:v>
      </x:c>
      <x:c r="H53" s="83" t="n">
        <x:v>35</x:v>
      </x:c>
      <x:c r="I53" s="83" t="n">
        <x:v>36.1</x:v>
      </x:c>
    </x:row>
  </x:sheetData>
  <x:mergeCells>
    <x:mergeCell ref="A1:I1"/>
    <x:mergeCell ref="A2:I2"/>
  </x:mergeCells>
  <x:conditionalFormatting sqref="B5:I53">
    <x:cfRule type="expression" dxfId="1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04b74c5ee27f418a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W0处理：土壤温度随时间变化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排列。单位：℃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8" t="str">
        <x:v>采集时间</x:v>
      </x:c>
      <x:c r="B4" s="47" t="str">
        <x:v>B1-W0-V1（P01）</x:v>
      </x:c>
      <x:c r="C4" s="47" t="str">
        <x:v>B1-W0-V2（P02）</x:v>
      </x:c>
      <x:c r="D4" s="47" t="str">
        <x:v>B2-W0-V1（P07）</x:v>
      </x:c>
      <x:c r="E4" s="47" t="str">
        <x:v>B2-W0-V2（P08）</x:v>
      </x:c>
      <x:c r="F4" s="47" t="str">
        <x:v>B3-W0-V1（P13）</x:v>
      </x:c>
      <x:c r="G4" s="47" t="str">
        <x:v>B3-W0-V2（P14）</x:v>
      </x:c>
      <x:c r="H4" s="47" t="str">
        <x:v>B4-W0-V1（P19）</x:v>
      </x:c>
      <x:c r="I4" s="19" t="str">
        <x:v>B4-W0-V2（P20）</x:v>
      </x:c>
    </x:row>
    <x:row r="5">
      <x:c r="A5" s="72" t="n">
        <x:v>46240.80269675926</x:v>
      </x:c>
      <x:c r="B5" s="82" t="n">
        <x:v>24.9</x:v>
      </x:c>
      <x:c r="C5" s="82" t="n">
        <x:v>25.1</x:v>
      </x:c>
      <x:c r="D5" s="82" t="n">
        <x:v>25.6</x:v>
      </x:c>
      <x:c r="E5" s="82" t="n">
        <x:v>25.6</x:v>
      </x:c>
      <x:c r="F5" s="82" t="n">
        <x:v>25.3</x:v>
      </x:c>
      <x:c r="G5" s="82" t="n">
        <x:v>25.2</x:v>
      </x:c>
      <x:c r="H5" s="82" t="n">
        <x:v>24.7</x:v>
      </x:c>
      <x:c r="I5" s="82" t="n">
        <x:v>24.6</x:v>
      </x:c>
    </x:row>
    <x:row r="6">
      <x:c r="A6" s="72" t="n">
        <x:v>46240.80616898148</x:v>
      </x:c>
      <x:c r="B6" s="82" t="n">
        <x:v>24.8</x:v>
      </x:c>
      <x:c r="C6" s="82" t="n">
        <x:v>24.9</x:v>
      </x:c>
      <x:c r="D6" s="82" t="n">
        <x:v>25.5</x:v>
      </x:c>
      <x:c r="E6" s="82" t="n">
        <x:v>25.6</x:v>
      </x:c>
      <x:c r="F6" s="82" t="n">
        <x:v>25.4</x:v>
      </x:c>
      <x:c r="G6" s="82" t="n">
        <x:v>25.3</x:v>
      </x:c>
      <x:c r="H6" s="82" t="n">
        <x:v>24.7</x:v>
      </x:c>
      <x:c r="I6" s="82" t="n">
        <x:v>24.7</x:v>
      </x:c>
    </x:row>
    <x:row r="7">
      <x:c r="A7" s="72" t="n">
        <x:v>46240.809641203705</x:v>
      </x:c>
      <x:c r="B7" s="82" t="n">
        <x:v>24.7</x:v>
      </x:c>
      <x:c r="C7" s="82" t="n">
        <x:v>24.8</x:v>
      </x:c>
      <x:c r="D7" s="82" t="n">
        <x:v>25.4</x:v>
      </x:c>
      <x:c r="E7" s="82" t="n">
        <x:v>25.5</x:v>
      </x:c>
      <x:c r="F7" s="82" t="n">
        <x:v>25.5</x:v>
      </x:c>
      <x:c r="G7" s="82" t="n">
        <x:v>25.4</x:v>
      </x:c>
      <x:c r="H7" s="82" t="n">
        <x:v>24.8</x:v>
      </x:c>
      <x:c r="I7" s="82" t="n">
        <x:v>24.7</x:v>
      </x:c>
    </x:row>
    <x:row r="8">
      <x:c r="A8" s="72" t="n">
        <x:v>46240.813113425924</x:v>
      </x:c>
      <x:c r="B8" s="82" t="n">
        <x:v>24.7</x:v>
      </x:c>
      <x:c r="C8" s="82" t="n">
        <x:v>24.7</x:v>
      </x:c>
      <x:c r="D8" s="82" t="n">
        <x:v>25.3</x:v>
      </x:c>
      <x:c r="E8" s="82" t="n">
        <x:v>25.4</x:v>
      </x:c>
      <x:c r="F8" s="82" t="n">
        <x:v>25.6</x:v>
      </x:c>
      <x:c r="G8" s="82" t="n">
        <x:v>25.5</x:v>
      </x:c>
      <x:c r="H8" s="82" t="n">
        <x:v>25</x:v>
      </x:c>
      <x:c r="I8" s="82" t="n">
        <x:v>24.8</x:v>
      </x:c>
    </x:row>
    <x:row r="9">
      <x:c r="A9" s="72" t="n">
        <x:v>46240.81658564815</x:v>
      </x:c>
      <x:c r="B9" s="82" t="n">
        <x:v>24.6</x:v>
      </x:c>
      <x:c r="C9" s="82" t="n">
        <x:v>24.7</x:v>
      </x:c>
      <x:c r="D9" s="82" t="n">
        <x:v>25.2</x:v>
      </x:c>
      <x:c r="E9" s="82" t="n">
        <x:v>25.3</x:v>
      </x:c>
      <x:c r="F9" s="82" t="n">
        <x:v>25.6</x:v>
      </x:c>
      <x:c r="G9" s="82" t="n">
        <x:v>25.6</x:v>
      </x:c>
      <x:c r="H9" s="82" t="n">
        <x:v>25.1</x:v>
      </x:c>
      <x:c r="I9" s="82" t="n">
        <x:v>25</x:v>
      </x:c>
    </x:row>
    <x:row r="10">
      <x:c r="A10" s="72" t="n">
        <x:v>46240.82005787037</x:v>
      </x:c>
      <x:c r="B10" s="82" t="n">
        <x:v>24.6</x:v>
      </x:c>
      <x:c r="C10" s="82" t="n">
        <x:v>24.6</x:v>
      </x:c>
      <x:c r="D10" s="82" t="n">
        <x:v>25.1</x:v>
      </x:c>
      <x:c r="E10" s="82" t="n">
        <x:v>25.2</x:v>
      </x:c>
      <x:c r="F10" s="82" t="n">
        <x:v>25.6</x:v>
      </x:c>
      <x:c r="G10" s="82" t="n">
        <x:v>25.6</x:v>
      </x:c>
      <x:c r="H10" s="82" t="n">
        <x:v>25.2</x:v>
      </x:c>
      <x:c r="I10" s="82" t="n">
        <x:v>25.1</x:v>
      </x:c>
    </x:row>
    <x:row r="11">
      <x:c r="A11" s="72" t="n">
        <x:v>46240.823530092595</x:v>
      </x:c>
      <x:c r="B11" s="82" t="n">
        <x:v>24.6</x:v>
      </x:c>
      <x:c r="C11" s="82" t="n">
        <x:v>24.6</x:v>
      </x:c>
      <x:c r="D11" s="82" t="n">
        <x:v>24.9</x:v>
      </x:c>
      <x:c r="E11" s="82" t="n">
        <x:v>25.1</x:v>
      </x:c>
      <x:c r="F11" s="82" t="n">
        <x:v>25.6</x:v>
      </x:c>
      <x:c r="G11" s="82" t="n">
        <x:v>25.6</x:v>
      </x:c>
      <x:c r="H11" s="82" t="n">
        <x:v>25.3</x:v>
      </x:c>
      <x:c r="I11" s="82" t="n">
        <x:v>25.2</x:v>
      </x:c>
    </x:row>
    <x:row r="12">
      <x:c r="A12" s="72" t="n">
        <x:v>46240.827002314814</x:v>
      </x:c>
      <x:c r="B12" s="82" t="n">
        <x:v>24.7</x:v>
      </x:c>
      <x:c r="C12" s="82" t="n">
        <x:v>24.6</x:v>
      </x:c>
      <x:c r="D12" s="82" t="n">
        <x:v>24.8</x:v>
      </x:c>
      <x:c r="E12" s="82" t="n">
        <x:v>24.9</x:v>
      </x:c>
      <x:c r="F12" s="82" t="n">
        <x:v>25.5</x:v>
      </x:c>
      <x:c r="G12" s="82" t="n">
        <x:v>25.6</x:v>
      </x:c>
      <x:c r="H12" s="82" t="n">
        <x:v>25.4</x:v>
      </x:c>
      <x:c r="I12" s="82" t="n">
        <x:v>25.3</x:v>
      </x:c>
    </x:row>
    <x:row r="13">
      <x:c r="A13" s="72" t="n">
        <x:v>46240.83047453704</x:v>
      </x:c>
      <x:c r="B13" s="82" t="n">
        <x:v>24.7</x:v>
      </x:c>
      <x:c r="C13" s="82" t="n">
        <x:v>24.7</x:v>
      </x:c>
      <x:c r="D13" s="82" t="n">
        <x:v>24.7</x:v>
      </x:c>
      <x:c r="E13" s="82" t="n">
        <x:v>24.8</x:v>
      </x:c>
      <x:c r="F13" s="82" t="n">
        <x:v>25.4</x:v>
      </x:c>
      <x:c r="G13" s="82" t="n">
        <x:v>25.5</x:v>
      </x:c>
      <x:c r="H13" s="82" t="n">
        <x:v>25.5</x:v>
      </x:c>
      <x:c r="I13" s="82" t="n">
        <x:v>25.4</x:v>
      </x:c>
    </x:row>
    <x:row r="14">
      <x:c r="A14" s="72" t="n">
        <x:v>46240.83394675926</x:v>
      </x:c>
      <x:c r="B14" s="82" t="n">
        <x:v>24.8</x:v>
      </x:c>
      <x:c r="C14" s="82" t="n">
        <x:v>24.7</x:v>
      </x:c>
      <x:c r="D14" s="82" t="n">
        <x:v>24.7</x:v>
      </x:c>
      <x:c r="E14" s="82" t="n">
        <x:v>24.7</x:v>
      </x:c>
      <x:c r="F14" s="82" t="n">
        <x:v>25.3</x:v>
      </x:c>
      <x:c r="G14" s="82" t="n">
        <x:v>25.4</x:v>
      </x:c>
      <x:c r="H14" s="82" t="n">
        <x:v>25.6</x:v>
      </x:c>
      <x:c r="I14" s="82" t="n">
        <x:v>25.5</x:v>
      </x:c>
    </x:row>
    <x:row r="15">
      <x:c r="A15" s="72" t="n">
        <x:v>46240.83741898148</x:v>
      </x:c>
      <x:c r="B15" s="82" t="n">
        <x:v>24.9</x:v>
      </x:c>
      <x:c r="C15" s="82" t="n">
        <x:v>24.8</x:v>
      </x:c>
      <x:c r="D15" s="82" t="n">
        <x:v>24.6</x:v>
      </x:c>
      <x:c r="E15" s="82" t="n">
        <x:v>24.7</x:v>
      </x:c>
      <x:c r="F15" s="82" t="n">
        <x:v>25.2</x:v>
      </x:c>
      <x:c r="G15" s="82" t="n">
        <x:v>25.3</x:v>
      </x:c>
      <x:c r="H15" s="82" t="n">
        <x:v>25.6</x:v>
      </x:c>
      <x:c r="I15" s="82" t="n">
        <x:v>25.6</x:v>
      </x:c>
    </x:row>
    <x:row r="16">
      <x:c r="A16" s="72" t="n">
        <x:v>46240.840891203705</x:v>
      </x:c>
      <x:c r="B16" s="82" t="n">
        <x:v>25.1</x:v>
      </x:c>
      <x:c r="C16" s="82" t="n">
        <x:v>24.9</x:v>
      </x:c>
      <x:c r="D16" s="82" t="n">
        <x:v>24.6</x:v>
      </x:c>
      <x:c r="E16" s="82" t="n">
        <x:v>24.6</x:v>
      </x:c>
      <x:c r="F16" s="82" t="n">
        <x:v>25.1</x:v>
      </x:c>
      <x:c r="G16" s="82" t="n">
        <x:v>25.2</x:v>
      </x:c>
      <x:c r="H16" s="82" t="n">
        <x:v>25.6</x:v>
      </x:c>
      <x:c r="I16" s="82" t="n">
        <x:v>25.6</x:v>
      </x:c>
    </x:row>
    <x:row r="17">
      <x:c r="A17" s="72" t="n">
        <x:v>46240.844363425924</x:v>
      </x:c>
      <x:c r="B17" s="82" t="n">
        <x:v>25.2</x:v>
      </x:c>
      <x:c r="C17" s="82" t="n">
        <x:v>25.1</x:v>
      </x:c>
      <x:c r="D17" s="82" t="n">
        <x:v>24.6</x:v>
      </x:c>
      <x:c r="E17" s="82" t="n">
        <x:v>24.6</x:v>
      </x:c>
      <x:c r="F17" s="82" t="n">
        <x:v>24.9</x:v>
      </x:c>
      <x:c r="G17" s="82" t="n">
        <x:v>25.1</x:v>
      </x:c>
      <x:c r="H17" s="82" t="n">
        <x:v>25.6</x:v>
      </x:c>
      <x:c r="I17" s="82" t="n">
        <x:v>25.6</x:v>
      </x:c>
    </x:row>
    <x:row r="18">
      <x:c r="A18" s="72" t="n">
        <x:v>46240.84783564815</x:v>
      </x:c>
      <x:c r="B18" s="82" t="n">
        <x:v>25.3</x:v>
      </x:c>
      <x:c r="C18" s="82" t="n">
        <x:v>25.2</x:v>
      </x:c>
      <x:c r="D18" s="82" t="n">
        <x:v>24.7</x:v>
      </x:c>
      <x:c r="E18" s="82" t="n">
        <x:v>24.6</x:v>
      </x:c>
      <x:c r="F18" s="82" t="n">
        <x:v>24.8</x:v>
      </x:c>
      <x:c r="G18" s="82" t="n">
        <x:v>24.9</x:v>
      </x:c>
      <x:c r="H18" s="82" t="n">
        <x:v>25.5</x:v>
      </x:c>
      <x:c r="I18" s="82" t="n">
        <x:v>25.6</x:v>
      </x:c>
    </x:row>
    <x:row r="19">
      <x:c r="A19" s="72" t="n">
        <x:v>46240.85130787037</x:v>
      </x:c>
      <x:c r="B19" s="82" t="n">
        <x:v>25.4</x:v>
      </x:c>
      <x:c r="C19" s="82" t="n">
        <x:v>25.3</x:v>
      </x:c>
      <x:c r="D19" s="82" t="n">
        <x:v>24.7</x:v>
      </x:c>
      <x:c r="E19" s="82" t="n">
        <x:v>24.7</x:v>
      </x:c>
      <x:c r="F19" s="82" t="n">
        <x:v>24.7</x:v>
      </x:c>
      <x:c r="G19" s="82" t="n">
        <x:v>24.8</x:v>
      </x:c>
      <x:c r="H19" s="82" t="n">
        <x:v>25.4</x:v>
      </x:c>
      <x:c r="I19" s="82" t="n">
        <x:v>25.5</x:v>
      </x:c>
    </x:row>
    <x:row r="20">
      <x:c r="A20" s="72" t="n">
        <x:v>46240.854780092595</x:v>
      </x:c>
      <x:c r="B20" s="82" t="n">
        <x:v>25.5</x:v>
      </x:c>
      <x:c r="C20" s="82" t="n">
        <x:v>25.4</x:v>
      </x:c>
      <x:c r="D20" s="82" t="n">
        <x:v>24.8</x:v>
      </x:c>
      <x:c r="E20" s="82" t="n">
        <x:v>24.7</x:v>
      </x:c>
      <x:c r="F20" s="82" t="n">
        <x:v>24.7</x:v>
      </x:c>
      <x:c r="G20" s="82" t="n">
        <x:v>24.7</x:v>
      </x:c>
      <x:c r="H20" s="82" t="n">
        <x:v>25.3</x:v>
      </x:c>
      <x:c r="I20" s="82" t="n">
        <x:v>25.4</x:v>
      </x:c>
    </x:row>
    <x:row r="21">
      <x:c r="A21" s="72" t="n">
        <x:v>46240.858252314814</x:v>
      </x:c>
      <x:c r="B21" s="82" t="n">
        <x:v>25.6</x:v>
      </x:c>
      <x:c r="C21" s="82" t="n">
        <x:v>25.5</x:v>
      </x:c>
      <x:c r="D21" s="82" t="n">
        <x:v>24.9</x:v>
      </x:c>
      <x:c r="E21" s="82" t="n">
        <x:v>24.8</x:v>
      </x:c>
      <x:c r="F21" s="82" t="n">
        <x:v>24.6</x:v>
      </x:c>
      <x:c r="G21" s="82" t="n">
        <x:v>24.7</x:v>
      </x:c>
      <x:c r="H21" s="82" t="n">
        <x:v>25.2</x:v>
      </x:c>
      <x:c r="I21" s="82" t="n">
        <x:v>25.3</x:v>
      </x:c>
    </x:row>
    <x:row r="22">
      <x:c r="A22" s="72" t="n">
        <x:v>46240.86172453704</x:v>
      </x:c>
      <x:c r="B22" s="82" t="n">
        <x:v>25.6</x:v>
      </x:c>
      <x:c r="C22" s="82" t="n">
        <x:v>25.6</x:v>
      </x:c>
      <x:c r="D22" s="82" t="n">
        <x:v>25.1</x:v>
      </x:c>
      <x:c r="E22" s="82" t="n">
        <x:v>24.9</x:v>
      </x:c>
      <x:c r="F22" s="82" t="n">
        <x:v>24.6</x:v>
      </x:c>
      <x:c r="G22" s="82" t="n">
        <x:v>24.6</x:v>
      </x:c>
      <x:c r="H22" s="82" t="n">
        <x:v>25.1</x:v>
      </x:c>
      <x:c r="I22" s="82" t="n">
        <x:v>25.2</x:v>
      </x:c>
    </x:row>
    <x:row r="23">
      <x:c r="A23" s="72" t="n">
        <x:v>46240.86519675926</x:v>
      </x:c>
      <x:c r="B23" s="82" t="n">
        <x:v>25.6</x:v>
      </x:c>
      <x:c r="C23" s="82" t="n">
        <x:v>25.6</x:v>
      </x:c>
      <x:c r="D23" s="82" t="n">
        <x:v>25.2</x:v>
      </x:c>
      <x:c r="E23" s="82" t="n">
        <x:v>25.1</x:v>
      </x:c>
      <x:c r="F23" s="82" t="n">
        <x:v>24.6</x:v>
      </x:c>
      <x:c r="G23" s="82" t="n">
        <x:v>24.6</x:v>
      </x:c>
      <x:c r="H23" s="82" t="n">
        <x:v>24.9</x:v>
      </x:c>
      <x:c r="I23" s="82" t="n">
        <x:v>25.1</x:v>
      </x:c>
    </x:row>
    <x:row r="24">
      <x:c r="A24" s="72" t="n">
        <x:v>46240.86866898148</x:v>
      </x:c>
      <x:c r="B24" s="82" t="n">
        <x:v>25.6</x:v>
      </x:c>
      <x:c r="C24" s="82" t="n">
        <x:v>25.6</x:v>
      </x:c>
      <x:c r="D24" s="82" t="n">
        <x:v>25.3</x:v>
      </x:c>
      <x:c r="E24" s="82" t="n">
        <x:v>25.2</x:v>
      </x:c>
      <x:c r="F24" s="82" t="n">
        <x:v>24.7</x:v>
      </x:c>
      <x:c r="G24" s="82" t="n">
        <x:v>24.6</x:v>
      </x:c>
      <x:c r="H24" s="82" t="n">
        <x:v>24.8</x:v>
      </x:c>
      <x:c r="I24" s="82" t="n">
        <x:v>24.9</x:v>
      </x:c>
    </x:row>
    <x:row r="25">
      <x:c r="A25" s="72" t="n">
        <x:v>46240.872141203705</x:v>
      </x:c>
      <x:c r="B25" s="82" t="n">
        <x:v>25.5</x:v>
      </x:c>
      <x:c r="C25" s="82" t="n">
        <x:v>25.6</x:v>
      </x:c>
      <x:c r="D25" s="82" t="n">
        <x:v>25.4</x:v>
      </x:c>
      <x:c r="E25" s="82" t="n">
        <x:v>25.3</x:v>
      </x:c>
      <x:c r="F25" s="82" t="n">
        <x:v>24.7</x:v>
      </x:c>
      <x:c r="G25" s="82" t="n">
        <x:v>24.7</x:v>
      </x:c>
      <x:c r="H25" s="82" t="n">
        <x:v>24.7</x:v>
      </x:c>
      <x:c r="I25" s="82" t="n">
        <x:v>24.8</x:v>
      </x:c>
    </x:row>
    <x:row r="26">
      <x:c r="A26" s="72" t="n">
        <x:v>46240.875613425924</x:v>
      </x:c>
      <x:c r="B26" s="82" t="n">
        <x:v>25.4</x:v>
      </x:c>
      <x:c r="C26" s="82" t="n">
        <x:v>25.5</x:v>
      </x:c>
      <x:c r="D26" s="82" t="n">
        <x:v>25.5</x:v>
      </x:c>
      <x:c r="E26" s="82" t="n">
        <x:v>25.4</x:v>
      </x:c>
      <x:c r="F26" s="82" t="n">
        <x:v>24.8</x:v>
      </x:c>
      <x:c r="G26" s="82" t="n">
        <x:v>24.7</x:v>
      </x:c>
      <x:c r="H26" s="82" t="n">
        <x:v>24.7</x:v>
      </x:c>
      <x:c r="I26" s="82" t="n">
        <x:v>24.7</x:v>
      </x:c>
    </x:row>
    <x:row r="27">
      <x:c r="A27" s="72" t="n">
        <x:v>46240.87908564815</x:v>
      </x:c>
      <x:c r="B27" s="82" t="n">
        <x:v>25.3</x:v>
      </x:c>
      <x:c r="C27" s="82" t="n">
        <x:v>25.4</x:v>
      </x:c>
      <x:c r="D27" s="82" t="n">
        <x:v>25.6</x:v>
      </x:c>
      <x:c r="E27" s="82" t="n">
        <x:v>25.5</x:v>
      </x:c>
      <x:c r="F27" s="82" t="n">
        <x:v>24.9</x:v>
      </x:c>
      <x:c r="G27" s="82" t="n">
        <x:v>24.8</x:v>
      </x:c>
      <x:c r="H27" s="82" t="n">
        <x:v>24.6</x:v>
      </x:c>
      <x:c r="I27" s="82" t="n">
        <x:v>24.7</x:v>
      </x:c>
    </x:row>
    <x:row r="28">
      <x:c r="A28" s="72" t="n">
        <x:v>46240.88255787037</x:v>
      </x:c>
      <x:c r="B28" s="82" t="n">
        <x:v>25.2</x:v>
      </x:c>
      <x:c r="C28" s="82" t="n">
        <x:v>25.3</x:v>
      </x:c>
      <x:c r="D28" s="82" t="n">
        <x:v>25.6</x:v>
      </x:c>
      <x:c r="E28" s="82" t="n">
        <x:v>25.6</x:v>
      </x:c>
      <x:c r="F28" s="82" t="n">
        <x:v>25.1</x:v>
      </x:c>
      <x:c r="G28" s="82" t="n">
        <x:v>24.9</x:v>
      </x:c>
      <x:c r="H28" s="82" t="n">
        <x:v>24.6</x:v>
      </x:c>
      <x:c r="I28" s="82" t="n">
        <x:v>24.6</x:v>
      </x:c>
    </x:row>
    <x:row r="29">
      <x:c r="A29" s="72" t="n">
        <x:v>46240.886030092595</x:v>
      </x:c>
      <x:c r="B29" s="82" t="n">
        <x:v>25.1</x:v>
      </x:c>
      <x:c r="C29" s="82" t="n">
        <x:v>25.2</x:v>
      </x:c>
      <x:c r="D29" s="82" t="n">
        <x:v>25.6</x:v>
      </x:c>
      <x:c r="E29" s="82" t="n">
        <x:v>25.6</x:v>
      </x:c>
      <x:c r="F29" s="82" t="n">
        <x:v>25.2</x:v>
      </x:c>
      <x:c r="G29" s="82" t="n">
        <x:v>25.1</x:v>
      </x:c>
      <x:c r="H29" s="82" t="n">
        <x:v>24.6</x:v>
      </x:c>
      <x:c r="I29" s="82" t="n">
        <x:v>24.6</x:v>
      </x:c>
    </x:row>
    <x:row r="30">
      <x:c r="A30" s="72" t="n">
        <x:v>46240.889502314814</x:v>
      </x:c>
      <x:c r="B30" s="82" t="n">
        <x:v>25</x:v>
      </x:c>
      <x:c r="C30" s="82" t="n">
        <x:v>25.1</x:v>
      </x:c>
      <x:c r="D30" s="82" t="n">
        <x:v>25.6</x:v>
      </x:c>
      <x:c r="E30" s="82" t="n">
        <x:v>25.6</x:v>
      </x:c>
      <x:c r="F30" s="82" t="n">
        <x:v>25.3</x:v>
      </x:c>
      <x:c r="G30" s="82" t="n">
        <x:v>25.2</x:v>
      </x:c>
      <x:c r="H30" s="82" t="n">
        <x:v>24.7</x:v>
      </x:c>
      <x:c r="I30" s="82" t="n">
        <x:v>24.6</x:v>
      </x:c>
    </x:row>
    <x:row r="31">
      <x:c r="A31" s="72" t="n">
        <x:v>46240.89297453704</x:v>
      </x:c>
      <x:c r="B31" s="82" t="n">
        <x:v>24.8</x:v>
      </x:c>
      <x:c r="C31" s="82" t="n">
        <x:v>25</x:v>
      </x:c>
      <x:c r="D31" s="82" t="n">
        <x:v>25.5</x:v>
      </x:c>
      <x:c r="E31" s="82" t="n">
        <x:v>25.6</x:v>
      </x:c>
      <x:c r="F31" s="82" t="n">
        <x:v>25.4</x:v>
      </x:c>
      <x:c r="G31" s="82" t="n">
        <x:v>25.3</x:v>
      </x:c>
      <x:c r="H31" s="82" t="n">
        <x:v>24.7</x:v>
      </x:c>
      <x:c r="I31" s="82" t="n">
        <x:v>24.7</x:v>
      </x:c>
    </x:row>
    <x:row r="32">
      <x:c r="A32" s="72" t="n">
        <x:v>46240.89644675926</x:v>
      </x:c>
      <x:c r="B32" s="82" t="n">
        <x:v>24.7</x:v>
      </x:c>
      <x:c r="C32" s="82" t="n">
        <x:v>24.8</x:v>
      </x:c>
      <x:c r="D32" s="82" t="n">
        <x:v>25.4</x:v>
      </x:c>
      <x:c r="E32" s="82" t="n">
        <x:v>25.5</x:v>
      </x:c>
      <x:c r="F32" s="82" t="n">
        <x:v>25.5</x:v>
      </x:c>
      <x:c r="G32" s="82" t="n">
        <x:v>25.4</x:v>
      </x:c>
      <x:c r="H32" s="82" t="n">
        <x:v>24.8</x:v>
      </x:c>
      <x:c r="I32" s="82" t="n">
        <x:v>24.7</x:v>
      </x:c>
    </x:row>
    <x:row r="33">
      <x:c r="A33" s="72" t="n">
        <x:v>46240.89991898148</x:v>
      </x:c>
      <x:c r="B33" s="82" t="n">
        <x:v>24.7</x:v>
      </x:c>
      <x:c r="C33" s="82" t="n">
        <x:v>24.7</x:v>
      </x:c>
      <x:c r="D33" s="82" t="n">
        <x:v>25.3</x:v>
      </x:c>
      <x:c r="E33" s="82" t="n">
        <x:v>25.4</x:v>
      </x:c>
      <x:c r="F33" s="82" t="n">
        <x:v>25.6</x:v>
      </x:c>
      <x:c r="G33" s="82" t="n">
        <x:v>25.5</x:v>
      </x:c>
      <x:c r="H33" s="82" t="n">
        <x:v>24.9</x:v>
      </x:c>
      <x:c r="I33" s="82" t="n">
        <x:v>24.8</x:v>
      </x:c>
    </x:row>
    <x:row r="34">
      <x:c r="A34" s="72" t="n">
        <x:v>46240.903391203705</x:v>
      </x:c>
      <x:c r="B34" s="82" t="n">
        <x:v>24.6</x:v>
      </x:c>
      <x:c r="C34" s="82" t="n">
        <x:v>24.7</x:v>
      </x:c>
      <x:c r="D34" s="82" t="n">
        <x:v>25.2</x:v>
      </x:c>
      <x:c r="E34" s="82" t="n">
        <x:v>25.3</x:v>
      </x:c>
      <x:c r="F34" s="82" t="n">
        <x:v>25.6</x:v>
      </x:c>
      <x:c r="G34" s="82" t="n">
        <x:v>25.6</x:v>
      </x:c>
      <x:c r="H34" s="82" t="n">
        <x:v>25.1</x:v>
      </x:c>
      <x:c r="I34" s="82" t="n">
        <x:v>24.9</x:v>
      </x:c>
    </x:row>
    <x:row r="35">
      <x:c r="A35" s="72" t="n">
        <x:v>46240.906863425924</x:v>
      </x:c>
      <x:c r="B35" s="82" t="n">
        <x:v>24.6</x:v>
      </x:c>
      <x:c r="C35" s="82" t="n">
        <x:v>24.6</x:v>
      </x:c>
      <x:c r="D35" s="82" t="n">
        <x:v>25.1</x:v>
      </x:c>
      <x:c r="E35" s="82" t="n">
        <x:v>25.2</x:v>
      </x:c>
      <x:c r="F35" s="82" t="n">
        <x:v>25.6</x:v>
      </x:c>
      <x:c r="G35" s="82" t="n">
        <x:v>25.6</x:v>
      </x:c>
      <x:c r="H35" s="82" t="n">
        <x:v>25.2</x:v>
      </x:c>
      <x:c r="I35" s="82" t="n">
        <x:v>25.1</x:v>
      </x:c>
    </x:row>
    <x:row r="36">
      <x:c r="A36" s="72" t="n">
        <x:v>46240.91033564815</x:v>
      </x:c>
      <x:c r="B36" s="82" t="n">
        <x:v>24.6</x:v>
      </x:c>
      <x:c r="C36" s="82" t="n">
        <x:v>24.6</x:v>
      </x:c>
      <x:c r="D36" s="82" t="n">
        <x:v>25</x:v>
      </x:c>
      <x:c r="E36" s="82" t="n">
        <x:v>25.1</x:v>
      </x:c>
      <x:c r="F36" s="82" t="n">
        <x:v>25.6</x:v>
      </x:c>
      <x:c r="G36" s="82" t="n">
        <x:v>25.6</x:v>
      </x:c>
      <x:c r="H36" s="82" t="n">
        <x:v>25.3</x:v>
      </x:c>
      <x:c r="I36" s="82" t="n">
        <x:v>25.2</x:v>
      </x:c>
    </x:row>
    <x:row r="37">
      <x:c r="A37" s="72" t="n">
        <x:v>46240.91380787037</x:v>
      </x:c>
      <x:c r="B37" s="82" t="n">
        <x:v>24.7</x:v>
      </x:c>
      <x:c r="C37" s="82" t="n">
        <x:v>24.6</x:v>
      </x:c>
      <x:c r="D37" s="82" t="n">
        <x:v>24.8</x:v>
      </x:c>
      <x:c r="E37" s="82" t="n">
        <x:v>25</x:v>
      </x:c>
      <x:c r="F37" s="82" t="n">
        <x:v>25.5</x:v>
      </x:c>
      <x:c r="G37" s="82" t="n">
        <x:v>25.6</x:v>
      </x:c>
      <x:c r="H37" s="82" t="n">
        <x:v>25.4</x:v>
      </x:c>
      <x:c r="I37" s="82" t="n">
        <x:v>25.3</x:v>
      </x:c>
    </x:row>
    <x:row r="38">
      <x:c r="A38" s="72" t="n">
        <x:v>46240.917280092595</x:v>
      </x:c>
      <x:c r="B38" s="82" t="n">
        <x:v>24.7</x:v>
      </x:c>
      <x:c r="C38" s="82" t="n">
        <x:v>24.7</x:v>
      </x:c>
      <x:c r="D38" s="82" t="n">
        <x:v>24.7</x:v>
      </x:c>
      <x:c r="E38" s="82" t="n">
        <x:v>24.8</x:v>
      </x:c>
      <x:c r="F38" s="82" t="n">
        <x:v>25.4</x:v>
      </x:c>
      <x:c r="G38" s="82" t="n">
        <x:v>25.5</x:v>
      </x:c>
      <x:c r="H38" s="82" t="n">
        <x:v>25.5</x:v>
      </x:c>
      <x:c r="I38" s="82" t="n">
        <x:v>25.4</x:v>
      </x:c>
    </x:row>
    <x:row r="39">
      <x:c r="A39" s="72" t="n">
        <x:v>46240.920752314814</x:v>
      </x:c>
      <x:c r="B39" s="82" t="n">
        <x:v>24.8</x:v>
      </x:c>
      <x:c r="C39" s="82" t="n">
        <x:v>24.7</x:v>
      </x:c>
      <x:c r="D39" s="82" t="n">
        <x:v>24.7</x:v>
      </x:c>
      <x:c r="E39" s="82" t="n">
        <x:v>24.7</x:v>
      </x:c>
      <x:c r="F39" s="82" t="n">
        <x:v>25.3</x:v>
      </x:c>
      <x:c r="G39" s="82" t="n">
        <x:v>25.4</x:v>
      </x:c>
      <x:c r="H39" s="82" t="n">
        <x:v>25.6</x:v>
      </x:c>
      <x:c r="I39" s="82" t="n">
        <x:v>25.5</x:v>
      </x:c>
    </x:row>
    <x:row r="40">
      <x:c r="A40" s="72" t="n">
        <x:v>46240.92422453704</x:v>
      </x:c>
      <x:c r="B40" s="82" t="n">
        <x:v>24.9</x:v>
      </x:c>
      <x:c r="C40" s="82" t="n">
        <x:v>24.8</x:v>
      </x:c>
      <x:c r="D40" s="82" t="n">
        <x:v>24.6</x:v>
      </x:c>
      <x:c r="E40" s="82" t="n">
        <x:v>24.7</x:v>
      </x:c>
      <x:c r="F40" s="82" t="n">
        <x:v>25.2</x:v>
      </x:c>
      <x:c r="G40" s="82" t="n">
        <x:v>25.3</x:v>
      </x:c>
      <x:c r="H40" s="82" t="n">
        <x:v>25.6</x:v>
      </x:c>
      <x:c r="I40" s="82" t="n">
        <x:v>25.6</x:v>
      </x:c>
    </x:row>
    <x:row r="41">
      <x:c r="A41" s="72" t="n">
        <x:v>46240.92769675926</x:v>
      </x:c>
      <x:c r="B41" s="82" t="n">
        <x:v>25</x:v>
      </x:c>
      <x:c r="C41" s="82" t="n">
        <x:v>24.9</x:v>
      </x:c>
      <x:c r="D41" s="82" t="n">
        <x:v>24.6</x:v>
      </x:c>
      <x:c r="E41" s="82" t="n">
        <x:v>24.6</x:v>
      </x:c>
      <x:c r="F41" s="82" t="n">
        <x:v>25.1</x:v>
      </x:c>
      <x:c r="G41" s="82" t="n">
        <x:v>25.2</x:v>
      </x:c>
      <x:c r="H41" s="82" t="n">
        <x:v>25.6</x:v>
      </x:c>
      <x:c r="I41" s="82" t="n">
        <x:v>25.6</x:v>
      </x:c>
    </x:row>
    <x:row r="42">
      <x:c r="A42" s="72" t="n">
        <x:v>46240.93116898148</x:v>
      </x:c>
      <x:c r="B42" s="82" t="n">
        <x:v>25.2</x:v>
      </x:c>
      <x:c r="C42" s="82" t="n">
        <x:v>25</x:v>
      </x:c>
      <x:c r="D42" s="82" t="n">
        <x:v>24.6</x:v>
      </x:c>
      <x:c r="E42" s="82" t="n">
        <x:v>24.6</x:v>
      </x:c>
      <x:c r="F42" s="82" t="n">
        <x:v>25</x:v>
      </x:c>
      <x:c r="G42" s="82" t="n">
        <x:v>25.1</x:v>
      </x:c>
      <x:c r="H42" s="82" t="n">
        <x:v>25.6</x:v>
      </x:c>
      <x:c r="I42" s="82" t="n">
        <x:v>25.6</x:v>
      </x:c>
    </x:row>
    <x:row r="43">
      <x:c r="A43" s="72" t="n">
        <x:v>46240.934641203705</x:v>
      </x:c>
      <x:c r="B43" s="82" t="n">
        <x:v>25.3</x:v>
      </x:c>
      <x:c r="C43" s="82" t="n">
        <x:v>25.2</x:v>
      </x:c>
      <x:c r="D43" s="82" t="n">
        <x:v>24.7</x:v>
      </x:c>
      <x:c r="E43" s="82" t="n">
        <x:v>24.6</x:v>
      </x:c>
      <x:c r="F43" s="82" t="n">
        <x:v>24.8</x:v>
      </x:c>
      <x:c r="G43" s="82" t="n">
        <x:v>25</x:v>
      </x:c>
      <x:c r="H43" s="82" t="n">
        <x:v>25.5</x:v>
      </x:c>
      <x:c r="I43" s="82" t="n">
        <x:v>25.6</x:v>
      </x:c>
    </x:row>
    <x:row r="44">
      <x:c r="A44" s="72" t="n">
        <x:v>46240.938113425924</x:v>
      </x:c>
      <x:c r="B44" s="82" t="n">
        <x:v>25.4</x:v>
      </x:c>
      <x:c r="C44" s="82" t="n">
        <x:v>25.3</x:v>
      </x:c>
      <x:c r="D44" s="82" t="n">
        <x:v>24.7</x:v>
      </x:c>
      <x:c r="E44" s="82" t="n">
        <x:v>24.7</x:v>
      </x:c>
      <x:c r="F44" s="82" t="n">
        <x:v>24.7</x:v>
      </x:c>
      <x:c r="G44" s="82" t="n">
        <x:v>24.8</x:v>
      </x:c>
      <x:c r="H44" s="82" t="n">
        <x:v>25.4</x:v>
      </x:c>
      <x:c r="I44" s="82" t="n">
        <x:v>25.5</x:v>
      </x:c>
    </x:row>
    <x:row r="45">
      <x:c r="A45" s="72" t="n">
        <x:v>46240.94158564815</x:v>
      </x:c>
      <x:c r="B45" s="82" t="n">
        <x:v>25.5</x:v>
      </x:c>
      <x:c r="C45" s="82" t="n">
        <x:v>25.4</x:v>
      </x:c>
      <x:c r="D45" s="82" t="n">
        <x:v>24.8</x:v>
      </x:c>
      <x:c r="E45" s="82" t="n">
        <x:v>24.7</x:v>
      </x:c>
      <x:c r="F45" s="82" t="n">
        <x:v>24.7</x:v>
      </x:c>
      <x:c r="G45" s="82" t="n">
        <x:v>24.7</x:v>
      </x:c>
      <x:c r="H45" s="82" t="n">
        <x:v>25.3</x:v>
      </x:c>
      <x:c r="I45" s="82" t="n">
        <x:v>25.4</x:v>
      </x:c>
    </x:row>
    <x:row r="46">
      <x:c r="A46" s="72" t="n">
        <x:v>46240.94505787037</x:v>
      </x:c>
      <x:c r="B46" s="82" t="n">
        <x:v>25.6</x:v>
      </x:c>
      <x:c r="C46" s="82" t="n">
        <x:v>25.5</x:v>
      </x:c>
      <x:c r="D46" s="82" t="n">
        <x:v>24.9</x:v>
      </x:c>
      <x:c r="E46" s="82" t="n">
        <x:v>24.8</x:v>
      </x:c>
      <x:c r="F46" s="82" t="n">
        <x:v>24.6</x:v>
      </x:c>
      <x:c r="G46" s="82" t="n">
        <x:v>24.7</x:v>
      </x:c>
      <x:c r="H46" s="82" t="n">
        <x:v>25.2</x:v>
      </x:c>
      <x:c r="I46" s="82" t="n">
        <x:v>25.3</x:v>
      </x:c>
    </x:row>
    <x:row r="47">
      <x:c r="A47" s="72" t="n">
        <x:v>46240.948530092595</x:v>
      </x:c>
      <x:c r="B47" s="82" t="n">
        <x:v>25.6</x:v>
      </x:c>
      <x:c r="C47" s="82" t="n">
        <x:v>25.6</x:v>
      </x:c>
      <x:c r="D47" s="82" t="n">
        <x:v>25</x:v>
      </x:c>
      <x:c r="E47" s="82" t="n">
        <x:v>24.9</x:v>
      </x:c>
      <x:c r="F47" s="82" t="n">
        <x:v>24.6</x:v>
      </x:c>
      <x:c r="G47" s="82" t="n">
        <x:v>24.6</x:v>
      </x:c>
      <x:c r="H47" s="82" t="n">
        <x:v>25.1</x:v>
      </x:c>
      <x:c r="I47" s="82" t="n">
        <x:v>25.2</x:v>
      </x:c>
    </x:row>
    <x:row r="48">
      <x:c r="A48" s="72" t="n">
        <x:v>46240.952002314814</x:v>
      </x:c>
      <x:c r="B48" s="82" t="n">
        <x:v>25.6</x:v>
      </x:c>
      <x:c r="C48" s="82" t="n">
        <x:v>25.6</x:v>
      </x:c>
      <x:c r="D48" s="82" t="n">
        <x:v>25.2</x:v>
      </x:c>
      <x:c r="E48" s="82" t="n">
        <x:v>25</x:v>
      </x:c>
      <x:c r="F48" s="82" t="n">
        <x:v>24.6</x:v>
      </x:c>
      <x:c r="G48" s="82" t="n">
        <x:v>24.6</x:v>
      </x:c>
      <x:c r="H48" s="82" t="n">
        <x:v>25</x:v>
      </x:c>
      <x:c r="I48" s="82" t="n">
        <x:v>25.1</x:v>
      </x:c>
    </x:row>
    <x:row r="49">
      <x:c r="A49" s="72" t="n">
        <x:v>46240.95547453704</x:v>
      </x:c>
      <x:c r="B49" s="82" t="n">
        <x:v>25.6</x:v>
      </x:c>
      <x:c r="C49" s="82" t="n">
        <x:v>25.6</x:v>
      </x:c>
      <x:c r="D49" s="82" t="n">
        <x:v>25.3</x:v>
      </x:c>
      <x:c r="E49" s="82" t="n">
        <x:v>25.2</x:v>
      </x:c>
      <x:c r="F49" s="82" t="n">
        <x:v>24.7</x:v>
      </x:c>
      <x:c r="G49" s="82" t="n">
        <x:v>24.6</x:v>
      </x:c>
      <x:c r="H49" s="82" t="n">
        <x:v>24.8</x:v>
      </x:c>
      <x:c r="I49" s="82" t="n">
        <x:v>25</x:v>
      </x:c>
    </x:row>
    <x:row r="50">
      <x:c r="A50" s="72" t="n">
        <x:v>46240.95894675926</x:v>
      </x:c>
      <x:c r="B50" s="82" t="n">
        <x:v>25.5</x:v>
      </x:c>
      <x:c r="C50" s="82" t="n">
        <x:v>25.6</x:v>
      </x:c>
      <x:c r="D50" s="82" t="n">
        <x:v>25.4</x:v>
      </x:c>
      <x:c r="E50" s="82" t="n">
        <x:v>25.3</x:v>
      </x:c>
      <x:c r="F50" s="82" t="n">
        <x:v>24.7</x:v>
      </x:c>
      <x:c r="G50" s="82" t="n">
        <x:v>24.7</x:v>
      </x:c>
      <x:c r="H50" s="82" t="n">
        <x:v>24.7</x:v>
      </x:c>
      <x:c r="I50" s="82" t="n">
        <x:v>24.8</x:v>
      </x:c>
    </x:row>
    <x:row r="51">
      <x:c r="A51" s="72" t="n">
        <x:v>46240.96241898148</x:v>
      </x:c>
      <x:c r="B51" s="82" t="n">
        <x:v>25.4</x:v>
      </x:c>
      <x:c r="C51" s="82" t="n">
        <x:v>25.5</x:v>
      </x:c>
      <x:c r="D51" s="82" t="n">
        <x:v>25.5</x:v>
      </x:c>
      <x:c r="E51" s="82" t="n">
        <x:v>25.4</x:v>
      </x:c>
      <x:c r="F51" s="82" t="n">
        <x:v>24.8</x:v>
      </x:c>
      <x:c r="G51" s="82" t="n">
        <x:v>24.7</x:v>
      </x:c>
      <x:c r="H51" s="82" t="n">
        <x:v>24.7</x:v>
      </x:c>
      <x:c r="I51" s="82" t="n">
        <x:v>24.7</x:v>
      </x:c>
    </x:row>
    <x:row r="52">
      <x:c r="A52" s="72" t="n">
        <x:v>46240.965891203705</x:v>
      </x:c>
      <x:c r="B52" s="82" t="n">
        <x:v>25.3</x:v>
      </x:c>
      <x:c r="C52" s="82" t="n">
        <x:v>25.4</x:v>
      </x:c>
      <x:c r="D52" s="82" t="n">
        <x:v>25.6</x:v>
      </x:c>
      <x:c r="E52" s="82" t="n">
        <x:v>25.5</x:v>
      </x:c>
      <x:c r="F52" s="82" t="n">
        <x:v>24.9</x:v>
      </x:c>
      <x:c r="G52" s="82" t="n">
        <x:v>24.8</x:v>
      </x:c>
      <x:c r="H52" s="82" t="n">
        <x:v>24.6</x:v>
      </x:c>
      <x:c r="I52" s="82" t="n">
        <x:v>24.7</x:v>
      </x:c>
    </x:row>
    <x:row r="53">
      <x:c r="A53" s="73" t="n">
        <x:v>46240.969363425924</x:v>
      </x:c>
      <x:c r="B53" s="83" t="n">
        <x:v>25.2</x:v>
      </x:c>
      <x:c r="C53" s="83" t="n">
        <x:v>25.3</x:v>
      </x:c>
      <x:c r="D53" s="83" t="n">
        <x:v>25.6</x:v>
      </x:c>
      <x:c r="E53" s="83" t="n">
        <x:v>25.6</x:v>
      </x:c>
      <x:c r="F53" s="83" t="n">
        <x:v>25</x:v>
      </x:c>
      <x:c r="G53" s="83" t="n">
        <x:v>24.9</x:v>
      </x:c>
      <x:c r="H53" s="83" t="n">
        <x:v>24.6</x:v>
      </x:c>
      <x:c r="I53" s="83" t="n">
        <x:v>24.6</x:v>
      </x:c>
    </x:row>
  </x:sheetData>
  <x:mergeCells>
    <x:mergeCell ref="A1:I1"/>
    <x:mergeCell ref="A2:I2"/>
  </x:mergeCells>
  <x:conditionalFormatting sqref="B5:I53">
    <x:cfRule type="expression" dxfId="2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3464211b145f422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W0处理：土壤EC随时间变化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排列。单位：μS/cm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8" t="str">
        <x:v>采集时间</x:v>
      </x:c>
      <x:c r="B4" s="47" t="str">
        <x:v>B1-W0-V1（P01）</x:v>
      </x:c>
      <x:c r="C4" s="47" t="str">
        <x:v>B1-W0-V2（P02）</x:v>
      </x:c>
      <x:c r="D4" s="47" t="str">
        <x:v>B2-W0-V1（P07）</x:v>
      </x:c>
      <x:c r="E4" s="47" t="str">
        <x:v>B2-W0-V2（P08）</x:v>
      </x:c>
      <x:c r="F4" s="47" t="str">
        <x:v>B3-W0-V1（P13）</x:v>
      </x:c>
      <x:c r="G4" s="47" t="str">
        <x:v>B3-W0-V2（P14）</x:v>
      </x:c>
      <x:c r="H4" s="47" t="str">
        <x:v>B4-W0-V1（P19）</x:v>
      </x:c>
      <x:c r="I4" s="19" t="str">
        <x:v>B4-W0-V2（P20）</x:v>
      </x:c>
    </x:row>
    <x:row r="5">
      <x:c r="A5" s="72" t="n">
        <x:v>46240.80269675926</x:v>
      </x:c>
      <x:c r="B5" s="86" t="n">
        <x:v>781</x:v>
      </x:c>
      <x:c r="C5" s="86" t="n">
        <x:v>802</x:v>
      </x:c>
      <x:c r="D5" s="86" t="n">
        <x:v>896</x:v>
      </x:c>
      <x:c r="E5" s="86" t="n">
        <x:v>911</x:v>
      </x:c>
      <x:c r="F5" s="86" t="n">
        <x:v>951</x:v>
      </x:c>
      <x:c r="G5" s="86" t="n">
        <x:v>955</x:v>
      </x:c>
      <x:c r="H5" s="86" t="n">
        <x:v>978</x:v>
      </x:c>
      <x:c r="I5" s="86" t="n">
        <x:v>986</x:v>
      </x:c>
    </x:row>
    <x:row r="6">
      <x:c r="A6" s="72" t="n">
        <x:v>46240.80616898148</x:v>
      </x:c>
      <x:c r="B6" s="86" t="n">
        <x:v>773</x:v>
      </x:c>
      <x:c r="C6" s="86" t="n">
        <x:v>793</x:v>
      </x:c>
      <x:c r="D6" s="86" t="n">
        <x:v>892</x:v>
      </x:c>
      <x:c r="E6" s="86" t="n">
        <x:v>908</x:v>
      </x:c>
      <x:c r="F6" s="86" t="n">
        <x:v>959</x:v>
      </x:c>
      <x:c r="G6" s="86" t="n">
        <x:v>963</x:v>
      </x:c>
      <x:c r="H6" s="86" t="n">
        <x:v>983</x:v>
      </x:c>
      <x:c r="I6" s="86" t="n">
        <x:v>990</x:v>
      </x:c>
    </x:row>
    <x:row r="7">
      <x:c r="A7" s="72" t="n">
        <x:v>46240.809641203705</x:v>
      </x:c>
      <x:c r="B7" s="86" t="n">
        <x:v>766</x:v>
      </x:c>
      <x:c r="C7" s="86" t="n">
        <x:v>785</x:v>
      </x:c>
      <x:c r="D7" s="86" t="n">
        <x:v>886</x:v>
      </x:c>
      <x:c r="E7" s="86" t="n">
        <x:v>904</x:v>
      </x:c>
      <x:c r="F7" s="86" t="n">
        <x:v>965</x:v>
      </x:c>
      <x:c r="G7" s="86" t="n">
        <x:v>971</x:v>
      </x:c>
      <x:c r="H7" s="86" t="n">
        <x:v>990</x:v>
      </x:c>
      <x:c r="I7" s="86" t="n">
        <x:v>995</x:v>
      </x:c>
    </x:row>
    <x:row r="8">
      <x:c r="A8" s="72" t="n">
        <x:v>46240.813113425924</x:v>
      </x:c>
      <x:c r="B8" s="86" t="n">
        <x:v>761</x:v>
      </x:c>
      <x:c r="C8" s="86" t="n">
        <x:v>778</x:v>
      </x:c>
      <x:c r="D8" s="86" t="n">
        <x:v>879</x:v>
      </x:c>
      <x:c r="E8" s="86" t="n">
        <x:v>898</x:v>
      </x:c>
      <x:c r="F8" s="86" t="n">
        <x:v>969</x:v>
      </x:c>
      <x:c r="G8" s="86" t="n">
        <x:v>977</x:v>
      </x:c>
      <x:c r="H8" s="86" t="n">
        <x:v>998</x:v>
      </x:c>
      <x:c r="I8" s="86" t="n">
        <x:v>1002</x:v>
      </x:c>
    </x:row>
    <x:row r="9">
      <x:c r="A9" s="72" t="n">
        <x:v>46240.81658564815</x:v>
      </x:c>
      <x:c r="B9" s="86" t="n">
        <x:v>758</x:v>
      </x:c>
      <x:c r="C9" s="86" t="n">
        <x:v>773</x:v>
      </x:c>
      <x:c r="D9" s="86" t="n">
        <x:v>870</x:v>
      </x:c>
      <x:c r="E9" s="86" t="n">
        <x:v>891</x:v>
      </x:c>
      <x:c r="F9" s="86" t="n">
        <x:v>971</x:v>
      </x:c>
      <x:c r="G9" s="86" t="n">
        <x:v>981</x:v>
      </x:c>
      <x:c r="H9" s="86" t="n">
        <x:v>1007</x:v>
      </x:c>
      <x:c r="I9" s="86" t="n">
        <x:v>1010</x:v>
      </x:c>
    </x:row>
    <x:row r="10">
      <x:c r="A10" s="72" t="n">
        <x:v>46240.82005787037</x:v>
      </x:c>
      <x:c r="B10" s="86" t="n">
        <x:v>757</x:v>
      </x:c>
      <x:c r="C10" s="86" t="n">
        <x:v>770</x:v>
      </x:c>
      <x:c r="D10" s="86" t="n">
        <x:v>862</x:v>
      </x:c>
      <x:c r="E10" s="86" t="n">
        <x:v>882</x:v>
      </x:c>
      <x:c r="F10" s="86" t="n">
        <x:v>971</x:v>
      </x:c>
      <x:c r="G10" s="86" t="n">
        <x:v>983</x:v>
      </x:c>
      <x:c r="H10" s="86" t="n">
        <x:v>1015</x:v>
      </x:c>
      <x:c r="I10" s="86" t="n">
        <x:v>1019</x:v>
      </x:c>
    </x:row>
    <x:row r="11">
      <x:c r="A11" s="72" t="n">
        <x:v>46240.823530092595</x:v>
      </x:c>
      <x:c r="B11" s="86" t="n">
        <x:v>758</x:v>
      </x:c>
      <x:c r="C11" s="86" t="n">
        <x:v>769</x:v>
      </x:c>
      <x:c r="D11" s="86" t="n">
        <x:v>853</x:v>
      </x:c>
      <x:c r="E11" s="86" t="n">
        <x:v>874</x:v>
      </x:c>
      <x:c r="F11" s="86" t="n">
        <x:v>968</x:v>
      </x:c>
      <x:c r="G11" s="86" t="n">
        <x:v>983</x:v>
      </x:c>
      <x:c r="H11" s="86" t="n">
        <x:v>1023</x:v>
      </x:c>
      <x:c r="I11" s="86" t="n">
        <x:v>1027</x:v>
      </x:c>
    </x:row>
    <x:row r="12">
      <x:c r="A12" s="72" t="n">
        <x:v>46240.827002314814</x:v>
      </x:c>
      <x:c r="B12" s="86" t="n">
        <x:v>761</x:v>
      </x:c>
      <x:c r="C12" s="86" t="n">
        <x:v>770</x:v>
      </x:c>
      <x:c r="D12" s="86" t="n">
        <x:v>845</x:v>
      </x:c>
      <x:c r="E12" s="86" t="n">
        <x:v>865</x:v>
      </x:c>
      <x:c r="F12" s="86" t="n">
        <x:v>964</x:v>
      </x:c>
      <x:c r="G12" s="86" t="n">
        <x:v>980</x:v>
      </x:c>
      <x:c r="H12" s="86" t="n">
        <x:v>1031</x:v>
      </x:c>
      <x:c r="I12" s="86" t="n">
        <x:v>1035</x:v>
      </x:c>
    </x:row>
    <x:row r="13">
      <x:c r="A13" s="72" t="n">
        <x:v>46240.83047453704</x:v>
      </x:c>
      <x:c r="B13" s="86" t="n">
        <x:v>766</x:v>
      </x:c>
      <x:c r="C13" s="86" t="n">
        <x:v>773</x:v>
      </x:c>
      <x:c r="D13" s="86" t="n">
        <x:v>838</x:v>
      </x:c>
      <x:c r="E13" s="86" t="n">
        <x:v>857</x:v>
      </x:c>
      <x:c r="F13" s="86" t="n">
        <x:v>958</x:v>
      </x:c>
      <x:c r="G13" s="86" t="n">
        <x:v>976</x:v>
      </x:c>
      <x:c r="H13" s="86" t="n">
        <x:v>1037</x:v>
      </x:c>
      <x:c r="I13" s="86" t="n">
        <x:v>1043</x:v>
      </x:c>
    </x:row>
    <x:row r="14">
      <x:c r="A14" s="72" t="n">
        <x:v>46240.83394675926</x:v>
      </x:c>
      <x:c r="B14" s="86" t="n">
        <x:v>773</x:v>
      </x:c>
      <x:c r="C14" s="86" t="n">
        <x:v>778</x:v>
      </x:c>
      <x:c r="D14" s="86" t="n">
        <x:v>833</x:v>
      </x:c>
      <x:c r="E14" s="86" t="n">
        <x:v>850</x:v>
      </x:c>
      <x:c r="F14" s="86" t="n">
        <x:v>951</x:v>
      </x:c>
      <x:c r="G14" s="86" t="n">
        <x:v>970</x:v>
      </x:c>
      <x:c r="H14" s="86" t="n">
        <x:v>1041</x:v>
      </x:c>
      <x:c r="I14" s="86" t="n">
        <x:v>1049</x:v>
      </x:c>
    </x:row>
    <x:row r="15">
      <x:c r="A15" s="72" t="n">
        <x:v>46240.83741898148</x:v>
      </x:c>
      <x:c r="B15" s="86" t="n">
        <x:v>781</x:v>
      </x:c>
      <x:c r="C15" s="86" t="n">
        <x:v>785</x:v>
      </x:c>
      <x:c r="D15" s="86" t="n">
        <x:v>830</x:v>
      </x:c>
      <x:c r="E15" s="86" t="n">
        <x:v>845</x:v>
      </x:c>
      <x:c r="F15" s="86" t="n">
        <x:v>942</x:v>
      </x:c>
      <x:c r="G15" s="86" t="n">
        <x:v>963</x:v>
      </x:c>
      <x:c r="H15" s="86" t="n">
        <x:v>1043</x:v>
      </x:c>
      <x:c r="I15" s="86" t="n">
        <x:v>1053</x:v>
      </x:c>
    </x:row>
    <x:row r="16">
      <x:c r="A16" s="72" t="n">
        <x:v>46240.840891203705</x:v>
      </x:c>
      <x:c r="B16" s="86" t="n">
        <x:v>789</x:v>
      </x:c>
      <x:c r="C16" s="86" t="n">
        <x:v>793</x:v>
      </x:c>
      <x:c r="D16" s="86" t="n">
        <x:v>829</x:v>
      </x:c>
      <x:c r="E16" s="86" t="n">
        <x:v>842</x:v>
      </x:c>
      <x:c r="F16" s="86" t="n">
        <x:v>934</x:v>
      </x:c>
      <x:c r="G16" s="86" t="n">
        <x:v>954</x:v>
      </x:c>
      <x:c r="H16" s="86" t="n">
        <x:v>1043</x:v>
      </x:c>
      <x:c r="I16" s="86" t="n">
        <x:v>1055</x:v>
      </x:c>
    </x:row>
    <x:row r="17">
      <x:c r="A17" s="72" t="n">
        <x:v>46240.844363425924</x:v>
      </x:c>
      <x:c r="B17" s="86" t="n">
        <x:v>798</x:v>
      </x:c>
      <x:c r="C17" s="86" t="n">
        <x:v>801</x:v>
      </x:c>
      <x:c r="D17" s="86" t="n">
        <x:v>830</x:v>
      </x:c>
      <x:c r="E17" s="86" t="n">
        <x:v>841</x:v>
      </x:c>
      <x:c r="F17" s="86" t="n">
        <x:v>925</x:v>
      </x:c>
      <x:c r="G17" s="86" t="n">
        <x:v>946</x:v>
      </x:c>
      <x:c r="H17" s="86" t="n">
        <x:v>1040</x:v>
      </x:c>
      <x:c r="I17" s="86" t="n">
        <x:v>1055</x:v>
      </x:c>
    </x:row>
    <x:row r="18">
      <x:c r="A18" s="72" t="n">
        <x:v>46240.84783564815</x:v>
      </x:c>
      <x:c r="B18" s="86" t="n">
        <x:v>806</x:v>
      </x:c>
      <x:c r="C18" s="86" t="n">
        <x:v>810</x:v>
      </x:c>
      <x:c r="D18" s="86" t="n">
        <x:v>833</x:v>
      </x:c>
      <x:c r="E18" s="86" t="n">
        <x:v>842</x:v>
      </x:c>
      <x:c r="F18" s="86" t="n">
        <x:v>917</x:v>
      </x:c>
      <x:c r="G18" s="86" t="n">
        <x:v>937</x:v>
      </x:c>
      <x:c r="H18" s="86" t="n">
        <x:v>1036</x:v>
      </x:c>
      <x:c r="I18" s="86" t="n">
        <x:v>1052</x:v>
      </x:c>
    </x:row>
    <x:row r="19">
      <x:c r="A19" s="72" t="n">
        <x:v>46240.85130787037</x:v>
      </x:c>
      <x:c r="B19" s="86" t="n">
        <x:v>814</x:v>
      </x:c>
      <x:c r="C19" s="86" t="n">
        <x:v>818</x:v>
      </x:c>
      <x:c r="D19" s="86" t="n">
        <x:v>838</x:v>
      </x:c>
      <x:c r="E19" s="86" t="n">
        <x:v>845</x:v>
      </x:c>
      <x:c r="F19" s="86" t="n">
        <x:v>910</x:v>
      </x:c>
      <x:c r="G19" s="86" t="n">
        <x:v>929</x:v>
      </x:c>
      <x:c r="H19" s="86" t="n">
        <x:v>1030</x:v>
      </x:c>
      <x:c r="I19" s="86" t="n">
        <x:v>1048</x:v>
      </x:c>
    </x:row>
    <x:row r="20">
      <x:c r="A20" s="72" t="n">
        <x:v>46240.854780092595</x:v>
      </x:c>
      <x:c r="B20" s="86" t="n">
        <x:v>820</x:v>
      </x:c>
      <x:c r="C20" s="86" t="n">
        <x:v>826</x:v>
      </x:c>
      <x:c r="D20" s="86" t="n">
        <x:v>845</x:v>
      </x:c>
      <x:c r="E20" s="86" t="n">
        <x:v>850</x:v>
      </x:c>
      <x:c r="F20" s="86" t="n">
        <x:v>905</x:v>
      </x:c>
      <x:c r="G20" s="86" t="n">
        <x:v>922</x:v>
      </x:c>
      <x:c r="H20" s="86" t="n">
        <x:v>1023</x:v>
      </x:c>
      <x:c r="I20" s="86" t="n">
        <x:v>1042</x:v>
      </x:c>
    </x:row>
    <x:row r="21">
      <x:c r="A21" s="72" t="n">
        <x:v>46240.858252314814</x:v>
      </x:c>
      <x:c r="B21" s="86" t="n">
        <x:v>824</x:v>
      </x:c>
      <x:c r="C21" s="86" t="n">
        <x:v>832</x:v>
      </x:c>
      <x:c r="D21" s="86" t="n">
        <x:v>853</x:v>
      </x:c>
      <x:c r="E21" s="86" t="n">
        <x:v>857</x:v>
      </x:c>
      <x:c r="F21" s="86" t="n">
        <x:v>902</x:v>
      </x:c>
      <x:c r="G21" s="86" t="n">
        <x:v>917</x:v>
      </x:c>
      <x:c r="H21" s="86" t="n">
        <x:v>1014</x:v>
      </x:c>
      <x:c r="I21" s="86" t="n">
        <x:v>1035</x:v>
      </x:c>
    </x:row>
    <x:row r="22">
      <x:c r="A22" s="72" t="n">
        <x:v>46240.86172453704</x:v>
      </x:c>
      <x:c r="B22" s="86" t="n">
        <x:v>827</x:v>
      </x:c>
      <x:c r="C22" s="86" t="n">
        <x:v>836</x:v>
      </x:c>
      <x:c r="D22" s="86" t="n">
        <x:v>861</x:v>
      </x:c>
      <x:c r="E22" s="86" t="n">
        <x:v>865</x:v>
      </x:c>
      <x:c r="F22" s="86" t="n">
        <x:v>901</x:v>
      </x:c>
      <x:c r="G22" s="86" t="n">
        <x:v>914</x:v>
      </x:c>
      <x:c r="H22" s="86" t="n">
        <x:v>1006</x:v>
      </x:c>
      <x:c r="I22" s="86" t="n">
        <x:v>1026</x:v>
      </x:c>
    </x:row>
    <x:row r="23">
      <x:c r="A23" s="72" t="n">
        <x:v>46240.86519675926</x:v>
      </x:c>
      <x:c r="B23" s="86" t="n">
        <x:v>827</x:v>
      </x:c>
      <x:c r="C23" s="86" t="n">
        <x:v>839</x:v>
      </x:c>
      <x:c r="D23" s="86" t="n">
        <x:v>870</x:v>
      </x:c>
      <x:c r="E23" s="86" t="n">
        <x:v>873</x:v>
      </x:c>
      <x:c r="F23" s="86" t="n">
        <x:v>902</x:v>
      </x:c>
      <x:c r="G23" s="86" t="n">
        <x:v>913</x:v>
      </x:c>
      <x:c r="H23" s="86" t="n">
        <x:v>997</x:v>
      </x:c>
      <x:c r="I23" s="86" t="n">
        <x:v>1018</x:v>
      </x:c>
    </x:row>
    <x:row r="24">
      <x:c r="A24" s="72" t="n">
        <x:v>46240.86866898148</x:v>
      </x:c>
      <x:c r="B24" s="86" t="n">
        <x:v>825</x:v>
      </x:c>
      <x:c r="C24" s="86" t="n">
        <x:v>839</x:v>
      </x:c>
      <x:c r="D24" s="86" t="n">
        <x:v>878</x:v>
      </x:c>
      <x:c r="E24" s="86" t="n">
        <x:v>882</x:v>
      </x:c>
      <x:c r="F24" s="86" t="n">
        <x:v>905</x:v>
      </x:c>
      <x:c r="G24" s="86" t="n">
        <x:v>914</x:v>
      </x:c>
      <x:c r="H24" s="86" t="n">
        <x:v>989</x:v>
      </x:c>
      <x:c r="I24" s="86" t="n">
        <x:v>1009</x:v>
      </x:c>
    </x:row>
    <x:row r="25">
      <x:c r="A25" s="72" t="n">
        <x:v>46240.872141203705</x:v>
      </x:c>
      <x:c r="B25" s="86" t="n">
        <x:v>821</x:v>
      </x:c>
      <x:c r="C25" s="86" t="n">
        <x:v>837</x:v>
      </x:c>
      <x:c r="D25" s="86" t="n">
        <x:v>886</x:v>
      </x:c>
      <x:c r="E25" s="86" t="n">
        <x:v>890</x:v>
      </x:c>
      <x:c r="F25" s="86" t="n">
        <x:v>910</x:v>
      </x:c>
      <x:c r="G25" s="86" t="n">
        <x:v>917</x:v>
      </x:c>
      <x:c r="H25" s="86" t="n">
        <x:v>982</x:v>
      </x:c>
      <x:c r="I25" s="86" t="n">
        <x:v>1001</x:v>
      </x:c>
    </x:row>
    <x:row r="26">
      <x:c r="A26" s="72" t="n">
        <x:v>46240.875613425924</x:v>
      </x:c>
      <x:c r="B26" s="86" t="n">
        <x:v>815</x:v>
      </x:c>
      <x:c r="C26" s="86" t="n">
        <x:v>833</x:v>
      </x:c>
      <x:c r="D26" s="86" t="n">
        <x:v>892</x:v>
      </x:c>
      <x:c r="E26" s="86" t="n">
        <x:v>898</x:v>
      </x:c>
      <x:c r="F26" s="86" t="n">
        <x:v>917</x:v>
      </x:c>
      <x:c r="G26" s="86" t="n">
        <x:v>922</x:v>
      </x:c>
      <x:c r="H26" s="86" t="n">
        <x:v>977</x:v>
      </x:c>
      <x:c r="I26" s="86" t="n">
        <x:v>994</x:v>
      </x:c>
    </x:row>
    <x:row r="27">
      <x:c r="A27" s="72" t="n">
        <x:v>46240.87908564815</x:v>
      </x:c>
      <x:c r="B27" s="86" t="n">
        <x:v>808</x:v>
      </x:c>
      <x:c r="C27" s="86" t="n">
        <x:v>827</x:v>
      </x:c>
      <x:c r="D27" s="86" t="n">
        <x:v>896</x:v>
      </x:c>
      <x:c r="E27" s="86" t="n">
        <x:v>904</x:v>
      </x:c>
      <x:c r="F27" s="86" t="n">
        <x:v>925</x:v>
      </x:c>
      <x:c r="G27" s="86" t="n">
        <x:v>929</x:v>
      </x:c>
      <x:c r="H27" s="86" t="n">
        <x:v>974</x:v>
      </x:c>
      <x:c r="I27" s="86" t="n">
        <x:v>989</x:v>
      </x:c>
    </x:row>
    <x:row r="28">
      <x:c r="A28" s="72" t="n">
        <x:v>46240.88255787037</x:v>
      </x:c>
      <x:c r="B28" s="86" t="n">
        <x:v>800</x:v>
      </x:c>
      <x:c r="C28" s="86" t="n">
        <x:v>820</x:v>
      </x:c>
      <x:c r="D28" s="86" t="n">
        <x:v>899</x:v>
      </x:c>
      <x:c r="E28" s="86" t="n">
        <x:v>908</x:v>
      </x:c>
      <x:c r="F28" s="86" t="n">
        <x:v>933</x:v>
      </x:c>
      <x:c r="G28" s="86" t="n">
        <x:v>937</x:v>
      </x:c>
      <x:c r="H28" s="86" t="n">
        <x:v>973</x:v>
      </x:c>
      <x:c r="I28" s="86" t="n">
        <x:v>986</x:v>
      </x:c>
    </x:row>
    <x:row r="29">
      <x:c r="A29" s="72" t="n">
        <x:v>46240.886030092595</x:v>
      </x:c>
      <x:c r="B29" s="86" t="n">
        <x:v>791</x:v>
      </x:c>
      <x:c r="C29" s="86" t="n">
        <x:v>812</x:v>
      </x:c>
      <x:c r="D29" s="86" t="n">
        <x:v>899</x:v>
      </x:c>
      <x:c r="E29" s="86" t="n">
        <x:v>911</x:v>
      </x:c>
      <x:c r="F29" s="86" t="n">
        <x:v>942</x:v>
      </x:c>
      <x:c r="G29" s="86" t="n">
        <x:v>945</x:v>
      </x:c>
      <x:c r="H29" s="86" t="n">
        <x:v>974</x:v>
      </x:c>
      <x:c r="I29" s="86" t="n">
        <x:v>985</x:v>
      </x:c>
    </x:row>
    <x:row r="30">
      <x:c r="A30" s="72" t="n">
        <x:v>46240.889502314814</x:v>
      </x:c>
      <x:c r="B30" s="86" t="n">
        <x:v>782</x:v>
      </x:c>
      <x:c r="C30" s="86" t="n">
        <x:v>803</x:v>
      </x:c>
      <x:c r="D30" s="86" t="n">
        <x:v>897</x:v>
      </x:c>
      <x:c r="E30" s="86" t="n">
        <x:v>911</x:v>
      </x:c>
      <x:c r="F30" s="86" t="n">
        <x:v>950</x:v>
      </x:c>
      <x:c r="G30" s="86" t="n">
        <x:v>954</x:v>
      </x:c>
      <x:c r="H30" s="86" t="n">
        <x:v>977</x:v>
      </x:c>
      <x:c r="I30" s="86" t="n">
        <x:v>986</x:v>
      </x:c>
    </x:row>
    <x:row r="31">
      <x:c r="A31" s="72" t="n">
        <x:v>46240.89297453704</x:v>
      </x:c>
      <x:c r="B31" s="86" t="n">
        <x:v>774</x:v>
      </x:c>
      <x:c r="C31" s="86" t="n">
        <x:v>794</x:v>
      </x:c>
      <x:c r="D31" s="86" t="n">
        <x:v>893</x:v>
      </x:c>
      <x:c r="E31" s="86" t="n">
        <x:v>909</x:v>
      </x:c>
      <x:c r="F31" s="86" t="n">
        <x:v>958</x:v>
      </x:c>
      <x:c r="G31" s="86" t="n">
        <x:v>962</x:v>
      </x:c>
      <x:c r="H31" s="86" t="n">
        <x:v>982</x:v>
      </x:c>
      <x:c r="I31" s="86" t="n">
        <x:v>989</x:v>
      </x:c>
    </x:row>
    <x:row r="32">
      <x:c r="A32" s="72" t="n">
        <x:v>46240.89644675926</x:v>
      </x:c>
      <x:c r="B32" s="86" t="n">
        <x:v>767</x:v>
      </x:c>
      <x:c r="C32" s="86" t="n">
        <x:v>786</x:v>
      </x:c>
      <x:c r="D32" s="86" t="n">
        <x:v>887</x:v>
      </x:c>
      <x:c r="E32" s="86" t="n">
        <x:v>905</x:v>
      </x:c>
      <x:c r="F32" s="86" t="n">
        <x:v>964</x:v>
      </x:c>
      <x:c r="G32" s="86" t="n">
        <x:v>970</x:v>
      </x:c>
      <x:c r="H32" s="86" t="n">
        <x:v>989</x:v>
      </x:c>
      <x:c r="I32" s="86" t="n">
        <x:v>994</x:v>
      </x:c>
    </x:row>
    <x:row r="33">
      <x:c r="A33" s="72" t="n">
        <x:v>46240.89991898148</x:v>
      </x:c>
      <x:c r="B33" s="86" t="n">
        <x:v>762</x:v>
      </x:c>
      <x:c r="C33" s="86" t="n">
        <x:v>779</x:v>
      </x:c>
      <x:c r="D33" s="86" t="n">
        <x:v>880</x:v>
      </x:c>
      <x:c r="E33" s="86" t="n">
        <x:v>899</x:v>
      </x:c>
      <x:c r="F33" s="86" t="n">
        <x:v>968</x:v>
      </x:c>
      <x:c r="G33" s="86" t="n">
        <x:v>976</x:v>
      </x:c>
      <x:c r="H33" s="86" t="n">
        <x:v>997</x:v>
      </x:c>
      <x:c r="I33" s="86" t="n">
        <x:v>1001</x:v>
      </x:c>
    </x:row>
    <x:row r="34">
      <x:c r="A34" s="72" t="n">
        <x:v>46240.903391203705</x:v>
      </x:c>
      <x:c r="B34" s="86" t="n">
        <x:v>758</x:v>
      </x:c>
      <x:c r="C34" s="86" t="n">
        <x:v>774</x:v>
      </x:c>
      <x:c r="D34" s="86" t="n">
        <x:v>872</x:v>
      </x:c>
      <x:c r="E34" s="86" t="n">
        <x:v>892</x:v>
      </x:c>
      <x:c r="F34" s="86" t="n">
        <x:v>971</x:v>
      </x:c>
      <x:c r="G34" s="86" t="n">
        <x:v>980</x:v>
      </x:c>
      <x:c r="H34" s="86" t="n">
        <x:v>1005</x:v>
      </x:c>
      <x:c r="I34" s="86" t="n">
        <x:v>1009</x:v>
      </x:c>
    </x:row>
    <x:row r="35">
      <x:c r="A35" s="72" t="n">
        <x:v>46240.906863425924</x:v>
      </x:c>
      <x:c r="B35" s="86" t="n">
        <x:v>757</x:v>
      </x:c>
      <x:c r="C35" s="86" t="n">
        <x:v>770</x:v>
      </x:c>
      <x:c r="D35" s="86" t="n">
        <x:v>863</x:v>
      </x:c>
      <x:c r="E35" s="86" t="n">
        <x:v>884</x:v>
      </x:c>
      <x:c r="F35" s="86" t="n">
        <x:v>971</x:v>
      </x:c>
      <x:c r="G35" s="86" t="n">
        <x:v>983</x:v>
      </x:c>
      <x:c r="H35" s="86" t="n">
        <x:v>1014</x:v>
      </x:c>
      <x:c r="I35" s="86" t="n">
        <x:v>1017</x:v>
      </x:c>
    </x:row>
    <x:row r="36">
      <x:c r="A36" s="72" t="n">
        <x:v>46240.91033564815</x:v>
      </x:c>
      <x:c r="B36" s="86" t="n">
        <x:v>758</x:v>
      </x:c>
      <x:c r="C36" s="86" t="n">
        <x:v>769</x:v>
      </x:c>
      <x:c r="D36" s="86" t="n">
        <x:v>854</x:v>
      </x:c>
      <x:c r="E36" s="86" t="n">
        <x:v>875</x:v>
      </x:c>
      <x:c r="F36" s="86" t="n">
        <x:v>969</x:v>
      </x:c>
      <x:c r="G36" s="86" t="n">
        <x:v>983</x:v>
      </x:c>
      <x:c r="H36" s="86" t="n">
        <x:v>1022</x:v>
      </x:c>
      <x:c r="I36" s="86" t="n">
        <x:v>1026</x:v>
      </x:c>
    </x:row>
    <x:row r="37">
      <x:c r="A37" s="72" t="n">
        <x:v>46240.91380787037</x:v>
      </x:c>
      <x:c r="B37" s="86" t="n">
        <x:v>761</x:v>
      </x:c>
      <x:c r="C37" s="86" t="n">
        <x:v>770</x:v>
      </x:c>
      <x:c r="D37" s="86" t="n">
        <x:v>846</x:v>
      </x:c>
      <x:c r="E37" s="86" t="n">
        <x:v>866</x:v>
      </x:c>
      <x:c r="F37" s="86" t="n">
        <x:v>965</x:v>
      </x:c>
      <x:c r="G37" s="86" t="n">
        <x:v>981</x:v>
      </x:c>
      <x:c r="H37" s="86" t="n">
        <x:v>1030</x:v>
      </x:c>
      <x:c r="I37" s="86" t="n">
        <x:v>1034</x:v>
      </x:c>
    </x:row>
    <x:row r="38">
      <x:c r="A38" s="72" t="n">
        <x:v>46240.917280092595</x:v>
      </x:c>
      <x:c r="B38" s="86" t="n">
        <x:v>766</x:v>
      </x:c>
      <x:c r="C38" s="86" t="n">
        <x:v>773</x:v>
      </x:c>
      <x:c r="D38" s="86" t="n">
        <x:v>839</x:v>
      </x:c>
      <x:c r="E38" s="86" t="n">
        <x:v>858</x:v>
      </x:c>
      <x:c r="F38" s="86" t="n">
        <x:v>959</x:v>
      </x:c>
      <x:c r="G38" s="86" t="n">
        <x:v>977</x:v>
      </x:c>
      <x:c r="H38" s="86" t="n">
        <x:v>1036</x:v>
      </x:c>
      <x:c r="I38" s="86" t="n">
        <x:v>1042</x:v>
      </x:c>
    </x:row>
    <x:row r="39">
      <x:c r="A39" s="72" t="n">
        <x:v>46240.920752314814</x:v>
      </x:c>
      <x:c r="B39" s="86" t="n">
        <x:v>772</x:v>
      </x:c>
      <x:c r="C39" s="86" t="n">
        <x:v>778</x:v>
      </x:c>
      <x:c r="D39" s="86" t="n">
        <x:v>834</x:v>
      </x:c>
      <x:c r="E39" s="86" t="n">
        <x:v>851</x:v>
      </x:c>
      <x:c r="F39" s="86" t="n">
        <x:v>952</x:v>
      </x:c>
      <x:c r="G39" s="86" t="n">
        <x:v>971</x:v>
      </x:c>
      <x:c r="H39" s="86" t="n">
        <x:v>1040</x:v>
      </x:c>
      <x:c r="I39" s="86" t="n">
        <x:v>1048</x:v>
      </x:c>
    </x:row>
    <x:row r="40">
      <x:c r="A40" s="72" t="n">
        <x:v>46240.92422453704</x:v>
      </x:c>
      <x:c r="B40" s="86" t="n">
        <x:v>780</x:v>
      </x:c>
      <x:c r="C40" s="86" t="n">
        <x:v>784</x:v>
      </x:c>
      <x:c r="D40" s="86" t="n">
        <x:v>830</x:v>
      </x:c>
      <x:c r="E40" s="86" t="n">
        <x:v>846</x:v>
      </x:c>
      <x:c r="F40" s="86" t="n">
        <x:v>944</x:v>
      </x:c>
      <x:c r="G40" s="86" t="n">
        <x:v>964</x:v>
      </x:c>
      <x:c r="H40" s="86" t="n">
        <x:v>1043</x:v>
      </x:c>
      <x:c r="I40" s="86" t="n">
        <x:v>1052</x:v>
      </x:c>
    </x:row>
    <x:row r="41">
      <x:c r="A41" s="72" t="n">
        <x:v>46240.92769675926</x:v>
      </x:c>
      <x:c r="B41" s="86" t="n">
        <x:v>788</x:v>
      </x:c>
      <x:c r="C41" s="86" t="n">
        <x:v>792</x:v>
      </x:c>
      <x:c r="D41" s="86" t="n">
        <x:v>829</x:v>
      </x:c>
      <x:c r="E41" s="86" t="n">
        <x:v>842</x:v>
      </x:c>
      <x:c r="F41" s="86" t="n">
        <x:v>935</x:v>
      </x:c>
      <x:c r="G41" s="86" t="n">
        <x:v>956</x:v>
      </x:c>
      <x:c r="H41" s="86" t="n">
        <x:v>1043</x:v>
      </x:c>
      <x:c r="I41" s="86" t="n">
        <x:v>1055</x:v>
      </x:c>
    </x:row>
    <x:row r="42">
      <x:c r="A42" s="72" t="n">
        <x:v>46240.93116898148</x:v>
      </x:c>
      <x:c r="B42" s="86" t="n">
        <x:v>797</x:v>
      </x:c>
      <x:c r="C42" s="86" t="n">
        <x:v>800</x:v>
      </x:c>
      <x:c r="D42" s="86" t="n">
        <x:v>830</x:v>
      </x:c>
      <x:c r="E42" s="86" t="n">
        <x:v>841</x:v>
      </x:c>
      <x:c r="F42" s="86" t="n">
        <x:v>926</x:v>
      </x:c>
      <x:c r="G42" s="86" t="n">
        <x:v>947</x:v>
      </x:c>
      <x:c r="H42" s="86" t="n">
        <x:v>1041</x:v>
      </x:c>
      <x:c r="I42" s="86" t="n">
        <x:v>1055</x:v>
      </x:c>
    </x:row>
    <x:row r="43">
      <x:c r="A43" s="72" t="n">
        <x:v>46240.934641203705</x:v>
      </x:c>
      <x:c r="B43" s="86" t="n">
        <x:v>805</x:v>
      </x:c>
      <x:c r="C43" s="86" t="n">
        <x:v>809</x:v>
      </x:c>
      <x:c r="D43" s="86" t="n">
        <x:v>833</x:v>
      </x:c>
      <x:c r="E43" s="86" t="n">
        <x:v>842</x:v>
      </x:c>
      <x:c r="F43" s="86" t="n">
        <x:v>918</x:v>
      </x:c>
      <x:c r="G43" s="86" t="n">
        <x:v>938</x:v>
      </x:c>
      <x:c r="H43" s="86" t="n">
        <x:v>1037</x:v>
      </x:c>
      <x:c r="I43" s="86" t="n">
        <x:v>1053</x:v>
      </x:c>
    </x:row>
    <x:row r="44">
      <x:c r="A44" s="72" t="n">
        <x:v>46240.938113425924</x:v>
      </x:c>
      <x:c r="B44" s="86" t="n">
        <x:v>813</x:v>
      </x:c>
      <x:c r="C44" s="86" t="n">
        <x:v>817</x:v>
      </x:c>
      <x:c r="D44" s="86" t="n">
        <x:v>838</x:v>
      </x:c>
      <x:c r="E44" s="86" t="n">
        <x:v>845</x:v>
      </x:c>
      <x:c r="F44" s="86" t="n">
        <x:v>911</x:v>
      </x:c>
      <x:c r="G44" s="86" t="n">
        <x:v>930</x:v>
      </x:c>
      <x:c r="H44" s="86" t="n">
        <x:v>1031</x:v>
      </x:c>
      <x:c r="I44" s="86" t="n">
        <x:v>1049</x:v>
      </x:c>
    </x:row>
    <x:row r="45">
      <x:c r="A45" s="72" t="n">
        <x:v>46240.94158564815</x:v>
      </x:c>
      <x:c r="B45" s="86" t="n">
        <x:v>819</x:v>
      </x:c>
      <x:c r="C45" s="86" t="n">
        <x:v>825</x:v>
      </x:c>
      <x:c r="D45" s="86" t="n">
        <x:v>844</x:v>
      </x:c>
      <x:c r="E45" s="86" t="n">
        <x:v>850</x:v>
      </x:c>
      <x:c r="F45" s="86" t="n">
        <x:v>906</x:v>
      </x:c>
      <x:c r="G45" s="86" t="n">
        <x:v>923</x:v>
      </x:c>
      <x:c r="H45" s="86" t="n">
        <x:v>1024</x:v>
      </x:c>
      <x:c r="I45" s="86" t="n">
        <x:v>1043</x:v>
      </x:c>
    </x:row>
    <x:row r="46">
      <x:c r="A46" s="72" t="n">
        <x:v>46240.94505787037</x:v>
      </x:c>
      <x:c r="B46" s="86" t="n">
        <x:v>824</x:v>
      </x:c>
      <x:c r="C46" s="86" t="n">
        <x:v>831</x:v>
      </x:c>
      <x:c r="D46" s="86" t="n">
        <x:v>852</x:v>
      </x:c>
      <x:c r="E46" s="86" t="n">
        <x:v>856</x:v>
      </x:c>
      <x:c r="F46" s="86" t="n">
        <x:v>902</x:v>
      </x:c>
      <x:c r="G46" s="86" t="n">
        <x:v>918</x:v>
      </x:c>
      <x:c r="H46" s="86" t="n">
        <x:v>1016</x:v>
      </x:c>
      <x:c r="I46" s="86" t="n">
        <x:v>1036</x:v>
      </x:c>
    </x:row>
    <x:row r="47">
      <x:c r="A47" s="72" t="n">
        <x:v>46240.948530092595</x:v>
      </x:c>
      <x:c r="B47" s="86" t="n">
        <x:v>826</x:v>
      </x:c>
      <x:c r="C47" s="86" t="n">
        <x:v>836</x:v>
      </x:c>
      <x:c r="D47" s="86" t="n">
        <x:v>860</x:v>
      </x:c>
      <x:c r="E47" s="86" t="n">
        <x:v>864</x:v>
      </x:c>
      <x:c r="F47" s="86" t="n">
        <x:v>901</x:v>
      </x:c>
      <x:c r="G47" s="86" t="n">
        <x:v>914</x:v>
      </x:c>
      <x:c r="H47" s="86" t="n">
        <x:v>1007</x:v>
      </x:c>
      <x:c r="I47" s="86" t="n">
        <x:v>1028</x:v>
      </x:c>
    </x:row>
    <x:row r="48">
      <x:c r="A48" s="72" t="n">
        <x:v>46240.952002314814</x:v>
      </x:c>
      <x:c r="B48" s="86" t="n">
        <x:v>827</x:v>
      </x:c>
      <x:c r="C48" s="86" t="n">
        <x:v>838</x:v>
      </x:c>
      <x:c r="D48" s="86" t="n">
        <x:v>869</x:v>
      </x:c>
      <x:c r="E48" s="86" t="n">
        <x:v>872</x:v>
      </x:c>
      <x:c r="F48" s="86" t="n">
        <x:v>902</x:v>
      </x:c>
      <x:c r="G48" s="86" t="n">
        <x:v>913</x:v>
      </x:c>
      <x:c r="H48" s="86" t="n">
        <x:v>998</x:v>
      </x:c>
      <x:c r="I48" s="86" t="n">
        <x:v>1019</x:v>
      </x:c>
    </x:row>
    <x:row r="49">
      <x:c r="A49" s="72" t="n">
        <x:v>46240.95547453704</x:v>
      </x:c>
      <x:c r="B49" s="86" t="n">
        <x:v>825</x:v>
      </x:c>
      <x:c r="C49" s="86" t="n">
        <x:v>839</x:v>
      </x:c>
      <x:c r="D49" s="86" t="n">
        <x:v>877</x:v>
      </x:c>
      <x:c r="E49" s="86" t="n">
        <x:v>881</x:v>
      </x:c>
      <x:c r="F49" s="86" t="n">
        <x:v>905</x:v>
      </x:c>
      <x:c r="G49" s="86" t="n">
        <x:v>914</x:v>
      </x:c>
      <x:c r="H49" s="86" t="n">
        <x:v>990</x:v>
      </x:c>
      <x:c r="I49" s="86" t="n">
        <x:v>1010</x:v>
      </x:c>
    </x:row>
    <x:row r="50">
      <x:c r="A50" s="72" t="n">
        <x:v>46240.95894675926</x:v>
      </x:c>
      <x:c r="B50" s="86" t="n">
        <x:v>821</x:v>
      </x:c>
      <x:c r="C50" s="86" t="n">
        <x:v>837</x:v>
      </x:c>
      <x:c r="D50" s="86" t="n">
        <x:v>885</x:v>
      </x:c>
      <x:c r="E50" s="86" t="n">
        <x:v>889</x:v>
      </x:c>
      <x:c r="F50" s="86" t="n">
        <x:v>910</x:v>
      </x:c>
      <x:c r="G50" s="86" t="n">
        <x:v>917</x:v>
      </x:c>
      <x:c r="H50" s="86" t="n">
        <x:v>983</x:v>
      </x:c>
      <x:c r="I50" s="86" t="n">
        <x:v>1002</x:v>
      </x:c>
    </x:row>
    <x:row r="51">
      <x:c r="A51" s="72" t="n">
        <x:v>46240.96241898148</x:v>
      </x:c>
      <x:c r="B51" s="86" t="n">
        <x:v>816</x:v>
      </x:c>
      <x:c r="C51" s="86" t="n">
        <x:v>833</x:v>
      </x:c>
      <x:c r="D51" s="86" t="n">
        <x:v>891</x:v>
      </x:c>
      <x:c r="E51" s="86" t="n">
        <x:v>897</x:v>
      </x:c>
      <x:c r="F51" s="86" t="n">
        <x:v>916</x:v>
      </x:c>
      <x:c r="G51" s="86" t="n">
        <x:v>922</x:v>
      </x:c>
      <x:c r="H51" s="86" t="n">
        <x:v>978</x:v>
      </x:c>
      <x:c r="I51" s="86" t="n">
        <x:v>995</x:v>
      </x:c>
    </x:row>
    <x:row r="52">
      <x:c r="A52" s="72" t="n">
        <x:v>46240.965891203705</x:v>
      </x:c>
      <x:c r="B52" s="86" t="n">
        <x:v>809</x:v>
      </x:c>
      <x:c r="C52" s="86" t="n">
        <x:v>828</x:v>
      </x:c>
      <x:c r="D52" s="86" t="n">
        <x:v>896</x:v>
      </x:c>
      <x:c r="E52" s="86" t="n">
        <x:v>903</x:v>
      </x:c>
      <x:c r="F52" s="86" t="n">
        <x:v>924</x:v>
      </x:c>
      <x:c r="G52" s="86" t="n">
        <x:v>928</x:v>
      </x:c>
      <x:c r="H52" s="86" t="n">
        <x:v>974</x:v>
      </x:c>
      <x:c r="I52" s="86" t="n">
        <x:v>990</x:v>
      </x:c>
    </x:row>
    <x:row r="53">
      <x:c r="A53" s="73" t="n">
        <x:v>46240.969363425924</x:v>
      </x:c>
      <x:c r="B53" s="87" t="n">
        <x:v>801</x:v>
      </x:c>
      <x:c r="C53" s="87" t="n">
        <x:v>821</x:v>
      </x:c>
      <x:c r="D53" s="87" t="n">
        <x:v>898</x:v>
      </x:c>
      <x:c r="E53" s="87" t="n">
        <x:v>908</x:v>
      </x:c>
      <x:c r="F53" s="87" t="n">
        <x:v>932</x:v>
      </x:c>
      <x:c r="G53" s="87" t="n">
        <x:v>936</x:v>
      </x:c>
      <x:c r="H53" s="87" t="n">
        <x:v>973</x:v>
      </x:c>
      <x:c r="I53" s="87" t="n">
        <x:v>986</x:v>
      </x:c>
    </x:row>
  </x:sheetData>
  <x:mergeCells>
    <x:mergeCell ref="A1:I1"/>
    <x:mergeCell ref="A2:I2"/>
  </x:mergeCells>
  <x:conditionalFormatting sqref="B5:I53">
    <x:cfRule type="expression" dxfId="3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e0ccb0d42bfa4c7c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W0处理：土壤pH随时间变化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排列。单位：无量纲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8" t="str">
        <x:v>采集时间</x:v>
      </x:c>
      <x:c r="B4" s="47" t="str">
        <x:v>B1-W0-V1（P01）</x:v>
      </x:c>
      <x:c r="C4" s="47" t="str">
        <x:v>B1-W0-V2（P02）</x:v>
      </x:c>
      <x:c r="D4" s="47" t="str">
        <x:v>B2-W0-V1（P07）</x:v>
      </x:c>
      <x:c r="E4" s="47" t="str">
        <x:v>B2-W0-V2（P08）</x:v>
      </x:c>
      <x:c r="F4" s="47" t="str">
        <x:v>B3-W0-V1（P13）</x:v>
      </x:c>
      <x:c r="G4" s="47" t="str">
        <x:v>B3-W0-V2（P14）</x:v>
      </x:c>
      <x:c r="H4" s="47" t="str">
        <x:v>B4-W0-V1（P19）</x:v>
      </x:c>
      <x:c r="I4" s="19" t="str">
        <x:v>B4-W0-V2（P20）</x:v>
      </x:c>
    </x:row>
    <x:row r="5">
      <x:c r="A5" s="72" t="n">
        <x:v>46240.80269675926</x:v>
      </x:c>
      <x:c r="B5" s="90" t="n">
        <x:v>6.34</x:v>
      </x:c>
      <x:c r="C5" s="90" t="n">
        <x:v>6.4</x:v>
      </x:c>
      <x:c r="D5" s="90" t="n">
        <x:v>6.43</x:v>
      </x:c>
      <x:c r="E5" s="90" t="n">
        <x:v>6.48</x:v>
      </x:c>
      <x:c r="F5" s="90" t="n">
        <x:v>6.46</x:v>
      </x:c>
      <x:c r="G5" s="90" t="n">
        <x:v>6.51</x:v>
      </x:c>
      <x:c r="H5" s="90" t="n">
        <x:v>6.47</x:v>
      </x:c>
      <x:c r="I5" s="90" t="n">
        <x:v>6.27</x:v>
      </x:c>
    </x:row>
    <x:row r="6">
      <x:c r="A6" s="72" t="n">
        <x:v>46240.80616898148</x:v>
      </x:c>
      <x:c r="B6" s="90" t="n">
        <x:v>6.33</x:v>
      </x:c>
      <x:c r="C6" s="90" t="n">
        <x:v>6.39</x:v>
      </x:c>
      <x:c r="D6" s="90" t="n">
        <x:v>6.42</x:v>
      </x:c>
      <x:c r="E6" s="90" t="n">
        <x:v>6.48</x:v>
      </x:c>
      <x:c r="F6" s="90" t="n">
        <x:v>6.47</x:v>
      </x:c>
      <x:c r="G6" s="90" t="n">
        <x:v>6.51</x:v>
      </x:c>
      <x:c r="H6" s="90" t="n">
        <x:v>6.48</x:v>
      </x:c>
      <x:c r="I6" s="90" t="n">
        <x:v>6.27</x:v>
      </x:c>
    </x:row>
    <x:row r="7">
      <x:c r="A7" s="72" t="n">
        <x:v>46240.809641203705</x:v>
      </x:c>
      <x:c r="B7" s="90" t="n">
        <x:v>6.33</x:v>
      </x:c>
      <x:c r="C7" s="90" t="n">
        <x:v>6.38</x:v>
      </x:c>
      <x:c r="D7" s="90" t="n">
        <x:v>6.42</x:v>
      </x:c>
      <x:c r="E7" s="90" t="n">
        <x:v>6.47</x:v>
      </x:c>
      <x:c r="F7" s="90" t="n">
        <x:v>6.47</x:v>
      </x:c>
      <x:c r="G7" s="90" t="n">
        <x:v>6.52</x:v>
      </x:c>
      <x:c r="H7" s="90" t="n">
        <x:v>6.48</x:v>
      </x:c>
      <x:c r="I7" s="90" t="n">
        <x:v>6.28</x:v>
      </x:c>
    </x:row>
    <x:row r="8">
      <x:c r="A8" s="72" t="n">
        <x:v>46240.813113425924</x:v>
      </x:c>
      <x:c r="B8" s="90" t="n">
        <x:v>6.32</x:v>
      </x:c>
      <x:c r="C8" s="90" t="n">
        <x:v>6.38</x:v>
      </x:c>
      <x:c r="D8" s="90" t="n">
        <x:v>6.41</x:v>
      </x:c>
      <x:c r="E8" s="90" t="n">
        <x:v>6.47</x:v>
      </x:c>
      <x:c r="F8" s="90" t="n">
        <x:v>6.48</x:v>
      </x:c>
      <x:c r="G8" s="90" t="n">
        <x:v>6.52</x:v>
      </x:c>
      <x:c r="H8" s="90" t="n">
        <x:v>6.49</x:v>
      </x:c>
      <x:c r="I8" s="90" t="n">
        <x:v>6.28</x:v>
      </x:c>
    </x:row>
    <x:row r="9">
      <x:c r="A9" s="72" t="n">
        <x:v>46240.81658564815</x:v>
      </x:c>
      <x:c r="B9" s="90" t="n">
        <x:v>6.32</x:v>
      </x:c>
      <x:c r="C9" s="90" t="n">
        <x:v>6.37</x:v>
      </x:c>
      <x:c r="D9" s="90" t="n">
        <x:v>6.41</x:v>
      </x:c>
      <x:c r="E9" s="90" t="n">
        <x:v>6.46</x:v>
      </x:c>
      <x:c r="F9" s="90" t="n">
        <x:v>6.48</x:v>
      </x:c>
      <x:c r="G9" s="90" t="n">
        <x:v>6.53</x:v>
      </x:c>
      <x:c r="H9" s="90" t="n">
        <x:v>6.5</x:v>
      </x:c>
      <x:c r="I9" s="90" t="n">
        <x:v>6.29</x:v>
      </x:c>
    </x:row>
    <x:row r="10">
      <x:c r="A10" s="72" t="n">
        <x:v>46240.82005787037</x:v>
      </x:c>
      <x:c r="B10" s="90" t="n">
        <x:v>6.32</x:v>
      </x:c>
      <x:c r="C10" s="90" t="n">
        <x:v>6.37</x:v>
      </x:c>
      <x:c r="D10" s="90" t="n">
        <x:v>6.4</x:v>
      </x:c>
      <x:c r="E10" s="90" t="n">
        <x:v>6.46</x:v>
      </x:c>
      <x:c r="F10" s="90" t="n">
        <x:v>6.48</x:v>
      </x:c>
      <x:c r="G10" s="90" t="n">
        <x:v>6.53</x:v>
      </x:c>
      <x:c r="H10" s="90" t="n">
        <x:v>6.51</x:v>
      </x:c>
      <x:c r="I10" s="90" t="n">
        <x:v>6.3</x:v>
      </x:c>
    </x:row>
    <x:row r="11">
      <x:c r="A11" s="72" t="n">
        <x:v>46240.823530092595</x:v>
      </x:c>
      <x:c r="B11" s="90" t="n">
        <x:v>6.32</x:v>
      </x:c>
      <x:c r="C11" s="90" t="n">
        <x:v>6.37</x:v>
      </x:c>
      <x:c r="D11" s="90" t="n">
        <x:v>6.39</x:v>
      </x:c>
      <x:c r="E11" s="90" t="n">
        <x:v>6.45</x:v>
      </x:c>
      <x:c r="F11" s="90" t="n">
        <x:v>6.48</x:v>
      </x:c>
      <x:c r="G11" s="90" t="n">
        <x:v>6.53</x:v>
      </x:c>
      <x:c r="H11" s="90" t="n">
        <x:v>6.51</x:v>
      </x:c>
      <x:c r="I11" s="90" t="n">
        <x:v>6.31</x:v>
      </x:c>
    </x:row>
    <x:row r="12">
      <x:c r="A12" s="72" t="n">
        <x:v>46240.827002314814</x:v>
      </x:c>
      <x:c r="B12" s="90" t="n">
        <x:v>6.32</x:v>
      </x:c>
      <x:c r="C12" s="90" t="n">
        <x:v>6.37</x:v>
      </x:c>
      <x:c r="D12" s="90" t="n">
        <x:v>6.38</x:v>
      </x:c>
      <x:c r="E12" s="90" t="n">
        <x:v>6.44</x:v>
      </x:c>
      <x:c r="F12" s="90" t="n">
        <x:v>6.47</x:v>
      </x:c>
      <x:c r="G12" s="90" t="n">
        <x:v>6.53</x:v>
      </x:c>
      <x:c r="H12" s="90" t="n">
        <x:v>6.52</x:v>
      </x:c>
      <x:c r="I12" s="90" t="n">
        <x:v>6.31</x:v>
      </x:c>
    </x:row>
    <x:row r="13">
      <x:c r="A13" s="72" t="n">
        <x:v>46240.83047453704</x:v>
      </x:c>
      <x:c r="B13" s="90" t="n">
        <x:v>6.33</x:v>
      </x:c>
      <x:c r="C13" s="90" t="n">
        <x:v>6.37</x:v>
      </x:c>
      <x:c r="D13" s="90" t="n">
        <x:v>6.38</x:v>
      </x:c>
      <x:c r="E13" s="90" t="n">
        <x:v>6.43</x:v>
      </x:c>
      <x:c r="F13" s="90" t="n">
        <x:v>6.47</x:v>
      </x:c>
      <x:c r="G13" s="90" t="n">
        <x:v>6.52</x:v>
      </x:c>
      <x:c r="H13" s="90" t="n">
        <x:v>6.52</x:v>
      </x:c>
      <x:c r="I13" s="90" t="n">
        <x:v>6.32</x:v>
      </x:c>
    </x:row>
    <x:row r="14">
      <x:c r="A14" s="72" t="n">
        <x:v>46240.83394675926</x:v>
      </x:c>
      <x:c r="B14" s="90" t="n">
        <x:v>6.33</x:v>
      </x:c>
      <x:c r="C14" s="90" t="n">
        <x:v>6.38</x:v>
      </x:c>
      <x:c r="D14" s="90" t="n">
        <x:v>6.37</x:v>
      </x:c>
      <x:c r="E14" s="90" t="n">
        <x:v>6.43</x:v>
      </x:c>
      <x:c r="F14" s="90" t="n">
        <x:v>6.46</x:v>
      </x:c>
      <x:c r="G14" s="90" t="n">
        <x:v>6.52</x:v>
      </x:c>
      <x:c r="H14" s="90" t="n">
        <x:v>6.53</x:v>
      </x:c>
      <x:c r="I14" s="90" t="n">
        <x:v>6.32</x:v>
      </x:c>
    </x:row>
    <x:row r="15">
      <x:c r="A15" s="72" t="n">
        <x:v>46240.83741898148</x:v>
      </x:c>
      <x:c r="B15" s="90" t="n">
        <x:v>6.34</x:v>
      </x:c>
      <x:c r="C15" s="90" t="n">
        <x:v>6.38</x:v>
      </x:c>
      <x:c r="D15" s="90" t="n">
        <x:v>6.37</x:v>
      </x:c>
      <x:c r="E15" s="90" t="n">
        <x:v>6.42</x:v>
      </x:c>
      <x:c r="F15" s="90" t="n">
        <x:v>6.46</x:v>
      </x:c>
      <x:c r="G15" s="90" t="n">
        <x:v>6.51</x:v>
      </x:c>
      <x:c r="H15" s="90" t="n">
        <x:v>6.53</x:v>
      </x:c>
      <x:c r="I15" s="90" t="n">
        <x:v>6.33</x:v>
      </x:c>
    </x:row>
    <x:row r="16">
      <x:c r="A16" s="72" t="n">
        <x:v>46240.840891203705</x:v>
      </x:c>
      <x:c r="B16" s="90" t="n">
        <x:v>6.35</x:v>
      </x:c>
      <x:c r="C16" s="90" t="n">
        <x:v>6.39</x:v>
      </x:c>
      <x:c r="D16" s="90" t="n">
        <x:v>6.37</x:v>
      </x:c>
      <x:c r="E16" s="90" t="n">
        <x:v>6.42</x:v>
      </x:c>
      <x:c r="F16" s="90" t="n">
        <x:v>6.45</x:v>
      </x:c>
      <x:c r="G16" s="90" t="n">
        <x:v>6.51</x:v>
      </x:c>
      <x:c r="H16" s="90" t="n">
        <x:v>6.53</x:v>
      </x:c>
      <x:c r="I16" s="90" t="n">
        <x:v>6.33</x:v>
      </x:c>
    </x:row>
    <x:row r="17">
      <x:c r="A17" s="72" t="n">
        <x:v>46240.844363425924</x:v>
      </x:c>
      <x:c r="B17" s="90" t="n">
        <x:v>6.36</x:v>
      </x:c>
      <x:c r="C17" s="90" t="n">
        <x:v>6.4</x:v>
      </x:c>
      <x:c r="D17" s="90" t="n">
        <x:v>6.37</x:v>
      </x:c>
      <x:c r="E17" s="90" t="n">
        <x:v>6.42</x:v>
      </x:c>
      <x:c r="F17" s="90" t="n">
        <x:v>6.44</x:v>
      </x:c>
      <x:c r="G17" s="90" t="n">
        <x:v>6.5</x:v>
      </x:c>
      <x:c r="H17" s="90" t="n">
        <x:v>6.53</x:v>
      </x:c>
      <x:c r="I17" s="90" t="n">
        <x:v>6.33</x:v>
      </x:c>
    </x:row>
    <x:row r="18">
      <x:c r="A18" s="72" t="n">
        <x:v>46240.84783564815</x:v>
      </x:c>
      <x:c r="B18" s="90" t="n">
        <x:v>6.36</x:v>
      </x:c>
      <x:c r="C18" s="90" t="n">
        <x:v>6.41</x:v>
      </x:c>
      <x:c r="D18" s="90" t="n">
        <x:v>6.37</x:v>
      </x:c>
      <x:c r="E18" s="90" t="n">
        <x:v>6.42</x:v>
      </x:c>
      <x:c r="F18" s="90" t="n">
        <x:v>6.43</x:v>
      </x:c>
      <x:c r="G18" s="90" t="n">
        <x:v>6.49</x:v>
      </x:c>
      <x:c r="H18" s="90" t="n">
        <x:v>6.52</x:v>
      </x:c>
      <x:c r="I18" s="90" t="n">
        <x:v>6.33</x:v>
      </x:c>
    </x:row>
    <x:row r="19">
      <x:c r="A19" s="72" t="n">
        <x:v>46240.85130787037</x:v>
      </x:c>
      <x:c r="B19" s="90" t="n">
        <x:v>6.37</x:v>
      </x:c>
      <x:c r="C19" s="90" t="n">
        <x:v>6.41</x:v>
      </x:c>
      <x:c r="D19" s="90" t="n">
        <x:v>6.38</x:v>
      </x:c>
      <x:c r="E19" s="90" t="n">
        <x:v>6.42</x:v>
      </x:c>
      <x:c r="F19" s="90" t="n">
        <x:v>6.43</x:v>
      </x:c>
      <x:c r="G19" s="90" t="n">
        <x:v>6.48</x:v>
      </x:c>
      <x:c r="H19" s="90" t="n">
        <x:v>6.52</x:v>
      </x:c>
      <x:c r="I19" s="90" t="n">
        <x:v>6.32</x:v>
      </x:c>
    </x:row>
    <x:row r="20">
      <x:c r="A20" s="72" t="n">
        <x:v>46240.854780092595</x:v>
      </x:c>
      <x:c r="B20" s="90" t="n">
        <x:v>6.37</x:v>
      </x:c>
      <x:c r="C20" s="90" t="n">
        <x:v>6.42</x:v>
      </x:c>
      <x:c r="D20" s="90" t="n">
        <x:v>6.38</x:v>
      </x:c>
      <x:c r="E20" s="90" t="n">
        <x:v>6.43</x:v>
      </x:c>
      <x:c r="F20" s="90" t="n">
        <x:v>6.42</x:v>
      </x:c>
      <x:c r="G20" s="90" t="n">
        <x:v>6.48</x:v>
      </x:c>
      <x:c r="H20" s="90" t="n">
        <x:v>6.51</x:v>
      </x:c>
      <x:c r="I20" s="90" t="n">
        <x:v>6.32</x:v>
      </x:c>
    </x:row>
    <x:row r="21">
      <x:c r="A21" s="72" t="n">
        <x:v>46240.858252314814</x:v>
      </x:c>
      <x:c r="B21" s="90" t="n">
        <x:v>6.38</x:v>
      </x:c>
      <x:c r="C21" s="90" t="n">
        <x:v>6.42</x:v>
      </x:c>
      <x:c r="D21" s="90" t="n">
        <x:v>6.39</x:v>
      </x:c>
      <x:c r="E21" s="90" t="n">
        <x:v>6.43</x:v>
      </x:c>
      <x:c r="F21" s="90" t="n">
        <x:v>6.42</x:v>
      </x:c>
      <x:c r="G21" s="90" t="n">
        <x:v>6.47</x:v>
      </x:c>
      <x:c r="H21" s="90" t="n">
        <x:v>6.51</x:v>
      </x:c>
      <x:c r="I21" s="90" t="n">
        <x:v>6.31</x:v>
      </x:c>
    </x:row>
    <x:row r="22">
      <x:c r="A22" s="72" t="n">
        <x:v>46240.86172453704</x:v>
      </x:c>
      <x:c r="B22" s="90" t="n">
        <x:v>6.38</x:v>
      </x:c>
      <x:c r="C22" s="90" t="n">
        <x:v>6.43</x:v>
      </x:c>
      <x:c r="D22" s="90" t="n">
        <x:v>6.4</x:v>
      </x:c>
      <x:c r="E22" s="90" t="n">
        <x:v>6.44</x:v>
      </x:c>
      <x:c r="F22" s="90" t="n">
        <x:v>6.42</x:v>
      </x:c>
      <x:c r="G22" s="90" t="n">
        <x:v>6.47</x:v>
      </x:c>
      <x:c r="H22" s="90" t="n">
        <x:v>6.5</x:v>
      </x:c>
      <x:c r="I22" s="90" t="n">
        <x:v>6.31</x:v>
      </x:c>
    </x:row>
    <x:row r="23">
      <x:c r="A23" s="72" t="n">
        <x:v>46240.86519675926</x:v>
      </x:c>
      <x:c r="B23" s="90" t="n">
        <x:v>6.38</x:v>
      </x:c>
      <x:c r="C23" s="90" t="n">
        <x:v>6.43</x:v>
      </x:c>
      <x:c r="D23" s="90" t="n">
        <x:v>6.41</x:v>
      </x:c>
      <x:c r="E23" s="90" t="n">
        <x:v>6.45</x:v>
      </x:c>
      <x:c r="F23" s="90" t="n">
        <x:v>6.42</x:v>
      </x:c>
      <x:c r="G23" s="90" t="n">
        <x:v>6.47</x:v>
      </x:c>
      <x:c r="H23" s="90" t="n">
        <x:v>6.49</x:v>
      </x:c>
      <x:c r="I23" s="90" t="n">
        <x:v>6.3</x:v>
      </x:c>
    </x:row>
    <x:row r="24">
      <x:c r="A24" s="72" t="n">
        <x:v>46240.86866898148</x:v>
      </x:c>
      <x:c r="B24" s="90" t="n">
        <x:v>6.38</x:v>
      </x:c>
      <x:c r="C24" s="90" t="n">
        <x:v>6.43</x:v>
      </x:c>
      <x:c r="D24" s="90" t="n">
        <x:v>6.41</x:v>
      </x:c>
      <x:c r="E24" s="90" t="n">
        <x:v>6.46</x:v>
      </x:c>
      <x:c r="F24" s="90" t="n">
        <x:v>6.42</x:v>
      </x:c>
      <x:c r="G24" s="90" t="n">
        <x:v>6.47</x:v>
      </x:c>
      <x:c r="H24" s="90" t="n">
        <x:v>6.48</x:v>
      </x:c>
      <x:c r="I24" s="90" t="n">
        <x:v>6.29</x:v>
      </x:c>
    </x:row>
    <x:row r="25">
      <x:c r="A25" s="72" t="n">
        <x:v>46240.872141203705</x:v>
      </x:c>
      <x:c r="B25" s="90" t="n">
        <x:v>6.37</x:v>
      </x:c>
      <x:c r="C25" s="90" t="n">
        <x:v>6.43</x:v>
      </x:c>
      <x:c r="D25" s="90" t="n">
        <x:v>6.42</x:v>
      </x:c>
      <x:c r="E25" s="90" t="n">
        <x:v>6.46</x:v>
      </x:c>
      <x:c r="F25" s="90" t="n">
        <x:v>6.43</x:v>
      </x:c>
      <x:c r="G25" s="90" t="n">
        <x:v>6.47</x:v>
      </x:c>
      <x:c r="H25" s="90" t="n">
        <x:v>6.48</x:v>
      </x:c>
      <x:c r="I25" s="90" t="n">
        <x:v>6.28</x:v>
      </x:c>
    </x:row>
    <x:row r="26">
      <x:c r="A26" s="72" t="n">
        <x:v>46240.875613425924</x:v>
      </x:c>
      <x:c r="B26" s="90" t="n">
        <x:v>6.37</x:v>
      </x:c>
      <x:c r="C26" s="90" t="n">
        <x:v>6.42</x:v>
      </x:c>
      <x:c r="D26" s="90" t="n">
        <x:v>6.42</x:v>
      </x:c>
      <x:c r="E26" s="90" t="n">
        <x:v>6.47</x:v>
      </x:c>
      <x:c r="F26" s="90" t="n">
        <x:v>6.43</x:v>
      </x:c>
      <x:c r="G26" s="90" t="n">
        <x:v>6.48</x:v>
      </x:c>
      <x:c r="H26" s="90" t="n">
        <x:v>6.47</x:v>
      </x:c>
      <x:c r="I26" s="90" t="n">
        <x:v>6.28</x:v>
      </x:c>
    </x:row>
    <x:row r="27">
      <x:c r="A27" s="72" t="n">
        <x:v>46240.87908564815</x:v>
      </x:c>
      <x:c r="B27" s="90" t="n">
        <x:v>6.36</x:v>
      </x:c>
      <x:c r="C27" s="90" t="n">
        <x:v>6.42</x:v>
      </x:c>
      <x:c r="D27" s="90" t="n">
        <x:v>6.43</x:v>
      </x:c>
      <x:c r="E27" s="90" t="n">
        <x:v>6.47</x:v>
      </x:c>
      <x:c r="F27" s="90" t="n">
        <x:v>6.44</x:v>
      </x:c>
      <x:c r="G27" s="90" t="n">
        <x:v>6.48</x:v>
      </x:c>
      <x:c r="H27" s="90" t="n">
        <x:v>6.47</x:v>
      </x:c>
      <x:c r="I27" s="90" t="n">
        <x:v>6.27</x:v>
      </x:c>
    </x:row>
    <x:row r="28">
      <x:c r="A28" s="72" t="n">
        <x:v>46240.88255787037</x:v>
      </x:c>
      <x:c r="B28" s="90" t="n">
        <x:v>6.36</x:v>
      </x:c>
      <x:c r="C28" s="90" t="n">
        <x:v>6.41</x:v>
      </x:c>
      <x:c r="D28" s="90" t="n">
        <x:v>6.43</x:v>
      </x:c>
      <x:c r="E28" s="90" t="n">
        <x:v>6.48</x:v>
      </x:c>
      <x:c r="F28" s="90" t="n">
        <x:v>6.45</x:v>
      </x:c>
      <x:c r="G28" s="90" t="n">
        <x:v>6.49</x:v>
      </x:c>
      <x:c r="H28" s="90" t="n">
        <x:v>6.47</x:v>
      </x:c>
      <x:c r="I28" s="90" t="n">
        <x:v>6.27</x:v>
      </x:c>
    </x:row>
    <x:row r="29">
      <x:c r="A29" s="72" t="n">
        <x:v>46240.886030092595</x:v>
      </x:c>
      <x:c r="B29" s="90" t="n">
        <x:v>6.35</x:v>
      </x:c>
      <x:c r="C29" s="90" t="n">
        <x:v>6.41</x:v>
      </x:c>
      <x:c r="D29" s="90" t="n">
        <x:v>6.43</x:v>
      </x:c>
      <x:c r="E29" s="90" t="n">
        <x:v>6.48</x:v>
      </x:c>
      <x:c r="F29" s="90" t="n">
        <x:v>6.46</x:v>
      </x:c>
      <x:c r="G29" s="90" t="n">
        <x:v>6.5</x:v>
      </x:c>
      <x:c r="H29" s="90" t="n">
        <x:v>6.47</x:v>
      </x:c>
      <x:c r="I29" s="90" t="n">
        <x:v>6.27</x:v>
      </x:c>
    </x:row>
    <x:row r="30">
      <x:c r="A30" s="72" t="n">
        <x:v>46240.889502314814</x:v>
      </x:c>
      <x:c r="B30" s="90" t="n">
        <x:v>6.34</x:v>
      </x:c>
      <x:c r="C30" s="90" t="n">
        <x:v>6.4</x:v>
      </x:c>
      <x:c r="D30" s="90" t="n">
        <x:v>6.43</x:v>
      </x:c>
      <x:c r="E30" s="90" t="n">
        <x:v>6.48</x:v>
      </x:c>
      <x:c r="F30" s="90" t="n">
        <x:v>6.46</x:v>
      </x:c>
      <x:c r="G30" s="90" t="n">
        <x:v>6.51</x:v>
      </x:c>
      <x:c r="H30" s="90" t="n">
        <x:v>6.47</x:v>
      </x:c>
      <x:c r="I30" s="90" t="n">
        <x:v>6.27</x:v>
      </x:c>
    </x:row>
    <x:row r="31">
      <x:c r="A31" s="72" t="n">
        <x:v>46240.89297453704</x:v>
      </x:c>
      <x:c r="B31" s="90" t="n">
        <x:v>6.33</x:v>
      </x:c>
      <x:c r="C31" s="90" t="n">
        <x:v>6.39</x:v>
      </x:c>
      <x:c r="D31" s="90" t="n">
        <x:v>6.42</x:v>
      </x:c>
      <x:c r="E31" s="90" t="n">
        <x:v>6.48</x:v>
      </x:c>
      <x:c r="F31" s="90" t="n">
        <x:v>6.47</x:v>
      </x:c>
      <x:c r="G31" s="90" t="n">
        <x:v>6.51</x:v>
      </x:c>
      <x:c r="H31" s="90" t="n">
        <x:v>6.48</x:v>
      </x:c>
      <x:c r="I31" s="90" t="n">
        <x:v>6.27</x:v>
      </x:c>
    </x:row>
    <x:row r="32">
      <x:c r="A32" s="72" t="n">
        <x:v>46240.89644675926</x:v>
      </x:c>
      <x:c r="B32" s="90" t="n">
        <x:v>6.33</x:v>
      </x:c>
      <x:c r="C32" s="90" t="n">
        <x:v>6.38</x:v>
      </x:c>
      <x:c r="D32" s="90" t="n">
        <x:v>6.42</x:v>
      </x:c>
      <x:c r="E32" s="90" t="n">
        <x:v>6.47</x:v>
      </x:c>
      <x:c r="F32" s="90" t="n">
        <x:v>6.47</x:v>
      </x:c>
      <x:c r="G32" s="90" t="n">
        <x:v>6.52</x:v>
      </x:c>
      <x:c r="H32" s="90" t="n">
        <x:v>6.48</x:v>
      </x:c>
      <x:c r="I32" s="90" t="n">
        <x:v>6.28</x:v>
      </x:c>
    </x:row>
    <x:row r="33">
      <x:c r="A33" s="72" t="n">
        <x:v>46240.89991898148</x:v>
      </x:c>
      <x:c r="B33" s="90" t="n">
        <x:v>6.32</x:v>
      </x:c>
      <x:c r="C33" s="90" t="n">
        <x:v>6.38</x:v>
      </x:c>
      <x:c r="D33" s="90" t="n">
        <x:v>6.41</x:v>
      </x:c>
      <x:c r="E33" s="90" t="n">
        <x:v>6.47</x:v>
      </x:c>
      <x:c r="F33" s="90" t="n">
        <x:v>6.48</x:v>
      </x:c>
      <x:c r="G33" s="90" t="n">
        <x:v>6.52</x:v>
      </x:c>
      <x:c r="H33" s="90" t="n">
        <x:v>6.49</x:v>
      </x:c>
      <x:c r="I33" s="90" t="n">
        <x:v>6.28</x:v>
      </x:c>
    </x:row>
    <x:row r="34">
      <x:c r="A34" s="72" t="n">
        <x:v>46240.903391203705</x:v>
      </x:c>
      <x:c r="B34" s="90" t="n">
        <x:v>6.32</x:v>
      </x:c>
      <x:c r="C34" s="90" t="n">
        <x:v>6.37</x:v>
      </x:c>
      <x:c r="D34" s="90" t="n">
        <x:v>6.41</x:v>
      </x:c>
      <x:c r="E34" s="90" t="n">
        <x:v>6.46</x:v>
      </x:c>
      <x:c r="F34" s="90" t="n">
        <x:v>6.48</x:v>
      </x:c>
      <x:c r="G34" s="90" t="n">
        <x:v>6.53</x:v>
      </x:c>
      <x:c r="H34" s="90" t="n">
        <x:v>6.5</x:v>
      </x:c>
      <x:c r="I34" s="90" t="n">
        <x:v>6.29</x:v>
      </x:c>
    </x:row>
    <x:row r="35">
      <x:c r="A35" s="72" t="n">
        <x:v>46240.906863425924</x:v>
      </x:c>
      <x:c r="B35" s="90" t="n">
        <x:v>6.32</x:v>
      </x:c>
      <x:c r="C35" s="90" t="n">
        <x:v>6.37</x:v>
      </x:c>
      <x:c r="D35" s="90" t="n">
        <x:v>6.4</x:v>
      </x:c>
      <x:c r="E35" s="90" t="n">
        <x:v>6.46</x:v>
      </x:c>
      <x:c r="F35" s="90" t="n">
        <x:v>6.48</x:v>
      </x:c>
      <x:c r="G35" s="90" t="n">
        <x:v>6.53</x:v>
      </x:c>
      <x:c r="H35" s="90" t="n">
        <x:v>6.51</x:v>
      </x:c>
      <x:c r="I35" s="90" t="n">
        <x:v>6.3</x:v>
      </x:c>
    </x:row>
    <x:row r="36">
      <x:c r="A36" s="72" t="n">
        <x:v>46240.91033564815</x:v>
      </x:c>
      <x:c r="B36" s="90" t="n">
        <x:v>6.32</x:v>
      </x:c>
      <x:c r="C36" s="90" t="n">
        <x:v>6.37</x:v>
      </x:c>
      <x:c r="D36" s="90" t="n">
        <x:v>6.39</x:v>
      </x:c>
      <x:c r="E36" s="90" t="n">
        <x:v>6.45</x:v>
      </x:c>
      <x:c r="F36" s="90" t="n">
        <x:v>6.48</x:v>
      </x:c>
      <x:c r="G36" s="90" t="n">
        <x:v>6.53</x:v>
      </x:c>
      <x:c r="H36" s="90" t="n">
        <x:v>6.51</x:v>
      </x:c>
      <x:c r="I36" s="90" t="n">
        <x:v>6.31</x:v>
      </x:c>
    </x:row>
    <x:row r="37">
      <x:c r="A37" s="72" t="n">
        <x:v>46240.91380787037</x:v>
      </x:c>
      <x:c r="B37" s="90" t="n">
        <x:v>6.32</x:v>
      </x:c>
      <x:c r="C37" s="90" t="n">
        <x:v>6.37</x:v>
      </x:c>
      <x:c r="D37" s="90" t="n">
        <x:v>6.38</x:v>
      </x:c>
      <x:c r="E37" s="90" t="n">
        <x:v>6.44</x:v>
      </x:c>
      <x:c r="F37" s="90" t="n">
        <x:v>6.47</x:v>
      </x:c>
      <x:c r="G37" s="90" t="n">
        <x:v>6.53</x:v>
      </x:c>
      <x:c r="H37" s="90" t="n">
        <x:v>6.52</x:v>
      </x:c>
      <x:c r="I37" s="90" t="n">
        <x:v>6.31</x:v>
      </x:c>
    </x:row>
    <x:row r="38">
      <x:c r="A38" s="72" t="n">
        <x:v>46240.917280092595</x:v>
      </x:c>
      <x:c r="B38" s="90" t="n">
        <x:v>6.33</x:v>
      </x:c>
      <x:c r="C38" s="90" t="n">
        <x:v>6.37</x:v>
      </x:c>
      <x:c r="D38" s="90" t="n">
        <x:v>6.38</x:v>
      </x:c>
      <x:c r="E38" s="90" t="n">
        <x:v>6.43</x:v>
      </x:c>
      <x:c r="F38" s="90" t="n">
        <x:v>6.47</x:v>
      </x:c>
      <x:c r="G38" s="90" t="n">
        <x:v>6.52</x:v>
      </x:c>
      <x:c r="H38" s="90" t="n">
        <x:v>6.52</x:v>
      </x:c>
      <x:c r="I38" s="90" t="n">
        <x:v>6.32</x:v>
      </x:c>
    </x:row>
    <x:row r="39">
      <x:c r="A39" s="72" t="n">
        <x:v>46240.920752314814</x:v>
      </x:c>
      <x:c r="B39" s="90" t="n">
        <x:v>6.33</x:v>
      </x:c>
      <x:c r="C39" s="90" t="n">
        <x:v>6.38</x:v>
      </x:c>
      <x:c r="D39" s="90" t="n">
        <x:v>6.37</x:v>
      </x:c>
      <x:c r="E39" s="90" t="n">
        <x:v>6.43</x:v>
      </x:c>
      <x:c r="F39" s="90" t="n">
        <x:v>6.46</x:v>
      </x:c>
      <x:c r="G39" s="90" t="n">
        <x:v>6.52</x:v>
      </x:c>
      <x:c r="H39" s="90" t="n">
        <x:v>6.53</x:v>
      </x:c>
      <x:c r="I39" s="90" t="n">
        <x:v>6.32</x:v>
      </x:c>
    </x:row>
    <x:row r="40">
      <x:c r="A40" s="72" t="n">
        <x:v>46240.92422453704</x:v>
      </x:c>
      <x:c r="B40" s="90" t="n">
        <x:v>6.34</x:v>
      </x:c>
      <x:c r="C40" s="90" t="n">
        <x:v>6.38</x:v>
      </x:c>
      <x:c r="D40" s="90" t="n">
        <x:v>6.37</x:v>
      </x:c>
      <x:c r="E40" s="90" t="n">
        <x:v>6.42</x:v>
      </x:c>
      <x:c r="F40" s="90" t="n">
        <x:v>6.46</x:v>
      </x:c>
      <x:c r="G40" s="90" t="n">
        <x:v>6.51</x:v>
      </x:c>
      <x:c r="H40" s="90" t="n">
        <x:v>6.53</x:v>
      </x:c>
      <x:c r="I40" s="90" t="n">
        <x:v>6.33</x:v>
      </x:c>
    </x:row>
    <x:row r="41">
      <x:c r="A41" s="72" t="n">
        <x:v>46240.92769675926</x:v>
      </x:c>
      <x:c r="B41" s="90" t="n">
        <x:v>6.35</x:v>
      </x:c>
      <x:c r="C41" s="90" t="n">
        <x:v>6.39</x:v>
      </x:c>
      <x:c r="D41" s="90" t="n">
        <x:v>6.37</x:v>
      </x:c>
      <x:c r="E41" s="90" t="n">
        <x:v>6.42</x:v>
      </x:c>
      <x:c r="F41" s="90" t="n">
        <x:v>6.45</x:v>
      </x:c>
      <x:c r="G41" s="90" t="n">
        <x:v>6.51</x:v>
      </x:c>
      <x:c r="H41" s="90" t="n">
        <x:v>6.53</x:v>
      </x:c>
      <x:c r="I41" s="90" t="n">
        <x:v>6.33</x:v>
      </x:c>
    </x:row>
    <x:row r="42">
      <x:c r="A42" s="72" t="n">
        <x:v>46240.93116898148</x:v>
      </x:c>
      <x:c r="B42" s="90" t="n">
        <x:v>6.35</x:v>
      </x:c>
      <x:c r="C42" s="90" t="n">
        <x:v>6.4</x:v>
      </x:c>
      <x:c r="D42" s="90" t="n">
        <x:v>6.37</x:v>
      </x:c>
      <x:c r="E42" s="90" t="n">
        <x:v>6.42</x:v>
      </x:c>
      <x:c r="F42" s="90" t="n">
        <x:v>6.44</x:v>
      </x:c>
      <x:c r="G42" s="90" t="n">
        <x:v>6.5</x:v>
      </x:c>
      <x:c r="H42" s="90" t="n">
        <x:v>6.53</x:v>
      </x:c>
      <x:c r="I42" s="90" t="n">
        <x:v>6.33</x:v>
      </x:c>
    </x:row>
    <x:row r="43">
      <x:c r="A43" s="72" t="n">
        <x:v>46240.934641203705</x:v>
      </x:c>
      <x:c r="B43" s="90" t="n">
        <x:v>6.36</x:v>
      </x:c>
      <x:c r="C43" s="90" t="n">
        <x:v>6.4</x:v>
      </x:c>
      <x:c r="D43" s="90" t="n">
        <x:v>6.37</x:v>
      </x:c>
      <x:c r="E43" s="90" t="n">
        <x:v>6.42</x:v>
      </x:c>
      <x:c r="F43" s="90" t="n">
        <x:v>6.43</x:v>
      </x:c>
      <x:c r="G43" s="90" t="n">
        <x:v>6.49</x:v>
      </x:c>
      <x:c r="H43" s="90" t="n">
        <x:v>6.52</x:v>
      </x:c>
      <x:c r="I43" s="90" t="n">
        <x:v>6.33</x:v>
      </x:c>
    </x:row>
    <x:row r="44">
      <x:c r="A44" s="72" t="n">
        <x:v>46240.938113425924</x:v>
      </x:c>
      <x:c r="B44" s="90" t="n">
        <x:v>6.37</x:v>
      </x:c>
      <x:c r="C44" s="90" t="n">
        <x:v>6.41</x:v>
      </x:c>
      <x:c r="D44" s="90" t="n">
        <x:v>6.38</x:v>
      </x:c>
      <x:c r="E44" s="90" t="n">
        <x:v>6.42</x:v>
      </x:c>
      <x:c r="F44" s="90" t="n">
        <x:v>6.43</x:v>
      </x:c>
      <x:c r="G44" s="90" t="n">
        <x:v>6.48</x:v>
      </x:c>
      <x:c r="H44" s="90" t="n">
        <x:v>6.52</x:v>
      </x:c>
      <x:c r="I44" s="90" t="n">
        <x:v>6.32</x:v>
      </x:c>
    </x:row>
    <x:row r="45">
      <x:c r="A45" s="72" t="n">
        <x:v>46240.94158564815</x:v>
      </x:c>
      <x:c r="B45" s="90" t="n">
        <x:v>6.37</x:v>
      </x:c>
      <x:c r="C45" s="90" t="n">
        <x:v>6.42</x:v>
      </x:c>
      <x:c r="D45" s="90" t="n">
        <x:v>6.38</x:v>
      </x:c>
      <x:c r="E45" s="90" t="n">
        <x:v>6.43</x:v>
      </x:c>
      <x:c r="F45" s="90" t="n">
        <x:v>6.42</x:v>
      </x:c>
      <x:c r="G45" s="90" t="n">
        <x:v>6.48</x:v>
      </x:c>
      <x:c r="H45" s="90" t="n">
        <x:v>6.51</x:v>
      </x:c>
      <x:c r="I45" s="90" t="n">
        <x:v>6.32</x:v>
      </x:c>
    </x:row>
    <x:row r="46">
      <x:c r="A46" s="72" t="n">
        <x:v>46240.94505787037</x:v>
      </x:c>
      <x:c r="B46" s="90" t="n">
        <x:v>6.38</x:v>
      </x:c>
      <x:c r="C46" s="90" t="n">
        <x:v>6.42</x:v>
      </x:c>
      <x:c r="D46" s="90" t="n">
        <x:v>6.39</x:v>
      </x:c>
      <x:c r="E46" s="90" t="n">
        <x:v>6.43</x:v>
      </x:c>
      <x:c r="F46" s="90" t="n">
        <x:v>6.42</x:v>
      </x:c>
      <x:c r="G46" s="90" t="n">
        <x:v>6.47</x:v>
      </x:c>
      <x:c r="H46" s="90" t="n">
        <x:v>6.51</x:v>
      </x:c>
      <x:c r="I46" s="90" t="n">
        <x:v>6.31</x:v>
      </x:c>
    </x:row>
    <x:row r="47">
      <x:c r="A47" s="72" t="n">
        <x:v>46240.948530092595</x:v>
      </x:c>
      <x:c r="B47" s="90" t="n">
        <x:v>6.38</x:v>
      </x:c>
      <x:c r="C47" s="90" t="n">
        <x:v>6.43</x:v>
      </x:c>
      <x:c r="D47" s="90" t="n">
        <x:v>6.4</x:v>
      </x:c>
      <x:c r="E47" s="90" t="n">
        <x:v>6.44</x:v>
      </x:c>
      <x:c r="F47" s="90" t="n">
        <x:v>6.42</x:v>
      </x:c>
      <x:c r="G47" s="90" t="n">
        <x:v>6.47</x:v>
      </x:c>
      <x:c r="H47" s="90" t="n">
        <x:v>6.5</x:v>
      </x:c>
      <x:c r="I47" s="90" t="n">
        <x:v>6.31</x:v>
      </x:c>
    </x:row>
    <x:row r="48">
      <x:c r="A48" s="72" t="n">
        <x:v>46240.952002314814</x:v>
      </x:c>
      <x:c r="B48" s="90" t="n">
        <x:v>6.38</x:v>
      </x:c>
      <x:c r="C48" s="90" t="n">
        <x:v>6.43</x:v>
      </x:c>
      <x:c r="D48" s="90" t="n">
        <x:v>6.4</x:v>
      </x:c>
      <x:c r="E48" s="90" t="n">
        <x:v>6.45</x:v>
      </x:c>
      <x:c r="F48" s="90" t="n">
        <x:v>6.42</x:v>
      </x:c>
      <x:c r="G48" s="90" t="n">
        <x:v>6.47</x:v>
      </x:c>
      <x:c r="H48" s="90" t="n">
        <x:v>6.49</x:v>
      </x:c>
      <x:c r="I48" s="90" t="n">
        <x:v>6.3</x:v>
      </x:c>
    </x:row>
    <x:row r="49">
      <x:c r="A49" s="72" t="n">
        <x:v>46240.95547453704</x:v>
      </x:c>
      <x:c r="B49" s="90" t="n">
        <x:v>6.38</x:v>
      </x:c>
      <x:c r="C49" s="90" t="n">
        <x:v>6.43</x:v>
      </x:c>
      <x:c r="D49" s="90" t="n">
        <x:v>6.41</x:v>
      </x:c>
      <x:c r="E49" s="90" t="n">
        <x:v>6.45</x:v>
      </x:c>
      <x:c r="F49" s="90" t="n">
        <x:v>6.42</x:v>
      </x:c>
      <x:c r="G49" s="90" t="n">
        <x:v>6.47</x:v>
      </x:c>
      <x:c r="H49" s="90" t="n">
        <x:v>6.48</x:v>
      </x:c>
      <x:c r="I49" s="90" t="n">
        <x:v>6.29</x:v>
      </x:c>
    </x:row>
    <x:row r="50">
      <x:c r="A50" s="72" t="n">
        <x:v>46240.95894675926</x:v>
      </x:c>
      <x:c r="B50" s="90" t="n">
        <x:v>6.38</x:v>
      </x:c>
      <x:c r="C50" s="90" t="n">
        <x:v>6.43</x:v>
      </x:c>
      <x:c r="D50" s="90" t="n">
        <x:v>6.42</x:v>
      </x:c>
      <x:c r="E50" s="90" t="n">
        <x:v>6.46</x:v>
      </x:c>
      <x:c r="F50" s="90" t="n">
        <x:v>6.43</x:v>
      </x:c>
      <x:c r="G50" s="90" t="n">
        <x:v>6.47</x:v>
      </x:c>
      <x:c r="H50" s="90" t="n">
        <x:v>6.48</x:v>
      </x:c>
      <x:c r="I50" s="90" t="n">
        <x:v>6.28</x:v>
      </x:c>
    </x:row>
    <x:row r="51">
      <x:c r="A51" s="72" t="n">
        <x:v>46240.96241898148</x:v>
      </x:c>
      <x:c r="B51" s="90" t="n">
        <x:v>6.37</x:v>
      </x:c>
      <x:c r="C51" s="90" t="n">
        <x:v>6.43</x:v>
      </x:c>
      <x:c r="D51" s="90" t="n">
        <x:v>6.42</x:v>
      </x:c>
      <x:c r="E51" s="90" t="n">
        <x:v>6.47</x:v>
      </x:c>
      <x:c r="F51" s="90" t="n">
        <x:v>6.43</x:v>
      </x:c>
      <x:c r="G51" s="90" t="n">
        <x:v>6.48</x:v>
      </x:c>
      <x:c r="H51" s="90" t="n">
        <x:v>6.47</x:v>
      </x:c>
      <x:c r="I51" s="90" t="n">
        <x:v>6.28</x:v>
      </x:c>
    </x:row>
    <x:row r="52">
      <x:c r="A52" s="72" t="n">
        <x:v>46240.965891203705</x:v>
      </x:c>
      <x:c r="B52" s="90" t="n">
        <x:v>6.36</x:v>
      </x:c>
      <x:c r="C52" s="90" t="n">
        <x:v>6.42</x:v>
      </x:c>
      <x:c r="D52" s="90" t="n">
        <x:v>6.43</x:v>
      </x:c>
      <x:c r="E52" s="90" t="n">
        <x:v>6.47</x:v>
      </x:c>
      <x:c r="F52" s="90" t="n">
        <x:v>6.44</x:v>
      </x:c>
      <x:c r="G52" s="90" t="n">
        <x:v>6.48</x:v>
      </x:c>
      <x:c r="H52" s="90" t="n">
        <x:v>6.47</x:v>
      </x:c>
      <x:c r="I52" s="90" t="n">
        <x:v>6.27</x:v>
      </x:c>
    </x:row>
    <x:row r="53">
      <x:c r="A53" s="73" t="n">
        <x:v>46240.969363425924</x:v>
      </x:c>
      <x:c r="B53" s="91" t="n">
        <x:v>6.36</x:v>
      </x:c>
      <x:c r="C53" s="91" t="n">
        <x:v>6.41</x:v>
      </x:c>
      <x:c r="D53" s="91" t="n">
        <x:v>6.43</x:v>
      </x:c>
      <x:c r="E53" s="91" t="n">
        <x:v>6.48</x:v>
      </x:c>
      <x:c r="F53" s="91" t="n">
        <x:v>6.45</x:v>
      </x:c>
      <x:c r="G53" s="91" t="n">
        <x:v>6.49</x:v>
      </x:c>
      <x:c r="H53" s="91" t="n">
        <x:v>6.47</x:v>
      </x:c>
      <x:c r="I53" s="91" t="n">
        <x:v>6.27</x:v>
      </x:c>
    </x:row>
  </x:sheetData>
  <x:mergeCells>
    <x:mergeCell ref="A1:I1"/>
    <x:mergeCell ref="A2:I2"/>
  </x:mergeCells>
  <x:conditionalFormatting sqref="B5:I53">
    <x:cfRule type="expression" dxfId="4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fe2fc6fb236e4a3f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W1处理：土壤张力随时间变化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排列。单位：kPa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05" t="str">
        <x:v>采集时间</x:v>
      </x:c>
      <x:c r="B4" s="106" t="str">
        <x:v>B1-W1-V1（P03）</x:v>
      </x:c>
      <x:c r="C4" s="106" t="str">
        <x:v>B1-W1-V2（P04）</x:v>
      </x:c>
      <x:c r="D4" s="106" t="str">
        <x:v>B2-W1-V1（P09）</x:v>
      </x:c>
      <x:c r="E4" s="106" t="str">
        <x:v>B2-W1-V2（P10）</x:v>
      </x:c>
      <x:c r="F4" s="106" t="str">
        <x:v>B3-W1-V1（P15）</x:v>
      </x:c>
      <x:c r="G4" s="106" t="str">
        <x:v>B3-W1-V2（P16）</x:v>
      </x:c>
      <x:c r="H4" s="106" t="str">
        <x:v>B4-W1-V1（P21）</x:v>
      </x:c>
      <x:c r="I4" s="107" t="str">
        <x:v>B4-W1-V2（P22）</x:v>
      </x:c>
    </x:row>
    <x:row r="5">
      <x:c r="A5" s="72" t="n">
        <x:v>46240.80269675926</x:v>
      </x:c>
      <x:c r="B5" s="82" t="n">
        <x:v>-26.4</x:v>
      </x:c>
      <x:c r="C5" s="82" t="n">
        <x:v>-27.8</x:v>
      </x:c>
      <x:c r="D5" s="82" t="n">
        <x:v>-29</x:v>
      </x:c>
      <x:c r="E5" s="82" t="n">
        <x:v>-24.9</x:v>
      </x:c>
      <x:c r="F5" s="82" t="n">
        <x:v>-22.9</x:v>
      </x:c>
      <x:c r="G5" s="82" t="n">
        <x:v>-23.4</x:v>
      </x:c>
      <x:c r="H5" s="82" t="n">
        <x:v>-22</x:v>
      </x:c>
      <x:c r="I5" s="82" t="n">
        <x:v>-23</x:v>
      </x:c>
    </x:row>
    <x:row r="6">
      <x:c r="A6" s="72" t="n">
        <x:v>46240.80616898148</x:v>
      </x:c>
      <x:c r="B6" s="82" t="n">
        <x:v>-25.9</x:v>
      </x:c>
      <x:c r="C6" s="82" t="n">
        <x:v>-27.4</x:v>
      </x:c>
      <x:c r="D6" s="82" t="n">
        <x:v>-29</x:v>
      </x:c>
      <x:c r="E6" s="82" t="n">
        <x:v>-25</x:v>
      </x:c>
      <x:c r="F6" s="82" t="n">
        <x:v>-23.4</x:v>
      </x:c>
      <x:c r="G6" s="82" t="n">
        <x:v>-23.9</x:v>
      </x:c>
      <x:c r="H6" s="82" t="n">
        <x:v>-22.1</x:v>
      </x:c>
      <x:c r="I6" s="82" t="n">
        <x:v>-23</x:v>
      </x:c>
    </x:row>
    <x:row r="7">
      <x:c r="A7" s="72" t="n">
        <x:v>46240.809641203705</x:v>
      </x:c>
      <x:c r="B7" s="82" t="n">
        <x:v>-25.4</x:v>
      </x:c>
      <x:c r="C7" s="82" t="n">
        <x:v>-26.9</x:v>
      </x:c>
      <x:c r="D7" s="82" t="n">
        <x:v>-28.9</x:v>
      </x:c>
      <x:c r="E7" s="82" t="n">
        <x:v>-25</x:v>
      </x:c>
      <x:c r="F7" s="82" t="n">
        <x:v>-23.9</x:v>
      </x:c>
      <x:c r="G7" s="82" t="n">
        <x:v>-24.4</x:v>
      </x:c>
      <x:c r="H7" s="82" t="n">
        <x:v>-22.3</x:v>
      </x:c>
      <x:c r="I7" s="82" t="n">
        <x:v>-23.1</x:v>
      </x:c>
    </x:row>
    <x:row r="8">
      <x:c r="A8" s="72" t="n">
        <x:v>46240.813113425924</x:v>
      </x:c>
      <x:c r="B8" s="82" t="n">
        <x:v>-24.9</x:v>
      </x:c>
      <x:c r="C8" s="82" t="n">
        <x:v>-26.4</x:v>
      </x:c>
      <x:c r="D8" s="82" t="n">
        <x:v>-28.6</x:v>
      </x:c>
      <x:c r="E8" s="82" t="n">
        <x:v>-24.9</x:v>
      </x:c>
      <x:c r="F8" s="82" t="n">
        <x:v>-24.3</x:v>
      </x:c>
      <x:c r="G8" s="82" t="n">
        <x:v>-24.9</x:v>
      </x:c>
      <x:c r="H8" s="82" t="n">
        <x:v>-22.6</x:v>
      </x:c>
      <x:c r="I8" s="82" t="n">
        <x:v>-23.3</x:v>
      </x:c>
    </x:row>
    <x:row r="9">
      <x:c r="A9" s="72" t="n">
        <x:v>46240.81658564815</x:v>
      </x:c>
      <x:c r="B9" s="82" t="n">
        <x:v>-24.5</x:v>
      </x:c>
      <x:c r="C9" s="82" t="n">
        <x:v>-25.9</x:v>
      </x:c>
      <x:c r="D9" s="82" t="n">
        <x:v>-28.3</x:v>
      </x:c>
      <x:c r="E9" s="82" t="n">
        <x:v>-24.6</x:v>
      </x:c>
      <x:c r="F9" s="82" t="n">
        <x:v>-24.6</x:v>
      </x:c>
      <x:c r="G9" s="82" t="n">
        <x:v>-25.3</x:v>
      </x:c>
      <x:c r="H9" s="82" t="n">
        <x:v>-23</x:v>
      </x:c>
      <x:c r="I9" s="82" t="n">
        <x:v>-23.6</x:v>
      </x:c>
    </x:row>
    <x:row r="10">
      <x:c r="A10" s="72" t="n">
        <x:v>46240.82005787037</x:v>
      </x:c>
      <x:c r="B10" s="82" t="n">
        <x:v>-24.2</x:v>
      </x:c>
      <x:c r="C10" s="82" t="n">
        <x:v>-25.5</x:v>
      </x:c>
      <x:c r="D10" s="82" t="n">
        <x:v>-27.8</x:v>
      </x:c>
      <x:c r="E10" s="82" t="n">
        <x:v>-24.3</x:v>
      </x:c>
      <x:c r="F10" s="82" t="n">
        <x:v>-24.9</x:v>
      </x:c>
      <x:c r="G10" s="82" t="n">
        <x:v>-25.6</x:v>
      </x:c>
      <x:c r="H10" s="82" t="n">
        <x:v>-23.4</x:v>
      </x:c>
      <x:c r="I10" s="82" t="n">
        <x:v>-24</x:v>
      </x:c>
    </x:row>
    <x:row r="11">
      <x:c r="A11" s="72" t="n">
        <x:v>46240.823530092595</x:v>
      </x:c>
      <x:c r="B11" s="82" t="n">
        <x:v>-24.1</x:v>
      </x:c>
      <x:c r="C11" s="82" t="n">
        <x:v>-25.2</x:v>
      </x:c>
      <x:c r="D11" s="82" t="n">
        <x:v>-27.4</x:v>
      </x:c>
      <x:c r="E11" s="82" t="n">
        <x:v>-23.8</x:v>
      </x:c>
      <x:c r="F11" s="82" t="n">
        <x:v>-25</x:v>
      </x:c>
      <x:c r="G11" s="82" t="n">
        <x:v>-25.9</x:v>
      </x:c>
      <x:c r="H11" s="82" t="n">
        <x:v>-23.9</x:v>
      </x:c>
      <x:c r="I11" s="82" t="n">
        <x:v>-24.4</x:v>
      </x:c>
    </x:row>
    <x:row r="12">
      <x:c r="A12" s="72" t="n">
        <x:v>46240.827002314814</x:v>
      </x:c>
      <x:c r="B12" s="82" t="n">
        <x:v>-24</x:v>
      </x:c>
      <x:c r="C12" s="82" t="n">
        <x:v>-25.1</x:v>
      </x:c>
      <x:c r="D12" s="82" t="n">
        <x:v>-26.9</x:v>
      </x:c>
      <x:c r="E12" s="82" t="n">
        <x:v>-23.4</x:v>
      </x:c>
      <x:c r="F12" s="82" t="n">
        <x:v>-25</x:v>
      </x:c>
      <x:c r="G12" s="82" t="n">
        <x:v>-26</x:v>
      </x:c>
      <x:c r="H12" s="82" t="n">
        <x:v>-24.4</x:v>
      </x:c>
      <x:c r="I12" s="82" t="n">
        <x:v>-24.9</x:v>
      </x:c>
    </x:row>
    <x:row r="13">
      <x:c r="A13" s="72" t="n">
        <x:v>46240.83047453704</x:v>
      </x:c>
      <x:c r="B13" s="82" t="n">
        <x:v>-24.1</x:v>
      </x:c>
      <x:c r="C13" s="82" t="n">
        <x:v>-25</x:v>
      </x:c>
      <x:c r="D13" s="82" t="n">
        <x:v>-26.4</x:v>
      </x:c>
      <x:c r="E13" s="82" t="n">
        <x:v>-22.9</x:v>
      </x:c>
      <x:c r="F13" s="82" t="n">
        <x:v>-24.9</x:v>
      </x:c>
      <x:c r="G13" s="82" t="n">
        <x:v>-26</x:v>
      </x:c>
      <x:c r="H13" s="82" t="n">
        <x:v>-24.9</x:v>
      </x:c>
      <x:c r="I13" s="82" t="n">
        <x:v>-25.4</x:v>
      </x:c>
    </x:row>
    <x:row r="14">
      <x:c r="A14" s="72" t="n">
        <x:v>46240.83394675926</x:v>
      </x:c>
      <x:c r="B14" s="82" t="n">
        <x:v>-24.2</x:v>
      </x:c>
      <x:c r="C14" s="82" t="n">
        <x:v>-25.1</x:v>
      </x:c>
      <x:c r="D14" s="82" t="n">
        <x:v>-25.9</x:v>
      </x:c>
      <x:c r="E14" s="82" t="n">
        <x:v>-22.4</x:v>
      </x:c>
      <x:c r="F14" s="82" t="n">
        <x:v>-24.6</x:v>
      </x:c>
      <x:c r="G14" s="82" t="n">
        <x:v>-25.9</x:v>
      </x:c>
      <x:c r="H14" s="82" t="n">
        <x:v>-25.3</x:v>
      </x:c>
      <x:c r="I14" s="82" t="n">
        <x:v>-25.9</x:v>
      </x:c>
    </x:row>
    <x:row r="15">
      <x:c r="A15" s="72" t="n">
        <x:v>46240.83741898148</x:v>
      </x:c>
      <x:c r="B15" s="82" t="n">
        <x:v>-24.5</x:v>
      </x:c>
      <x:c r="C15" s="82" t="n">
        <x:v>-25.2</x:v>
      </x:c>
      <x:c r="D15" s="82" t="n">
        <x:v>-25.5</x:v>
      </x:c>
      <x:c r="E15" s="82" t="n">
        <x:v>-21.9</x:v>
      </x:c>
      <x:c r="F15" s="82" t="n">
        <x:v>-24.3</x:v>
      </x:c>
      <x:c r="G15" s="82" t="n">
        <x:v>-25.6</x:v>
      </x:c>
      <x:c r="H15" s="82" t="n">
        <x:v>-25.6</x:v>
      </x:c>
      <x:c r="I15" s="82" t="n">
        <x:v>-26.3</x:v>
      </x:c>
    </x:row>
    <x:row r="16">
      <x:c r="A16" s="72" t="n">
        <x:v>46240.840891203705</x:v>
      </x:c>
      <x:c r="B16" s="82" t="n">
        <x:v>-24.9</x:v>
      </x:c>
      <x:c r="C16" s="82" t="n">
        <x:v>-25.5</x:v>
      </x:c>
      <x:c r="D16" s="82" t="n">
        <x:v>-25.2</x:v>
      </x:c>
      <x:c r="E16" s="82" t="n">
        <x:v>-21.5</x:v>
      </x:c>
      <x:c r="F16" s="82" t="n">
        <x:v>-23.8</x:v>
      </x:c>
      <x:c r="G16" s="82" t="n">
        <x:v>-25.3</x:v>
      </x:c>
      <x:c r="H16" s="82" t="n">
        <x:v>-25.9</x:v>
      </x:c>
      <x:c r="I16" s="82" t="n">
        <x:v>-26.6</x:v>
      </x:c>
    </x:row>
    <x:row r="17">
      <x:c r="A17" s="72" t="n">
        <x:v>46240.844363425924</x:v>
      </x:c>
      <x:c r="B17" s="82" t="n">
        <x:v>-25.4</x:v>
      </x:c>
      <x:c r="C17" s="82" t="n">
        <x:v>-25.9</x:v>
      </x:c>
      <x:c r="D17" s="82" t="n">
        <x:v>-25.1</x:v>
      </x:c>
      <x:c r="E17" s="82" t="n">
        <x:v>-21.2</x:v>
      </x:c>
      <x:c r="F17" s="82" t="n">
        <x:v>-23.4</x:v>
      </x:c>
      <x:c r="G17" s="82" t="n">
        <x:v>-24.8</x:v>
      </x:c>
      <x:c r="H17" s="82" t="n">
        <x:v>-26</x:v>
      </x:c>
      <x:c r="I17" s="82" t="n">
        <x:v>-26.9</x:v>
      </x:c>
    </x:row>
    <x:row r="18">
      <x:c r="A18" s="72" t="n">
        <x:v>46240.84783564815</x:v>
      </x:c>
      <x:c r="B18" s="82" t="n">
        <x:v>-25.8</x:v>
      </x:c>
      <x:c r="C18" s="82" t="n">
        <x:v>-26.4</x:v>
      </x:c>
      <x:c r="D18" s="82" t="n">
        <x:v>-25</x:v>
      </x:c>
      <x:c r="E18" s="82" t="n">
        <x:v>-21.1</x:v>
      </x:c>
      <x:c r="F18" s="82" t="n">
        <x:v>-22.9</x:v>
      </x:c>
      <x:c r="G18" s="82" t="n">
        <x:v>-24.4</x:v>
      </x:c>
      <x:c r="H18" s="82" t="n">
        <x:v>-26</x:v>
      </x:c>
      <x:c r="I18" s="82" t="n">
        <x:v>-27</x:v>
      </x:c>
    </x:row>
    <x:row r="19">
      <x:c r="A19" s="72" t="n">
        <x:v>46240.85130787037</x:v>
      </x:c>
      <x:c r="B19" s="82" t="n">
        <x:v>-26.3</x:v>
      </x:c>
      <x:c r="C19" s="82" t="n">
        <x:v>-26.8</x:v>
      </x:c>
      <x:c r="D19" s="82" t="n">
        <x:v>-25.1</x:v>
      </x:c>
      <x:c r="E19" s="82" t="n">
        <x:v>-21</x:v>
      </x:c>
      <x:c r="F19" s="82" t="n">
        <x:v>-22.4</x:v>
      </x:c>
      <x:c r="G19" s="82" t="n">
        <x:v>-23.9</x:v>
      </x:c>
      <x:c r="H19" s="82" t="n">
        <x:v>-25.9</x:v>
      </x:c>
      <x:c r="I19" s="82" t="n">
        <x:v>-27</x:v>
      </x:c>
    </x:row>
    <x:row r="20">
      <x:c r="A20" s="72" t="n">
        <x:v>46240.854780092595</x:v>
      </x:c>
      <x:c r="B20" s="82" t="n">
        <x:v>-26.8</x:v>
      </x:c>
      <x:c r="C20" s="82" t="n">
        <x:v>-27.3</x:v>
      </x:c>
      <x:c r="D20" s="82" t="n">
        <x:v>-25.2</x:v>
      </x:c>
      <x:c r="E20" s="82" t="n">
        <x:v>-21.1</x:v>
      </x:c>
      <x:c r="F20" s="82" t="n">
        <x:v>-21.9</x:v>
      </x:c>
      <x:c r="G20" s="82" t="n">
        <x:v>-23.4</x:v>
      </x:c>
      <x:c r="H20" s="82" t="n">
        <x:v>-25.6</x:v>
      </x:c>
      <x:c r="I20" s="82" t="n">
        <x:v>-26.9</x:v>
      </x:c>
    </x:row>
    <x:row r="21">
      <x:c r="A21" s="72" t="n">
        <x:v>46240.858252314814</x:v>
      </x:c>
      <x:c r="B21" s="82" t="n">
        <x:v>-27.2</x:v>
      </x:c>
      <x:c r="C21" s="82" t="n">
        <x:v>-27.8</x:v>
      </x:c>
      <x:c r="D21" s="82" t="n">
        <x:v>-25.5</x:v>
      </x:c>
      <x:c r="E21" s="82" t="n">
        <x:v>-21.2</x:v>
      </x:c>
      <x:c r="F21" s="82" t="n">
        <x:v>-21.5</x:v>
      </x:c>
      <x:c r="G21" s="82" t="n">
        <x:v>-22.9</x:v>
      </x:c>
      <x:c r="H21" s="82" t="n">
        <x:v>-25.3</x:v>
      </x:c>
      <x:c r="I21" s="82" t="n">
        <x:v>-26.6</x:v>
      </x:c>
    </x:row>
    <x:row r="22">
      <x:c r="A22" s="72" t="n">
        <x:v>46240.86172453704</x:v>
      </x:c>
      <x:c r="B22" s="82" t="n">
        <x:v>-27.6</x:v>
      </x:c>
      <x:c r="C22" s="82" t="n">
        <x:v>-28.2</x:v>
      </x:c>
      <x:c r="D22" s="82" t="n">
        <x:v>-25.9</x:v>
      </x:c>
      <x:c r="E22" s="82" t="n">
        <x:v>-21.5</x:v>
      </x:c>
      <x:c r="F22" s="82" t="n">
        <x:v>-21.2</x:v>
      </x:c>
      <x:c r="G22" s="82" t="n">
        <x:v>-22.5</x:v>
      </x:c>
      <x:c r="H22" s="82" t="n">
        <x:v>-24.8</x:v>
      </x:c>
      <x:c r="I22" s="82" t="n">
        <x:v>-26.3</x:v>
      </x:c>
    </x:row>
    <x:row r="23">
      <x:c r="A23" s="72" t="n">
        <x:v>46240.86519675926</x:v>
      </x:c>
      <x:c r="B23" s="82" t="n">
        <x:v>-27.8</x:v>
      </x:c>
      <x:c r="C23" s="82" t="n">
        <x:v>-28.6</x:v>
      </x:c>
      <x:c r="D23" s="82" t="n">
        <x:v>-26.4</x:v>
      </x:c>
      <x:c r="E23" s="82" t="n">
        <x:v>-21.9</x:v>
      </x:c>
      <x:c r="F23" s="82" t="n">
        <x:v>-21.1</x:v>
      </x:c>
      <x:c r="G23" s="82" t="n">
        <x:v>-22.2</x:v>
      </x:c>
      <x:c r="H23" s="82" t="n">
        <x:v>-24.4</x:v>
      </x:c>
      <x:c r="I23" s="82" t="n">
        <x:v>-25.8</x:v>
      </x:c>
    </x:row>
    <x:row r="24">
      <x:c r="A24" s="72" t="n">
        <x:v>46240.86866898148</x:v>
      </x:c>
      <x:c r="B24" s="82" t="n">
        <x:v>-28</x:v>
      </x:c>
      <x:c r="C24" s="82" t="n">
        <x:v>-28.8</x:v>
      </x:c>
      <x:c r="D24" s="82" t="n">
        <x:v>-26.8</x:v>
      </x:c>
      <x:c r="E24" s="82" t="n">
        <x:v>-22.4</x:v>
      </x:c>
      <x:c r="F24" s="82" t="n">
        <x:v>-21</x:v>
      </x:c>
      <x:c r="G24" s="82" t="n">
        <x:v>-22.1</x:v>
      </x:c>
      <x:c r="H24" s="82" t="n">
        <x:v>-23.9</x:v>
      </x:c>
      <x:c r="I24" s="82" t="n">
        <x:v>-25.4</x:v>
      </x:c>
    </x:row>
    <x:row r="25">
      <x:c r="A25" s="72" t="n">
        <x:v>46240.872141203705</x:v>
      </x:c>
      <x:c r="B25" s="82" t="n">
        <x:v>-28</x:v>
      </x:c>
      <x:c r="C25" s="82" t="n">
        <x:v>-29</x:v>
      </x:c>
      <x:c r="D25" s="82" t="n">
        <x:v>-27.3</x:v>
      </x:c>
      <x:c r="E25" s="82" t="n">
        <x:v>-22.8</x:v>
      </x:c>
      <x:c r="F25" s="82" t="n">
        <x:v>-21.1</x:v>
      </x:c>
      <x:c r="G25" s="82" t="n">
        <x:v>-22</x:v>
      </x:c>
      <x:c r="H25" s="82" t="n">
        <x:v>-23.4</x:v>
      </x:c>
      <x:c r="I25" s="82" t="n">
        <x:v>-24.9</x:v>
      </x:c>
    </x:row>
    <x:row r="26">
      <x:c r="A26" s="72" t="n">
        <x:v>46240.875613425924</x:v>
      </x:c>
      <x:c r="B26" s="82" t="n">
        <x:v>-27.9</x:v>
      </x:c>
      <x:c r="C26" s="82" t="n">
        <x:v>-29</x:v>
      </x:c>
      <x:c r="D26" s="82" t="n">
        <x:v>-27.8</x:v>
      </x:c>
      <x:c r="E26" s="82" t="n">
        <x:v>-23.3</x:v>
      </x:c>
      <x:c r="F26" s="82" t="n">
        <x:v>-21.2</x:v>
      </x:c>
      <x:c r="G26" s="82" t="n">
        <x:v>-22.1</x:v>
      </x:c>
      <x:c r="H26" s="82" t="n">
        <x:v>-22.9</x:v>
      </x:c>
      <x:c r="I26" s="82" t="n">
        <x:v>-24.4</x:v>
      </x:c>
    </x:row>
    <x:row r="27">
      <x:c r="A27" s="72" t="n">
        <x:v>46240.87908564815</x:v>
      </x:c>
      <x:c r="B27" s="82" t="n">
        <x:v>-27.6</x:v>
      </x:c>
      <x:c r="C27" s="82" t="n">
        <x:v>-28.9</x:v>
      </x:c>
      <x:c r="D27" s="82" t="n">
        <x:v>-28.2</x:v>
      </x:c>
      <x:c r="E27" s="82" t="n">
        <x:v>-23.8</x:v>
      </x:c>
      <x:c r="F27" s="82" t="n">
        <x:v>-21.5</x:v>
      </x:c>
      <x:c r="G27" s="82" t="n">
        <x:v>-22.2</x:v>
      </x:c>
      <x:c r="H27" s="82" t="n">
        <x:v>-22.5</x:v>
      </x:c>
      <x:c r="I27" s="82" t="n">
        <x:v>-23.9</x:v>
      </x:c>
    </x:row>
    <x:row r="28">
      <x:c r="A28" s="72" t="n">
        <x:v>46240.88255787037</x:v>
      </x:c>
      <x:c r="B28" s="82" t="n">
        <x:v>-27.3</x:v>
      </x:c>
      <x:c r="C28" s="82" t="n">
        <x:v>-28.6</x:v>
      </x:c>
      <x:c r="D28" s="82" t="n">
        <x:v>-28.6</x:v>
      </x:c>
      <x:c r="E28" s="82" t="n">
        <x:v>-24.2</x:v>
      </x:c>
      <x:c r="F28" s="82" t="n">
        <x:v>-21.9</x:v>
      </x:c>
      <x:c r="G28" s="82" t="n">
        <x:v>-22.5</x:v>
      </x:c>
      <x:c r="H28" s="82" t="n">
        <x:v>-22.2</x:v>
      </x:c>
      <x:c r="I28" s="82" t="n">
        <x:v>-23.5</x:v>
      </x:c>
    </x:row>
    <x:row r="29">
      <x:c r="A29" s="72" t="n">
        <x:v>46240.886030092595</x:v>
      </x:c>
      <x:c r="B29" s="82" t="n">
        <x:v>-26.9</x:v>
      </x:c>
      <x:c r="C29" s="82" t="n">
        <x:v>-28.3</x:v>
      </x:c>
      <x:c r="D29" s="82" t="n">
        <x:v>-28.8</x:v>
      </x:c>
      <x:c r="E29" s="82" t="n">
        <x:v>-24.6</x:v>
      </x:c>
      <x:c r="F29" s="82" t="n">
        <x:v>-22.4</x:v>
      </x:c>
      <x:c r="G29" s="82" t="n">
        <x:v>-22.9</x:v>
      </x:c>
      <x:c r="H29" s="82" t="n">
        <x:v>-22.1</x:v>
      </x:c>
      <x:c r="I29" s="82" t="n">
        <x:v>-23.2</x:v>
      </x:c>
    </x:row>
    <x:row r="30">
      <x:c r="A30" s="72" t="n">
        <x:v>46240.889502314814</x:v>
      </x:c>
      <x:c r="B30" s="82" t="n">
        <x:v>-26.4</x:v>
      </x:c>
      <x:c r="C30" s="82" t="n">
        <x:v>-27.9</x:v>
      </x:c>
      <x:c r="D30" s="82" t="n">
        <x:v>-29</x:v>
      </x:c>
      <x:c r="E30" s="82" t="n">
        <x:v>-24.8</x:v>
      </x:c>
      <x:c r="F30" s="82" t="n">
        <x:v>-22.8</x:v>
      </x:c>
      <x:c r="G30" s="82" t="n">
        <x:v>-23.4</x:v>
      </x:c>
      <x:c r="H30" s="82" t="n">
        <x:v>-22</x:v>
      </x:c>
      <x:c r="I30" s="82" t="n">
        <x:v>-23.1</x:v>
      </x:c>
    </x:row>
    <x:row r="31">
      <x:c r="A31" s="72" t="n">
        <x:v>46240.89297453704</x:v>
      </x:c>
      <x:c r="B31" s="82" t="n">
        <x:v>-25.9</x:v>
      </x:c>
      <x:c r="C31" s="82" t="n">
        <x:v>-27.4</x:v>
      </x:c>
      <x:c r="D31" s="82" t="n">
        <x:v>-29</x:v>
      </x:c>
      <x:c r="E31" s="82" t="n">
        <x:v>-25</x:v>
      </x:c>
      <x:c r="F31" s="82" t="n">
        <x:v>-23.3</x:v>
      </x:c>
      <x:c r="G31" s="82" t="n">
        <x:v>-23.8</x:v>
      </x:c>
      <x:c r="H31" s="82" t="n">
        <x:v>-22.1</x:v>
      </x:c>
      <x:c r="I31" s="82" t="n">
        <x:v>-23</x:v>
      </x:c>
    </x:row>
    <x:row r="32">
      <x:c r="A32" s="72" t="n">
        <x:v>46240.89644675926</x:v>
      </x:c>
      <x:c r="B32" s="82" t="n">
        <x:v>-25.4</x:v>
      </x:c>
      <x:c r="C32" s="82" t="n">
        <x:v>-26.9</x:v>
      </x:c>
      <x:c r="D32" s="82" t="n">
        <x:v>-28.9</x:v>
      </x:c>
      <x:c r="E32" s="82" t="n">
        <x:v>-25</x:v>
      </x:c>
      <x:c r="F32" s="82" t="n">
        <x:v>-23.8</x:v>
      </x:c>
      <x:c r="G32" s="82" t="n">
        <x:v>-24.3</x:v>
      </x:c>
      <x:c r="H32" s="82" t="n">
        <x:v>-22.2</x:v>
      </x:c>
      <x:c r="I32" s="82" t="n">
        <x:v>-23.1</x:v>
      </x:c>
    </x:row>
    <x:row r="33">
      <x:c r="A33" s="72" t="n">
        <x:v>46240.89991898148</x:v>
      </x:c>
      <x:c r="B33" s="82" t="n">
        <x:v>-25</x:v>
      </x:c>
      <x:c r="C33" s="82" t="n">
        <x:v>-26.4</x:v>
      </x:c>
      <x:c r="D33" s="82" t="n">
        <x:v>-28.6</x:v>
      </x:c>
      <x:c r="E33" s="82" t="n">
        <x:v>-24.9</x:v>
      </x:c>
      <x:c r="F33" s="82" t="n">
        <x:v>-24.2</x:v>
      </x:c>
      <x:c r="G33" s="82" t="n">
        <x:v>-24.8</x:v>
      </x:c>
      <x:c r="H33" s="82" t="n">
        <x:v>-22.5</x:v>
      </x:c>
      <x:c r="I33" s="82" t="n">
        <x:v>-23.2</x:v>
      </x:c>
    </x:row>
    <x:row r="34">
      <x:c r="A34" s="72" t="n">
        <x:v>46240.903391203705</x:v>
      </x:c>
      <x:c r="B34" s="82" t="n">
        <x:v>-24.6</x:v>
      </x:c>
      <x:c r="C34" s="82" t="n">
        <x:v>-26</x:v>
      </x:c>
      <x:c r="D34" s="82" t="n">
        <x:v>-28.3</x:v>
      </x:c>
      <x:c r="E34" s="82" t="n">
        <x:v>-24.6</x:v>
      </x:c>
      <x:c r="F34" s="82" t="n">
        <x:v>-24.6</x:v>
      </x:c>
      <x:c r="G34" s="82" t="n">
        <x:v>-25.2</x:v>
      </x:c>
      <x:c r="H34" s="82" t="n">
        <x:v>-22.9</x:v>
      </x:c>
      <x:c r="I34" s="82" t="n">
        <x:v>-23.5</x:v>
      </x:c>
    </x:row>
    <x:row r="35">
      <x:c r="A35" s="72" t="n">
        <x:v>46240.906863425924</x:v>
      </x:c>
      <x:c r="B35" s="82" t="n">
        <x:v>-24.3</x:v>
      </x:c>
      <x:c r="C35" s="82" t="n">
        <x:v>-25.6</x:v>
      </x:c>
      <x:c r="D35" s="82" t="n">
        <x:v>-27.9</x:v>
      </x:c>
      <x:c r="E35" s="82" t="n">
        <x:v>-24.3</x:v>
      </x:c>
      <x:c r="F35" s="82" t="n">
        <x:v>-24.8</x:v>
      </x:c>
      <x:c r="G35" s="82" t="n">
        <x:v>-25.6</x:v>
      </x:c>
      <x:c r="H35" s="82" t="n">
        <x:v>-23.4</x:v>
      </x:c>
      <x:c r="I35" s="82" t="n">
        <x:v>-23.9</x:v>
      </x:c>
    </x:row>
    <x:row r="36">
      <x:c r="A36" s="72" t="n">
        <x:v>46240.91033564815</x:v>
      </x:c>
      <x:c r="B36" s="82" t="n">
        <x:v>-24.1</x:v>
      </x:c>
      <x:c r="C36" s="82" t="n">
        <x:v>-25.3</x:v>
      </x:c>
      <x:c r="D36" s="82" t="n">
        <x:v>-27.4</x:v>
      </x:c>
      <x:c r="E36" s="82" t="n">
        <x:v>-23.9</x:v>
      </x:c>
      <x:c r="F36" s="82" t="n">
        <x:v>-25</x:v>
      </x:c>
      <x:c r="G36" s="82" t="n">
        <x:v>-25.8</x:v>
      </x:c>
      <x:c r="H36" s="82" t="n">
        <x:v>-23.8</x:v>
      </x:c>
      <x:c r="I36" s="82" t="n">
        <x:v>-24.4</x:v>
      </x:c>
    </x:row>
    <x:row r="37">
      <x:c r="A37" s="72" t="n">
        <x:v>46240.91380787037</x:v>
      </x:c>
      <x:c r="B37" s="82" t="n">
        <x:v>-24</x:v>
      </x:c>
      <x:c r="C37" s="82" t="n">
        <x:v>-25.1</x:v>
      </x:c>
      <x:c r="D37" s="82" t="n">
        <x:v>-26.9</x:v>
      </x:c>
      <x:c r="E37" s="82" t="n">
        <x:v>-23.4</x:v>
      </x:c>
      <x:c r="F37" s="82" t="n">
        <x:v>-25</x:v>
      </x:c>
      <x:c r="G37" s="82" t="n">
        <x:v>-26</x:v>
      </x:c>
      <x:c r="H37" s="82" t="n">
        <x:v>-24.3</x:v>
      </x:c>
      <x:c r="I37" s="82" t="n">
        <x:v>-24.8</x:v>
      </x:c>
    </x:row>
    <x:row r="38">
      <x:c r="A38" s="72" t="n">
        <x:v>46240.917280092595</x:v>
      </x:c>
      <x:c r="B38" s="82" t="n">
        <x:v>-24</x:v>
      </x:c>
      <x:c r="C38" s="82" t="n">
        <x:v>-25</x:v>
      </x:c>
      <x:c r="D38" s="82" t="n">
        <x:v>-26.4</x:v>
      </x:c>
      <x:c r="E38" s="82" t="n">
        <x:v>-22.9</x:v>
      </x:c>
      <x:c r="F38" s="82" t="n">
        <x:v>-24.9</x:v>
      </x:c>
      <x:c r="G38" s="82" t="n">
        <x:v>-26</x:v>
      </x:c>
      <x:c r="H38" s="82" t="n">
        <x:v>-24.8</x:v>
      </x:c>
      <x:c r="I38" s="82" t="n">
        <x:v>-25.3</x:v>
      </x:c>
    </x:row>
    <x:row r="39">
      <x:c r="A39" s="72" t="n">
        <x:v>46240.920752314814</x:v>
      </x:c>
      <x:c r="B39" s="82" t="n">
        <x:v>-24.2</x:v>
      </x:c>
      <x:c r="C39" s="82" t="n">
        <x:v>-25</x:v>
      </x:c>
      <x:c r="D39" s="82" t="n">
        <x:v>-26</x:v>
      </x:c>
      <x:c r="E39" s="82" t="n">
        <x:v>-22.4</x:v>
      </x:c>
      <x:c r="F39" s="82" t="n">
        <x:v>-24.6</x:v>
      </x:c>
      <x:c r="G39" s="82" t="n">
        <x:v>-25.9</x:v>
      </x:c>
      <x:c r="H39" s="82" t="n">
        <x:v>-25.2</x:v>
      </x:c>
      <x:c r="I39" s="82" t="n">
        <x:v>-25.8</x:v>
      </x:c>
    </x:row>
    <x:row r="40">
      <x:c r="A40" s="72" t="n">
        <x:v>46240.92422453704</x:v>
      </x:c>
      <x:c r="B40" s="82" t="n">
        <x:v>-24.5</x:v>
      </x:c>
      <x:c r="C40" s="82" t="n">
        <x:v>-25.2</x:v>
      </x:c>
      <x:c r="D40" s="82" t="n">
        <x:v>-25.6</x:v>
      </x:c>
      <x:c r="E40" s="82" t="n">
        <x:v>-22</x:v>
      </x:c>
      <x:c r="F40" s="82" t="n">
        <x:v>-24.3</x:v>
      </x:c>
      <x:c r="G40" s="82" t="n">
        <x:v>-25.6</x:v>
      </x:c>
      <x:c r="H40" s="82" t="n">
        <x:v>-25.6</x:v>
      </x:c>
      <x:c r="I40" s="82" t="n">
        <x:v>-26.2</x:v>
      </x:c>
    </x:row>
    <x:row r="41">
      <x:c r="A41" s="72" t="n">
        <x:v>46240.92769675926</x:v>
      </x:c>
      <x:c r="B41" s="82" t="n">
        <x:v>-24.9</x:v>
      </x:c>
      <x:c r="C41" s="82" t="n">
        <x:v>-25.5</x:v>
      </x:c>
      <x:c r="D41" s="82" t="n">
        <x:v>-25.3</x:v>
      </x:c>
      <x:c r="E41" s="82" t="n">
        <x:v>-21.6</x:v>
      </x:c>
      <x:c r="F41" s="82" t="n">
        <x:v>-23.9</x:v>
      </x:c>
      <x:c r="G41" s="82" t="n">
        <x:v>-25.3</x:v>
      </x:c>
      <x:c r="H41" s="82" t="n">
        <x:v>-25.8</x:v>
      </x:c>
      <x:c r="I41" s="82" t="n">
        <x:v>-26.6</x:v>
      </x:c>
    </x:row>
    <x:row r="42">
      <x:c r="A42" s="72" t="n">
        <x:v>46240.93116898148</x:v>
      </x:c>
      <x:c r="B42" s="82" t="n">
        <x:v>-25.3</x:v>
      </x:c>
      <x:c r="C42" s="82" t="n">
        <x:v>-25.9</x:v>
      </x:c>
      <x:c r="D42" s="82" t="n">
        <x:v>-25.1</x:v>
      </x:c>
      <x:c r="E42" s="82" t="n">
        <x:v>-21.3</x:v>
      </x:c>
      <x:c r="F42" s="82" t="n">
        <x:v>-23.4</x:v>
      </x:c>
      <x:c r="G42" s="82" t="n">
        <x:v>-24.9</x:v>
      </x:c>
      <x:c r="H42" s="82" t="n">
        <x:v>-26</x:v>
      </x:c>
      <x:c r="I42" s="82" t="n">
        <x:v>-26.8</x:v>
      </x:c>
    </x:row>
    <x:row r="43">
      <x:c r="A43" s="72" t="n">
        <x:v>46240.934641203705</x:v>
      </x:c>
      <x:c r="B43" s="82" t="n">
        <x:v>-25.8</x:v>
      </x:c>
      <x:c r="C43" s="82" t="n">
        <x:v>-26.3</x:v>
      </x:c>
      <x:c r="D43" s="82" t="n">
        <x:v>-25</x:v>
      </x:c>
      <x:c r="E43" s="82" t="n">
        <x:v>-21.1</x:v>
      </x:c>
      <x:c r="F43" s="82" t="n">
        <x:v>-22.9</x:v>
      </x:c>
      <x:c r="G43" s="82" t="n">
        <x:v>-24.4</x:v>
      </x:c>
      <x:c r="H43" s="82" t="n">
        <x:v>-26</x:v>
      </x:c>
      <x:c r="I43" s="82" t="n">
        <x:v>-27</x:v>
      </x:c>
    </x:row>
    <x:row r="44">
      <x:c r="A44" s="72" t="n">
        <x:v>46240.938113425924</x:v>
      </x:c>
      <x:c r="B44" s="82" t="n">
        <x:v>-26.3</x:v>
      </x:c>
      <x:c r="C44" s="82" t="n">
        <x:v>-26.8</x:v>
      </x:c>
      <x:c r="D44" s="82" t="n">
        <x:v>-25</x:v>
      </x:c>
      <x:c r="E44" s="82" t="n">
        <x:v>-21</x:v>
      </x:c>
      <x:c r="F44" s="82" t="n">
        <x:v>-22.4</x:v>
      </x:c>
      <x:c r="G44" s="82" t="n">
        <x:v>-23.9</x:v>
      </x:c>
      <x:c r="H44" s="82" t="n">
        <x:v>-25.9</x:v>
      </x:c>
      <x:c r="I44" s="82" t="n">
        <x:v>-27</x:v>
      </x:c>
    </x:row>
    <x:row r="45">
      <x:c r="A45" s="72" t="n">
        <x:v>46240.94158564815</x:v>
      </x:c>
      <x:c r="B45" s="82" t="n">
        <x:v>-26.8</x:v>
      </x:c>
      <x:c r="C45" s="82" t="n">
        <x:v>-27.3</x:v>
      </x:c>
      <x:c r="D45" s="82" t="n">
        <x:v>-25.2</x:v>
      </x:c>
      <x:c r="E45" s="82" t="n">
        <x:v>-21</x:v>
      </x:c>
      <x:c r="F45" s="82" t="n">
        <x:v>-22</x:v>
      </x:c>
      <x:c r="G45" s="82" t="n">
        <x:v>-23.4</x:v>
      </x:c>
      <x:c r="H45" s="82" t="n">
        <x:v>-25.6</x:v>
      </x:c>
      <x:c r="I45" s="82" t="n">
        <x:v>-26.9</x:v>
      </x:c>
    </x:row>
    <x:row r="46">
      <x:c r="A46" s="72" t="n">
        <x:v>46240.94505787037</x:v>
      </x:c>
      <x:c r="B46" s="82" t="n">
        <x:v>-27.2</x:v>
      </x:c>
      <x:c r="C46" s="82" t="n">
        <x:v>-27.8</x:v>
      </x:c>
      <x:c r="D46" s="82" t="n">
        <x:v>-25.5</x:v>
      </x:c>
      <x:c r="E46" s="82" t="n">
        <x:v>-21.2</x:v>
      </x:c>
      <x:c r="F46" s="82" t="n">
        <x:v>-21.6</x:v>
      </x:c>
      <x:c r="G46" s="82" t="n">
        <x:v>-23</x:v>
      </x:c>
      <x:c r="H46" s="82" t="n">
        <x:v>-25.3</x:v>
      </x:c>
      <x:c r="I46" s="82" t="n">
        <x:v>-26.6</x:v>
      </x:c>
    </x:row>
    <x:row r="47">
      <x:c r="A47" s="72" t="n">
        <x:v>46240.948530092595</x:v>
      </x:c>
      <x:c r="B47" s="82" t="n">
        <x:v>-27.6</x:v>
      </x:c>
      <x:c r="C47" s="82" t="n">
        <x:v>-28.2</x:v>
      </x:c>
      <x:c r="D47" s="82" t="n">
        <x:v>-25.9</x:v>
      </x:c>
      <x:c r="E47" s="82" t="n">
        <x:v>-21.5</x:v>
      </x:c>
      <x:c r="F47" s="82" t="n">
        <x:v>-21.3</x:v>
      </x:c>
      <x:c r="G47" s="82" t="n">
        <x:v>-22.6</x:v>
      </x:c>
      <x:c r="H47" s="82" t="n">
        <x:v>-24.9</x:v>
      </x:c>
      <x:c r="I47" s="82" t="n">
        <x:v>-26.3</x:v>
      </x:c>
    </x:row>
    <x:row r="48">
      <x:c r="A48" s="72" t="n">
        <x:v>46240.952002314814</x:v>
      </x:c>
      <x:c r="B48" s="82" t="n">
        <x:v>-27.8</x:v>
      </x:c>
      <x:c r="C48" s="82" t="n">
        <x:v>-28.6</x:v>
      </x:c>
      <x:c r="D48" s="82" t="n">
        <x:v>-26.3</x:v>
      </x:c>
      <x:c r="E48" s="82" t="n">
        <x:v>-21.9</x:v>
      </x:c>
      <x:c r="F48" s="82" t="n">
        <x:v>-21.1</x:v>
      </x:c>
      <x:c r="G48" s="82" t="n">
        <x:v>-22.3</x:v>
      </x:c>
      <x:c r="H48" s="82" t="n">
        <x:v>-24.4</x:v>
      </x:c>
      <x:c r="I48" s="82" t="n">
        <x:v>-25.9</x:v>
      </x:c>
    </x:row>
    <x:row r="49">
      <x:c r="A49" s="72" t="n">
        <x:v>46240.95547453704</x:v>
      </x:c>
      <x:c r="B49" s="82" t="n">
        <x:v>-28</x:v>
      </x:c>
      <x:c r="C49" s="82" t="n">
        <x:v>-28.8</x:v>
      </x:c>
      <x:c r="D49" s="82" t="n">
        <x:v>-26.8</x:v>
      </x:c>
      <x:c r="E49" s="82" t="n">
        <x:v>-22.3</x:v>
      </x:c>
      <x:c r="F49" s="82" t="n">
        <x:v>-21</x:v>
      </x:c>
      <x:c r="G49" s="82" t="n">
        <x:v>-22.1</x:v>
      </x:c>
      <x:c r="H49" s="82" t="n">
        <x:v>-23.9</x:v>
      </x:c>
      <x:c r="I49" s="82" t="n">
        <x:v>-25.4</x:v>
      </x:c>
    </x:row>
    <x:row r="50">
      <x:c r="A50" s="72" t="n">
        <x:v>46240.95894675926</x:v>
      </x:c>
      <x:c r="B50" s="82" t="n">
        <x:v>-28</x:v>
      </x:c>
      <x:c r="C50" s="82" t="n">
        <x:v>-29</x:v>
      </x:c>
      <x:c r="D50" s="82" t="n">
        <x:v>-27.3</x:v>
      </x:c>
      <x:c r="E50" s="82" t="n">
        <x:v>-22.8</x:v>
      </x:c>
      <x:c r="F50" s="82" t="n">
        <x:v>-21</x:v>
      </x:c>
      <x:c r="G50" s="82" t="n">
        <x:v>-22</x:v>
      </x:c>
      <x:c r="H50" s="82" t="n">
        <x:v>-23.4</x:v>
      </x:c>
      <x:c r="I50" s="82" t="n">
        <x:v>-24.9</x:v>
      </x:c>
    </x:row>
    <x:row r="51">
      <x:c r="A51" s="72" t="n">
        <x:v>46240.96241898148</x:v>
      </x:c>
      <x:c r="B51" s="82" t="n">
        <x:v>-27.9</x:v>
      </x:c>
      <x:c r="C51" s="82" t="n">
        <x:v>-29</x:v>
      </x:c>
      <x:c r="D51" s="82" t="n">
        <x:v>-27.8</x:v>
      </x:c>
      <x:c r="E51" s="82" t="n">
        <x:v>-23.3</x:v>
      </x:c>
      <x:c r="F51" s="82" t="n">
        <x:v>-21.2</x:v>
      </x:c>
      <x:c r="G51" s="82" t="n">
        <x:v>-22</x:v>
      </x:c>
      <x:c r="H51" s="82" t="n">
        <x:v>-23</x:v>
      </x:c>
      <x:c r="I51" s="82" t="n">
        <x:v>-24.4</x:v>
      </x:c>
    </x:row>
    <x:row r="52">
      <x:c r="A52" s="72" t="n">
        <x:v>46240.965891203705</x:v>
      </x:c>
      <x:c r="B52" s="82" t="n">
        <x:v>-27.7</x:v>
      </x:c>
      <x:c r="C52" s="82" t="n">
        <x:v>-28.9</x:v>
      </x:c>
      <x:c r="D52" s="82" t="n">
        <x:v>-28.2</x:v>
      </x:c>
      <x:c r="E52" s="82" t="n">
        <x:v>-23.8</x:v>
      </x:c>
      <x:c r="F52" s="82" t="n">
        <x:v>-21.5</x:v>
      </x:c>
      <x:c r="G52" s="82" t="n">
        <x:v>-22.2</x:v>
      </x:c>
      <x:c r="H52" s="82" t="n">
        <x:v>-22.6</x:v>
      </x:c>
      <x:c r="I52" s="82" t="n">
        <x:v>-24</x:v>
      </x:c>
    </x:row>
    <x:row r="53">
      <x:c r="A53" s="73" t="n">
        <x:v>46240.969363425924</x:v>
      </x:c>
      <x:c r="B53" s="83" t="n">
        <x:v>-27.4</x:v>
      </x:c>
      <x:c r="C53" s="83" t="n">
        <x:v>-28.7</x:v>
      </x:c>
      <x:c r="D53" s="83" t="n">
        <x:v>-28.6</x:v>
      </x:c>
      <x:c r="E53" s="83" t="n">
        <x:v>-24.2</x:v>
      </x:c>
      <x:c r="F53" s="83" t="n">
        <x:v>-21.9</x:v>
      </x:c>
      <x:c r="G53" s="83" t="n">
        <x:v>-22.5</x:v>
      </x:c>
      <x:c r="H53" s="83" t="n">
        <x:v>-22.3</x:v>
      </x:c>
      <x:c r="I53" s="83" t="n">
        <x:v>-23.6</x:v>
      </x:c>
    </x:row>
  </x:sheetData>
  <x:mergeCells>
    <x:mergeCell ref="A1:I1"/>
    <x:mergeCell ref="A2:I2"/>
  </x:mergeCells>
  <x:conditionalFormatting sqref="B5:I53">
    <x:cfRule type="expression" dxfId="5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33c5c9cb88754e40"/>
</x:worksheet>
</file>

<file path=xl/worksheets/sheet10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W1处理：土壤含水率随时间变化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排列。单位：%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05" t="str">
        <x:v>采集时间</x:v>
      </x:c>
      <x:c r="B4" s="106" t="str">
        <x:v>B1-W1-V1（P03）</x:v>
      </x:c>
      <x:c r="C4" s="106" t="str">
        <x:v>B1-W1-V2（P04）</x:v>
      </x:c>
      <x:c r="D4" s="106" t="str">
        <x:v>B2-W1-V1（P09）</x:v>
      </x:c>
      <x:c r="E4" s="106" t="str">
        <x:v>B2-W1-V2（P10）</x:v>
      </x:c>
      <x:c r="F4" s="106" t="str">
        <x:v>B3-W1-V1（P15）</x:v>
      </x:c>
      <x:c r="G4" s="106" t="str">
        <x:v>B3-W1-V2（P16）</x:v>
      </x:c>
      <x:c r="H4" s="106" t="str">
        <x:v>B4-W1-V1（P21）</x:v>
      </x:c>
      <x:c r="I4" s="107" t="str">
        <x:v>B4-W1-V2（P22）</x:v>
      </x:c>
    </x:row>
    <x:row r="5">
      <x:c r="A5" s="72" t="n">
        <x:v>46240.80269675926</x:v>
      </x:c>
      <x:c r="B5" s="82" t="n">
        <x:v>37.4</x:v>
      </x:c>
      <x:c r="C5" s="82" t="n">
        <x:v>38.8</x:v>
      </x:c>
      <x:c r="D5" s="82" t="n">
        <x:v>37</x:v>
      </x:c>
      <x:c r="E5" s="82" t="n">
        <x:v>37.9</x:v>
      </x:c>
      <x:c r="F5" s="82" t="n">
        <x:v>40.9</x:v>
      </x:c>
      <x:c r="G5" s="82" t="n">
        <x:v>33.4</x:v>
      </x:c>
      <x:c r="H5" s="82" t="n">
        <x:v>37</x:v>
      </x:c>
      <x:c r="I5" s="82" t="n">
        <x:v>38</x:v>
      </x:c>
    </x:row>
    <x:row r="6">
      <x:c r="A6" s="72" t="n">
        <x:v>46240.80616898148</x:v>
      </x:c>
      <x:c r="B6" s="82" t="n">
        <x:v>36.9</x:v>
      </x:c>
      <x:c r="C6" s="82" t="n">
        <x:v>38.4</x:v>
      </x:c>
      <x:c r="D6" s="82" t="n">
        <x:v>37</x:v>
      </x:c>
      <x:c r="E6" s="82" t="n">
        <x:v>38</x:v>
      </x:c>
      <x:c r="F6" s="82" t="n">
        <x:v>41.4</x:v>
      </x:c>
      <x:c r="G6" s="82" t="n">
        <x:v>33.9</x:v>
      </x:c>
      <x:c r="H6" s="82" t="n">
        <x:v>37.1</x:v>
      </x:c>
      <x:c r="I6" s="82" t="n">
        <x:v>38</x:v>
      </x:c>
    </x:row>
    <x:row r="7">
      <x:c r="A7" s="72" t="n">
        <x:v>46240.809641203705</x:v>
      </x:c>
      <x:c r="B7" s="82" t="n">
        <x:v>36.4</x:v>
      </x:c>
      <x:c r="C7" s="82" t="n">
        <x:v>37.9</x:v>
      </x:c>
      <x:c r="D7" s="82" t="n">
        <x:v>36.9</x:v>
      </x:c>
      <x:c r="E7" s="82" t="n">
        <x:v>38</x:v>
      </x:c>
      <x:c r="F7" s="82" t="n">
        <x:v>41.9</x:v>
      </x:c>
      <x:c r="G7" s="82" t="n">
        <x:v>34.4</x:v>
      </x:c>
      <x:c r="H7" s="82" t="n">
        <x:v>37.3</x:v>
      </x:c>
      <x:c r="I7" s="82" t="n">
        <x:v>38.1</x:v>
      </x:c>
    </x:row>
    <x:row r="8">
      <x:c r="A8" s="72" t="n">
        <x:v>46240.813113425924</x:v>
      </x:c>
      <x:c r="B8" s="82" t="n">
        <x:v>35.9</x:v>
      </x:c>
      <x:c r="C8" s="82" t="n">
        <x:v>37.4</x:v>
      </x:c>
      <x:c r="D8" s="82" t="n">
        <x:v>36.6</x:v>
      </x:c>
      <x:c r="E8" s="82" t="n">
        <x:v>37.9</x:v>
      </x:c>
      <x:c r="F8" s="82" t="n">
        <x:v>42.3</x:v>
      </x:c>
      <x:c r="G8" s="82" t="n">
        <x:v>34.9</x:v>
      </x:c>
      <x:c r="H8" s="82" t="n">
        <x:v>37.6</x:v>
      </x:c>
      <x:c r="I8" s="82" t="n">
        <x:v>38.3</x:v>
      </x:c>
    </x:row>
    <x:row r="9">
      <x:c r="A9" s="72" t="n">
        <x:v>46240.81658564815</x:v>
      </x:c>
      <x:c r="B9" s="82" t="n">
        <x:v>35.5</x:v>
      </x:c>
      <x:c r="C9" s="82" t="n">
        <x:v>36.9</x:v>
      </x:c>
      <x:c r="D9" s="82" t="n">
        <x:v>36.3</x:v>
      </x:c>
      <x:c r="E9" s="82" t="n">
        <x:v>37.6</x:v>
      </x:c>
      <x:c r="F9" s="82" t="n">
        <x:v>42.6</x:v>
      </x:c>
      <x:c r="G9" s="82" t="n">
        <x:v>35.3</x:v>
      </x:c>
      <x:c r="H9" s="82" t="n">
        <x:v>38</x:v>
      </x:c>
      <x:c r="I9" s="82" t="n">
        <x:v>38.6</x:v>
      </x:c>
    </x:row>
    <x:row r="10">
      <x:c r="A10" s="72" t="n">
        <x:v>46240.82005787037</x:v>
      </x:c>
      <x:c r="B10" s="82" t="n">
        <x:v>35.2</x:v>
      </x:c>
      <x:c r="C10" s="82" t="n">
        <x:v>36.5</x:v>
      </x:c>
      <x:c r="D10" s="82" t="n">
        <x:v>35.8</x:v>
      </x:c>
      <x:c r="E10" s="82" t="n">
        <x:v>37.3</x:v>
      </x:c>
      <x:c r="F10" s="82" t="n">
        <x:v>42.9</x:v>
      </x:c>
      <x:c r="G10" s="82" t="n">
        <x:v>35.6</x:v>
      </x:c>
      <x:c r="H10" s="82" t="n">
        <x:v>38.4</x:v>
      </x:c>
      <x:c r="I10" s="82" t="n">
        <x:v>39</x:v>
      </x:c>
    </x:row>
    <x:row r="11">
      <x:c r="A11" s="72" t="n">
        <x:v>46240.823530092595</x:v>
      </x:c>
      <x:c r="B11" s="82" t="n">
        <x:v>35.1</x:v>
      </x:c>
      <x:c r="C11" s="82" t="n">
        <x:v>36.2</x:v>
      </x:c>
      <x:c r="D11" s="82" t="n">
        <x:v>35.4</x:v>
      </x:c>
      <x:c r="E11" s="82" t="n">
        <x:v>36.8</x:v>
      </x:c>
      <x:c r="F11" s="82" t="n">
        <x:v>43</x:v>
      </x:c>
      <x:c r="G11" s="82" t="n">
        <x:v>35.9</x:v>
      </x:c>
      <x:c r="H11" s="82" t="n">
        <x:v>38.9</x:v>
      </x:c>
      <x:c r="I11" s="82" t="n">
        <x:v>39.4</x:v>
      </x:c>
    </x:row>
    <x:row r="12">
      <x:c r="A12" s="72" t="n">
        <x:v>46240.827002314814</x:v>
      </x:c>
      <x:c r="B12" s="82" t="n">
        <x:v>35</x:v>
      </x:c>
      <x:c r="C12" s="82" t="n">
        <x:v>36.1</x:v>
      </x:c>
      <x:c r="D12" s="82" t="n">
        <x:v>34.9</x:v>
      </x:c>
      <x:c r="E12" s="82" t="n">
        <x:v>36.4</x:v>
      </x:c>
      <x:c r="F12" s="82" t="n">
        <x:v>43</x:v>
      </x:c>
      <x:c r="G12" s="82" t="n">
        <x:v>36</x:v>
      </x:c>
      <x:c r="H12" s="82" t="n">
        <x:v>39.4</x:v>
      </x:c>
      <x:c r="I12" s="82" t="n">
        <x:v>39.9</x:v>
      </x:c>
    </x:row>
    <x:row r="13">
      <x:c r="A13" s="72" t="n">
        <x:v>46240.83047453704</x:v>
      </x:c>
      <x:c r="B13" s="82" t="n">
        <x:v>35.1</x:v>
      </x:c>
      <x:c r="C13" s="82" t="n">
        <x:v>36</x:v>
      </x:c>
      <x:c r="D13" s="82" t="n">
        <x:v>34.4</x:v>
      </x:c>
      <x:c r="E13" s="82" t="n">
        <x:v>35.9</x:v>
      </x:c>
      <x:c r="F13" s="82" t="n">
        <x:v>42.9</x:v>
      </x:c>
      <x:c r="G13" s="82" t="n">
        <x:v>36</x:v>
      </x:c>
      <x:c r="H13" s="82" t="n">
        <x:v>39.9</x:v>
      </x:c>
      <x:c r="I13" s="82" t="n">
        <x:v>40.4</x:v>
      </x:c>
    </x:row>
    <x:row r="14">
      <x:c r="A14" s="72" t="n">
        <x:v>46240.83394675926</x:v>
      </x:c>
      <x:c r="B14" s="82" t="n">
        <x:v>35.2</x:v>
      </x:c>
      <x:c r="C14" s="82" t="n">
        <x:v>36.1</x:v>
      </x:c>
      <x:c r="D14" s="82" t="n">
        <x:v>33.9</x:v>
      </x:c>
      <x:c r="E14" s="82" t="n">
        <x:v>35.4</x:v>
      </x:c>
      <x:c r="F14" s="82" t="n">
        <x:v>42.6</x:v>
      </x:c>
      <x:c r="G14" s="82" t="n">
        <x:v>35.9</x:v>
      </x:c>
      <x:c r="H14" s="82" t="n">
        <x:v>40.3</x:v>
      </x:c>
      <x:c r="I14" s="82" t="n">
        <x:v>40.9</x:v>
      </x:c>
    </x:row>
    <x:row r="15">
      <x:c r="A15" s="72" t="n">
        <x:v>46240.83741898148</x:v>
      </x:c>
      <x:c r="B15" s="82" t="n">
        <x:v>35.5</x:v>
      </x:c>
      <x:c r="C15" s="82" t="n">
        <x:v>36.2</x:v>
      </x:c>
      <x:c r="D15" s="82" t="n">
        <x:v>33.5</x:v>
      </x:c>
      <x:c r="E15" s="82" t="n">
        <x:v>34.9</x:v>
      </x:c>
      <x:c r="F15" s="82" t="n">
        <x:v>42.3</x:v>
      </x:c>
      <x:c r="G15" s="82" t="n">
        <x:v>35.6</x:v>
      </x:c>
      <x:c r="H15" s="82" t="n">
        <x:v>40.6</x:v>
      </x:c>
      <x:c r="I15" s="82" t="n">
        <x:v>41.3</x:v>
      </x:c>
    </x:row>
    <x:row r="16">
      <x:c r="A16" s="72" t="n">
        <x:v>46240.840891203705</x:v>
      </x:c>
      <x:c r="B16" s="82" t="n">
        <x:v>35.9</x:v>
      </x:c>
      <x:c r="C16" s="82" t="n">
        <x:v>36.5</x:v>
      </x:c>
      <x:c r="D16" s="82" t="n">
        <x:v>33.2</x:v>
      </x:c>
      <x:c r="E16" s="82" t="n">
        <x:v>34.5</x:v>
      </x:c>
      <x:c r="F16" s="82" t="n">
        <x:v>41.8</x:v>
      </x:c>
      <x:c r="G16" s="82" t="n">
        <x:v>35.3</x:v>
      </x:c>
      <x:c r="H16" s="82" t="n">
        <x:v>40.9</x:v>
      </x:c>
      <x:c r="I16" s="82" t="n">
        <x:v>41.6</x:v>
      </x:c>
    </x:row>
    <x:row r="17">
      <x:c r="A17" s="72" t="n">
        <x:v>46240.844363425924</x:v>
      </x:c>
      <x:c r="B17" s="82" t="n">
        <x:v>36.4</x:v>
      </x:c>
      <x:c r="C17" s="82" t="n">
        <x:v>36.9</x:v>
      </x:c>
      <x:c r="D17" s="82" t="n">
        <x:v>33.1</x:v>
      </x:c>
      <x:c r="E17" s="82" t="n">
        <x:v>34.2</x:v>
      </x:c>
      <x:c r="F17" s="82" t="n">
        <x:v>41.4</x:v>
      </x:c>
      <x:c r="G17" s="82" t="n">
        <x:v>34.8</x:v>
      </x:c>
      <x:c r="H17" s="82" t="n">
        <x:v>41</x:v>
      </x:c>
      <x:c r="I17" s="82" t="n">
        <x:v>41.9</x:v>
      </x:c>
    </x:row>
    <x:row r="18">
      <x:c r="A18" s="72" t="n">
        <x:v>46240.84783564815</x:v>
      </x:c>
      <x:c r="B18" s="82" t="n">
        <x:v>36.8</x:v>
      </x:c>
      <x:c r="C18" s="82" t="n">
        <x:v>37.4</x:v>
      </x:c>
      <x:c r="D18" s="82" t="n">
        <x:v>33</x:v>
      </x:c>
      <x:c r="E18" s="82" t="n">
        <x:v>34.1</x:v>
      </x:c>
      <x:c r="F18" s="82" t="n">
        <x:v>40.9</x:v>
      </x:c>
      <x:c r="G18" s="82" t="n">
        <x:v>34.4</x:v>
      </x:c>
      <x:c r="H18" s="82" t="n">
        <x:v>41</x:v>
      </x:c>
      <x:c r="I18" s="82" t="n">
        <x:v>42</x:v>
      </x:c>
    </x:row>
    <x:row r="19">
      <x:c r="A19" s="72" t="n">
        <x:v>46240.85130787037</x:v>
      </x:c>
      <x:c r="B19" s="82" t="n">
        <x:v>37.3</x:v>
      </x:c>
      <x:c r="C19" s="82" t="n">
        <x:v>37.8</x:v>
      </x:c>
      <x:c r="D19" s="82" t="n">
        <x:v>33.1</x:v>
      </x:c>
      <x:c r="E19" s="82" t="n">
        <x:v>34</x:v>
      </x:c>
      <x:c r="F19" s="82" t="n">
        <x:v>40.4</x:v>
      </x:c>
      <x:c r="G19" s="82" t="n">
        <x:v>33.9</x:v>
      </x:c>
      <x:c r="H19" s="82" t="n">
        <x:v>40.9</x:v>
      </x:c>
      <x:c r="I19" s="82" t="n">
        <x:v>42</x:v>
      </x:c>
    </x:row>
    <x:row r="20">
      <x:c r="A20" s="72" t="n">
        <x:v>46240.854780092595</x:v>
      </x:c>
      <x:c r="B20" s="82" t="n">
        <x:v>37.8</x:v>
      </x:c>
      <x:c r="C20" s="82" t="n">
        <x:v>38.3</x:v>
      </x:c>
      <x:c r="D20" s="82" t="n">
        <x:v>33.2</x:v>
      </x:c>
      <x:c r="E20" s="82" t="n">
        <x:v>34.1</x:v>
      </x:c>
      <x:c r="F20" s="82" t="n">
        <x:v>39.9</x:v>
      </x:c>
      <x:c r="G20" s="82" t="n">
        <x:v>33.4</x:v>
      </x:c>
      <x:c r="H20" s="82" t="n">
        <x:v>40.6</x:v>
      </x:c>
      <x:c r="I20" s="82" t="n">
        <x:v>41.9</x:v>
      </x:c>
    </x:row>
    <x:row r="21">
      <x:c r="A21" s="72" t="n">
        <x:v>46240.858252314814</x:v>
      </x:c>
      <x:c r="B21" s="82" t="n">
        <x:v>38.2</x:v>
      </x:c>
      <x:c r="C21" s="82" t="n">
        <x:v>38.8</x:v>
      </x:c>
      <x:c r="D21" s="82" t="n">
        <x:v>33.5</x:v>
      </x:c>
      <x:c r="E21" s="82" t="n">
        <x:v>34.2</x:v>
      </x:c>
      <x:c r="F21" s="82" t="n">
        <x:v>39.5</x:v>
      </x:c>
      <x:c r="G21" s="82" t="n">
        <x:v>32.9</x:v>
      </x:c>
      <x:c r="H21" s="82" t="n">
        <x:v>40.3</x:v>
      </x:c>
      <x:c r="I21" s="82" t="n">
        <x:v>41.6</x:v>
      </x:c>
    </x:row>
    <x:row r="22">
      <x:c r="A22" s="72" t="n">
        <x:v>46240.86172453704</x:v>
      </x:c>
      <x:c r="B22" s="82" t="n">
        <x:v>38.6</x:v>
      </x:c>
      <x:c r="C22" s="82" t="n">
        <x:v>39.2</x:v>
      </x:c>
      <x:c r="D22" s="82" t="n">
        <x:v>33.9</x:v>
      </x:c>
      <x:c r="E22" s="82" t="n">
        <x:v>34.5</x:v>
      </x:c>
      <x:c r="F22" s="82" t="n">
        <x:v>39.2</x:v>
      </x:c>
      <x:c r="G22" s="82" t="n">
        <x:v>32.5</x:v>
      </x:c>
      <x:c r="H22" s="82" t="n">
        <x:v>39.8</x:v>
      </x:c>
      <x:c r="I22" s="82" t="n">
        <x:v>41.3</x:v>
      </x:c>
    </x:row>
    <x:row r="23">
      <x:c r="A23" s="72" t="n">
        <x:v>46240.86519675926</x:v>
      </x:c>
      <x:c r="B23" s="82" t="n">
        <x:v>38.8</x:v>
      </x:c>
      <x:c r="C23" s="82" t="n">
        <x:v>39.6</x:v>
      </x:c>
      <x:c r="D23" s="82" t="n">
        <x:v>34.4</x:v>
      </x:c>
      <x:c r="E23" s="82" t="n">
        <x:v>34.9</x:v>
      </x:c>
      <x:c r="F23" s="82" t="n">
        <x:v>39.1</x:v>
      </x:c>
      <x:c r="G23" s="82" t="n">
        <x:v>32.2</x:v>
      </x:c>
      <x:c r="H23" s="82" t="n">
        <x:v>39.4</x:v>
      </x:c>
      <x:c r="I23" s="82" t="n">
        <x:v>40.8</x:v>
      </x:c>
    </x:row>
    <x:row r="24">
      <x:c r="A24" s="72" t="n">
        <x:v>46240.86866898148</x:v>
      </x:c>
      <x:c r="B24" s="82" t="n">
        <x:v>39</x:v>
      </x:c>
      <x:c r="C24" s="82" t="n">
        <x:v>39.8</x:v>
      </x:c>
      <x:c r="D24" s="82" t="n">
        <x:v>34.8</x:v>
      </x:c>
      <x:c r="E24" s="82" t="n">
        <x:v>35.4</x:v>
      </x:c>
      <x:c r="F24" s="82" t="n">
        <x:v>39</x:v>
      </x:c>
      <x:c r="G24" s="82" t="n">
        <x:v>32.1</x:v>
      </x:c>
      <x:c r="H24" s="82" t="n">
        <x:v>38.9</x:v>
      </x:c>
      <x:c r="I24" s="82" t="n">
        <x:v>40.4</x:v>
      </x:c>
    </x:row>
    <x:row r="25">
      <x:c r="A25" s="72" t="n">
        <x:v>46240.872141203705</x:v>
      </x:c>
      <x:c r="B25" s="82" t="n">
        <x:v>39</x:v>
      </x:c>
      <x:c r="C25" s="82" t="n">
        <x:v>40</x:v>
      </x:c>
      <x:c r="D25" s="82" t="n">
        <x:v>35.3</x:v>
      </x:c>
      <x:c r="E25" s="82" t="n">
        <x:v>35.8</x:v>
      </x:c>
      <x:c r="F25" s="82" t="n">
        <x:v>39.1</x:v>
      </x:c>
      <x:c r="G25" s="82" t="n">
        <x:v>32</x:v>
      </x:c>
      <x:c r="H25" s="82" t="n">
        <x:v>38.4</x:v>
      </x:c>
      <x:c r="I25" s="82" t="n">
        <x:v>39.9</x:v>
      </x:c>
    </x:row>
    <x:row r="26">
      <x:c r="A26" s="72" t="n">
        <x:v>46240.875613425924</x:v>
      </x:c>
      <x:c r="B26" s="82" t="n">
        <x:v>38.9</x:v>
      </x:c>
      <x:c r="C26" s="82" t="n">
        <x:v>40</x:v>
      </x:c>
      <x:c r="D26" s="82" t="n">
        <x:v>35.8</x:v>
      </x:c>
      <x:c r="E26" s="82" t="n">
        <x:v>36.3</x:v>
      </x:c>
      <x:c r="F26" s="82" t="n">
        <x:v>39.2</x:v>
      </x:c>
      <x:c r="G26" s="82" t="n">
        <x:v>32.1</x:v>
      </x:c>
      <x:c r="H26" s="82" t="n">
        <x:v>37.9</x:v>
      </x:c>
      <x:c r="I26" s="82" t="n">
        <x:v>39.4</x:v>
      </x:c>
    </x:row>
    <x:row r="27">
      <x:c r="A27" s="72" t="n">
        <x:v>46240.87908564815</x:v>
      </x:c>
      <x:c r="B27" s="82" t="n">
        <x:v>38.6</x:v>
      </x:c>
      <x:c r="C27" s="82" t="n">
        <x:v>39.9</x:v>
      </x:c>
      <x:c r="D27" s="82" t="n">
        <x:v>36.2</x:v>
      </x:c>
      <x:c r="E27" s="82" t="n">
        <x:v>36.8</x:v>
      </x:c>
      <x:c r="F27" s="82" t="n">
        <x:v>39.5</x:v>
      </x:c>
      <x:c r="G27" s="82" t="n">
        <x:v>32.2</x:v>
      </x:c>
      <x:c r="H27" s="82" t="n">
        <x:v>37.5</x:v>
      </x:c>
      <x:c r="I27" s="82" t="n">
        <x:v>38.9</x:v>
      </x:c>
    </x:row>
    <x:row r="28">
      <x:c r="A28" s="72" t="n">
        <x:v>46240.88255787037</x:v>
      </x:c>
      <x:c r="B28" s="82" t="n">
        <x:v>38.3</x:v>
      </x:c>
      <x:c r="C28" s="82" t="n">
        <x:v>39.6</x:v>
      </x:c>
      <x:c r="D28" s="82" t="n">
        <x:v>36.6</x:v>
      </x:c>
      <x:c r="E28" s="82" t="n">
        <x:v>37.2</x:v>
      </x:c>
      <x:c r="F28" s="82" t="n">
        <x:v>39.9</x:v>
      </x:c>
      <x:c r="G28" s="82" t="n">
        <x:v>32.5</x:v>
      </x:c>
      <x:c r="H28" s="82" t="n">
        <x:v>37.2</x:v>
      </x:c>
      <x:c r="I28" s="82" t="n">
        <x:v>38.5</x:v>
      </x:c>
    </x:row>
    <x:row r="29">
      <x:c r="A29" s="72" t="n">
        <x:v>46240.886030092595</x:v>
      </x:c>
      <x:c r="B29" s="82" t="n">
        <x:v>37.9</x:v>
      </x:c>
      <x:c r="C29" s="82" t="n">
        <x:v>39.3</x:v>
      </x:c>
      <x:c r="D29" s="82" t="n">
        <x:v>36.8</x:v>
      </x:c>
      <x:c r="E29" s="82" t="n">
        <x:v>37.6</x:v>
      </x:c>
      <x:c r="F29" s="82" t="n">
        <x:v>40.4</x:v>
      </x:c>
      <x:c r="G29" s="82" t="n">
        <x:v>32.9</x:v>
      </x:c>
      <x:c r="H29" s="82" t="n">
        <x:v>37.1</x:v>
      </x:c>
      <x:c r="I29" s="82" t="n">
        <x:v>38.2</x:v>
      </x:c>
    </x:row>
    <x:row r="30">
      <x:c r="A30" s="72" t="n">
        <x:v>46240.889502314814</x:v>
      </x:c>
      <x:c r="B30" s="82" t="n">
        <x:v>37.4</x:v>
      </x:c>
      <x:c r="C30" s="82" t="n">
        <x:v>38.9</x:v>
      </x:c>
      <x:c r="D30" s="82" t="n">
        <x:v>37</x:v>
      </x:c>
      <x:c r="E30" s="82" t="n">
        <x:v>37.8</x:v>
      </x:c>
      <x:c r="F30" s="82" t="n">
        <x:v>40.8</x:v>
      </x:c>
      <x:c r="G30" s="82" t="n">
        <x:v>33.4</x:v>
      </x:c>
      <x:c r="H30" s="82" t="n">
        <x:v>37</x:v>
      </x:c>
      <x:c r="I30" s="82" t="n">
        <x:v>38.1</x:v>
      </x:c>
    </x:row>
    <x:row r="31">
      <x:c r="A31" s="72" t="n">
        <x:v>46240.89297453704</x:v>
      </x:c>
      <x:c r="B31" s="82" t="n">
        <x:v>36.9</x:v>
      </x:c>
      <x:c r="C31" s="82" t="n">
        <x:v>38.4</x:v>
      </x:c>
      <x:c r="D31" s="82" t="n">
        <x:v>37</x:v>
      </x:c>
      <x:c r="E31" s="82" t="n">
        <x:v>38</x:v>
      </x:c>
      <x:c r="F31" s="82" t="n">
        <x:v>41.3</x:v>
      </x:c>
      <x:c r="G31" s="82" t="n">
        <x:v>33.8</x:v>
      </x:c>
      <x:c r="H31" s="82" t="n">
        <x:v>37.1</x:v>
      </x:c>
      <x:c r="I31" s="82" t="n">
        <x:v>38</x:v>
      </x:c>
    </x:row>
    <x:row r="32">
      <x:c r="A32" s="72" t="n">
        <x:v>46240.89644675926</x:v>
      </x:c>
      <x:c r="B32" s="82" t="n">
        <x:v>36.4</x:v>
      </x:c>
      <x:c r="C32" s="82" t="n">
        <x:v>37.9</x:v>
      </x:c>
      <x:c r="D32" s="82" t="n">
        <x:v>36.9</x:v>
      </x:c>
      <x:c r="E32" s="82" t="n">
        <x:v>38</x:v>
      </x:c>
      <x:c r="F32" s="82" t="n">
        <x:v>41.8</x:v>
      </x:c>
      <x:c r="G32" s="82" t="n">
        <x:v>34.3</x:v>
      </x:c>
      <x:c r="H32" s="82" t="n">
        <x:v>37.2</x:v>
      </x:c>
      <x:c r="I32" s="82" t="n">
        <x:v>38.1</x:v>
      </x:c>
    </x:row>
    <x:row r="33">
      <x:c r="A33" s="72" t="n">
        <x:v>46240.89991898148</x:v>
      </x:c>
      <x:c r="B33" s="82" t="n">
        <x:v>36</x:v>
      </x:c>
      <x:c r="C33" s="82" t="n">
        <x:v>37.4</x:v>
      </x:c>
      <x:c r="D33" s="82" t="n">
        <x:v>36.6</x:v>
      </x:c>
      <x:c r="E33" s="82" t="n">
        <x:v>37.9</x:v>
      </x:c>
      <x:c r="F33" s="82" t="n">
        <x:v>42.2</x:v>
      </x:c>
      <x:c r="G33" s="82" t="n">
        <x:v>34.8</x:v>
      </x:c>
      <x:c r="H33" s="82" t="n">
        <x:v>37.5</x:v>
      </x:c>
      <x:c r="I33" s="82" t="n">
        <x:v>38.2</x:v>
      </x:c>
    </x:row>
    <x:row r="34">
      <x:c r="A34" s="72" t="n">
        <x:v>46240.903391203705</x:v>
      </x:c>
      <x:c r="B34" s="82" t="n">
        <x:v>35.6</x:v>
      </x:c>
      <x:c r="C34" s="82" t="n">
        <x:v>37</x:v>
      </x:c>
      <x:c r="D34" s="82" t="n">
        <x:v>36.3</x:v>
      </x:c>
      <x:c r="E34" s="82" t="n">
        <x:v>37.6</x:v>
      </x:c>
      <x:c r="F34" s="82" t="n">
        <x:v>42.6</x:v>
      </x:c>
      <x:c r="G34" s="82" t="n">
        <x:v>35.2</x:v>
      </x:c>
      <x:c r="H34" s="82" t="n">
        <x:v>37.9</x:v>
      </x:c>
      <x:c r="I34" s="82" t="n">
        <x:v>38.5</x:v>
      </x:c>
    </x:row>
    <x:row r="35">
      <x:c r="A35" s="72" t="n">
        <x:v>46240.906863425924</x:v>
      </x:c>
      <x:c r="B35" s="82" t="n">
        <x:v>35.3</x:v>
      </x:c>
      <x:c r="C35" s="82" t="n">
        <x:v>36.6</x:v>
      </x:c>
      <x:c r="D35" s="82" t="n">
        <x:v>35.9</x:v>
      </x:c>
      <x:c r="E35" s="82" t="n">
        <x:v>37.3</x:v>
      </x:c>
      <x:c r="F35" s="82" t="n">
        <x:v>42.8</x:v>
      </x:c>
      <x:c r="G35" s="82" t="n">
        <x:v>35.6</x:v>
      </x:c>
      <x:c r="H35" s="82" t="n">
        <x:v>38.4</x:v>
      </x:c>
      <x:c r="I35" s="82" t="n">
        <x:v>38.9</x:v>
      </x:c>
    </x:row>
    <x:row r="36">
      <x:c r="A36" s="72" t="n">
        <x:v>46240.91033564815</x:v>
      </x:c>
      <x:c r="B36" s="82" t="n">
        <x:v>35.1</x:v>
      </x:c>
      <x:c r="C36" s="82" t="n">
        <x:v>36.3</x:v>
      </x:c>
      <x:c r="D36" s="82" t="n">
        <x:v>35.4</x:v>
      </x:c>
      <x:c r="E36" s="82" t="n">
        <x:v>36.9</x:v>
      </x:c>
      <x:c r="F36" s="82" t="n">
        <x:v>43</x:v>
      </x:c>
      <x:c r="G36" s="82" t="n">
        <x:v>35.8</x:v>
      </x:c>
      <x:c r="H36" s="82" t="n">
        <x:v>38.8</x:v>
      </x:c>
      <x:c r="I36" s="82" t="n">
        <x:v>39.4</x:v>
      </x:c>
    </x:row>
    <x:row r="37">
      <x:c r="A37" s="72" t="n">
        <x:v>46240.91380787037</x:v>
      </x:c>
      <x:c r="B37" s="82" t="n">
        <x:v>35</x:v>
      </x:c>
      <x:c r="C37" s="82" t="n">
        <x:v>36.1</x:v>
      </x:c>
      <x:c r="D37" s="82" t="n">
        <x:v>34.9</x:v>
      </x:c>
      <x:c r="E37" s="82" t="n">
        <x:v>36.4</x:v>
      </x:c>
      <x:c r="F37" s="82" t="n">
        <x:v>43</x:v>
      </x:c>
      <x:c r="G37" s="82" t="n">
        <x:v>36</x:v>
      </x:c>
      <x:c r="H37" s="82" t="n">
        <x:v>39.3</x:v>
      </x:c>
      <x:c r="I37" s="82" t="n">
        <x:v>39.8</x:v>
      </x:c>
    </x:row>
    <x:row r="38">
      <x:c r="A38" s="72" t="n">
        <x:v>46240.917280092595</x:v>
      </x:c>
      <x:c r="B38" s="82" t="n">
        <x:v>35</x:v>
      </x:c>
      <x:c r="C38" s="82" t="n">
        <x:v>36</x:v>
      </x:c>
      <x:c r="D38" s="82" t="n">
        <x:v>34.4</x:v>
      </x:c>
      <x:c r="E38" s="82" t="n">
        <x:v>35.9</x:v>
      </x:c>
      <x:c r="F38" s="82" t="n">
        <x:v>42.9</x:v>
      </x:c>
      <x:c r="G38" s="82" t="n">
        <x:v>36</x:v>
      </x:c>
      <x:c r="H38" s="82" t="n">
        <x:v>39.8</x:v>
      </x:c>
      <x:c r="I38" s="82" t="n">
        <x:v>40.3</x:v>
      </x:c>
    </x:row>
    <x:row r="39">
      <x:c r="A39" s="72" t="n">
        <x:v>46240.920752314814</x:v>
      </x:c>
      <x:c r="B39" s="82" t="n">
        <x:v>35.2</x:v>
      </x:c>
      <x:c r="C39" s="82" t="n">
        <x:v>36</x:v>
      </x:c>
      <x:c r="D39" s="82" t="n">
        <x:v>34</x:v>
      </x:c>
      <x:c r="E39" s="82" t="n">
        <x:v>35.4</x:v>
      </x:c>
      <x:c r="F39" s="82" t="n">
        <x:v>42.6</x:v>
      </x:c>
      <x:c r="G39" s="82" t="n">
        <x:v>35.9</x:v>
      </x:c>
      <x:c r="H39" s="82" t="n">
        <x:v>40.2</x:v>
      </x:c>
      <x:c r="I39" s="82" t="n">
        <x:v>40.8</x:v>
      </x:c>
    </x:row>
    <x:row r="40">
      <x:c r="A40" s="72" t="n">
        <x:v>46240.92422453704</x:v>
      </x:c>
      <x:c r="B40" s="82" t="n">
        <x:v>35.5</x:v>
      </x:c>
      <x:c r="C40" s="82" t="n">
        <x:v>36.2</x:v>
      </x:c>
      <x:c r="D40" s="82" t="n">
        <x:v>33.6</x:v>
      </x:c>
      <x:c r="E40" s="82" t="n">
        <x:v>35</x:v>
      </x:c>
      <x:c r="F40" s="82" t="n">
        <x:v>42.3</x:v>
      </x:c>
      <x:c r="G40" s="82" t="n">
        <x:v>35.6</x:v>
      </x:c>
      <x:c r="H40" s="82" t="n">
        <x:v>40.6</x:v>
      </x:c>
      <x:c r="I40" s="82" t="n">
        <x:v>41.2</x:v>
      </x:c>
    </x:row>
    <x:row r="41">
      <x:c r="A41" s="72" t="n">
        <x:v>46240.92769675926</x:v>
      </x:c>
      <x:c r="B41" s="82" t="n">
        <x:v>35.9</x:v>
      </x:c>
      <x:c r="C41" s="82" t="n">
        <x:v>36.5</x:v>
      </x:c>
      <x:c r="D41" s="82" t="n">
        <x:v>33.3</x:v>
      </x:c>
      <x:c r="E41" s="82" t="n">
        <x:v>34.6</x:v>
      </x:c>
      <x:c r="F41" s="82" t="n">
        <x:v>41.9</x:v>
      </x:c>
      <x:c r="G41" s="82" t="n">
        <x:v>35.3</x:v>
      </x:c>
      <x:c r="H41" s="82" t="n">
        <x:v>40.8</x:v>
      </x:c>
      <x:c r="I41" s="82" t="n">
        <x:v>41.6</x:v>
      </x:c>
    </x:row>
    <x:row r="42">
      <x:c r="A42" s="72" t="n">
        <x:v>46240.93116898148</x:v>
      </x:c>
      <x:c r="B42" s="82" t="n">
        <x:v>36.3</x:v>
      </x:c>
      <x:c r="C42" s="82" t="n">
        <x:v>36.9</x:v>
      </x:c>
      <x:c r="D42" s="82" t="n">
        <x:v>33.1</x:v>
      </x:c>
      <x:c r="E42" s="82" t="n">
        <x:v>34.3</x:v>
      </x:c>
      <x:c r="F42" s="82" t="n">
        <x:v>41.4</x:v>
      </x:c>
      <x:c r="G42" s="82" t="n">
        <x:v>34.9</x:v>
      </x:c>
      <x:c r="H42" s="82" t="n">
        <x:v>41</x:v>
      </x:c>
      <x:c r="I42" s="82" t="n">
        <x:v>41.8</x:v>
      </x:c>
    </x:row>
    <x:row r="43">
      <x:c r="A43" s="72" t="n">
        <x:v>46240.934641203705</x:v>
      </x:c>
      <x:c r="B43" s="82" t="n">
        <x:v>36.8</x:v>
      </x:c>
      <x:c r="C43" s="82" t="n">
        <x:v>37.3</x:v>
      </x:c>
      <x:c r="D43" s="82" t="n">
        <x:v>33</x:v>
      </x:c>
      <x:c r="E43" s="82" t="n">
        <x:v>34.1</x:v>
      </x:c>
      <x:c r="F43" s="82" t="n">
        <x:v>40.9</x:v>
      </x:c>
      <x:c r="G43" s="82" t="n">
        <x:v>34.4</x:v>
      </x:c>
      <x:c r="H43" s="82" t="n">
        <x:v>41</x:v>
      </x:c>
      <x:c r="I43" s="82" t="n">
        <x:v>42</x:v>
      </x:c>
    </x:row>
    <x:row r="44">
      <x:c r="A44" s="72" t="n">
        <x:v>46240.938113425924</x:v>
      </x:c>
      <x:c r="B44" s="82" t="n">
        <x:v>37.3</x:v>
      </x:c>
      <x:c r="C44" s="82" t="n">
        <x:v>37.8</x:v>
      </x:c>
      <x:c r="D44" s="82" t="n">
        <x:v>33</x:v>
      </x:c>
      <x:c r="E44" s="82" t="n">
        <x:v>34</x:v>
      </x:c>
      <x:c r="F44" s="82" t="n">
        <x:v>40.4</x:v>
      </x:c>
      <x:c r="G44" s="82" t="n">
        <x:v>33.9</x:v>
      </x:c>
      <x:c r="H44" s="82" t="n">
        <x:v>40.9</x:v>
      </x:c>
      <x:c r="I44" s="82" t="n">
        <x:v>42</x:v>
      </x:c>
    </x:row>
    <x:row r="45">
      <x:c r="A45" s="72" t="n">
        <x:v>46240.94158564815</x:v>
      </x:c>
      <x:c r="B45" s="82" t="n">
        <x:v>37.8</x:v>
      </x:c>
      <x:c r="C45" s="82" t="n">
        <x:v>38.3</x:v>
      </x:c>
      <x:c r="D45" s="82" t="n">
        <x:v>33.2</x:v>
      </x:c>
      <x:c r="E45" s="82" t="n">
        <x:v>34</x:v>
      </x:c>
      <x:c r="F45" s="82" t="n">
        <x:v>40</x:v>
      </x:c>
      <x:c r="G45" s="82" t="n">
        <x:v>33.4</x:v>
      </x:c>
      <x:c r="H45" s="82" t="n">
        <x:v>40.6</x:v>
      </x:c>
      <x:c r="I45" s="82" t="n">
        <x:v>41.9</x:v>
      </x:c>
    </x:row>
    <x:row r="46">
      <x:c r="A46" s="72" t="n">
        <x:v>46240.94505787037</x:v>
      </x:c>
      <x:c r="B46" s="82" t="n">
        <x:v>38.2</x:v>
      </x:c>
      <x:c r="C46" s="82" t="n">
        <x:v>38.8</x:v>
      </x:c>
      <x:c r="D46" s="82" t="n">
        <x:v>33.5</x:v>
      </x:c>
      <x:c r="E46" s="82" t="n">
        <x:v>34.2</x:v>
      </x:c>
      <x:c r="F46" s="82" t="n">
        <x:v>39.6</x:v>
      </x:c>
      <x:c r="G46" s="82" t="n">
        <x:v>33</x:v>
      </x:c>
      <x:c r="H46" s="82" t="n">
        <x:v>40.3</x:v>
      </x:c>
      <x:c r="I46" s="82" t="n">
        <x:v>41.6</x:v>
      </x:c>
    </x:row>
    <x:row r="47">
      <x:c r="A47" s="72" t="n">
        <x:v>46240.948530092595</x:v>
      </x:c>
      <x:c r="B47" s="82" t="n">
        <x:v>38.6</x:v>
      </x:c>
      <x:c r="C47" s="82" t="n">
        <x:v>39.2</x:v>
      </x:c>
      <x:c r="D47" s="82" t="n">
        <x:v>33.9</x:v>
      </x:c>
      <x:c r="E47" s="82" t="n">
        <x:v>34.5</x:v>
      </x:c>
      <x:c r="F47" s="82" t="n">
        <x:v>39.3</x:v>
      </x:c>
      <x:c r="G47" s="82" t="n">
        <x:v>32.6</x:v>
      </x:c>
      <x:c r="H47" s="82" t="n">
        <x:v>39.9</x:v>
      </x:c>
      <x:c r="I47" s="82" t="n">
        <x:v>41.3</x:v>
      </x:c>
    </x:row>
    <x:row r="48">
      <x:c r="A48" s="72" t="n">
        <x:v>46240.952002314814</x:v>
      </x:c>
      <x:c r="B48" s="82" t="n">
        <x:v>38.8</x:v>
      </x:c>
      <x:c r="C48" s="82" t="n">
        <x:v>39.6</x:v>
      </x:c>
      <x:c r="D48" s="82" t="n">
        <x:v>34.3</x:v>
      </x:c>
      <x:c r="E48" s="82" t="n">
        <x:v>34.9</x:v>
      </x:c>
      <x:c r="F48" s="82" t="n">
        <x:v>39.1</x:v>
      </x:c>
      <x:c r="G48" s="82" t="n">
        <x:v>32.3</x:v>
      </x:c>
      <x:c r="H48" s="82" t="n">
        <x:v>39.4</x:v>
      </x:c>
      <x:c r="I48" s="82" t="n">
        <x:v>40.9</x:v>
      </x:c>
    </x:row>
    <x:row r="49">
      <x:c r="A49" s="72" t="n">
        <x:v>46240.95547453704</x:v>
      </x:c>
      <x:c r="B49" s="82" t="n">
        <x:v>39</x:v>
      </x:c>
      <x:c r="C49" s="82" t="n">
        <x:v>39.8</x:v>
      </x:c>
      <x:c r="D49" s="82" t="n">
        <x:v>34.8</x:v>
      </x:c>
      <x:c r="E49" s="82" t="n">
        <x:v>35.3</x:v>
      </x:c>
      <x:c r="F49" s="82" t="n">
        <x:v>39</x:v>
      </x:c>
      <x:c r="G49" s="82" t="n">
        <x:v>32.1</x:v>
      </x:c>
      <x:c r="H49" s="82" t="n">
        <x:v>38.9</x:v>
      </x:c>
      <x:c r="I49" s="82" t="n">
        <x:v>40.4</x:v>
      </x:c>
    </x:row>
    <x:row r="50">
      <x:c r="A50" s="72" t="n">
        <x:v>46240.95894675926</x:v>
      </x:c>
      <x:c r="B50" s="82" t="n">
        <x:v>39</x:v>
      </x:c>
      <x:c r="C50" s="82" t="n">
        <x:v>40</x:v>
      </x:c>
      <x:c r="D50" s="82" t="n">
        <x:v>35.3</x:v>
      </x:c>
      <x:c r="E50" s="82" t="n">
        <x:v>35.8</x:v>
      </x:c>
      <x:c r="F50" s="82" t="n">
        <x:v>39</x:v>
      </x:c>
      <x:c r="G50" s="82" t="n">
        <x:v>32</x:v>
      </x:c>
      <x:c r="H50" s="82" t="n">
        <x:v>38.4</x:v>
      </x:c>
      <x:c r="I50" s="82" t="n">
        <x:v>39.9</x:v>
      </x:c>
    </x:row>
    <x:row r="51">
      <x:c r="A51" s="72" t="n">
        <x:v>46240.96241898148</x:v>
      </x:c>
      <x:c r="B51" s="82" t="n">
        <x:v>38.9</x:v>
      </x:c>
      <x:c r="C51" s="82" t="n">
        <x:v>40</x:v>
      </x:c>
      <x:c r="D51" s="82" t="n">
        <x:v>35.8</x:v>
      </x:c>
      <x:c r="E51" s="82" t="n">
        <x:v>36.3</x:v>
      </x:c>
      <x:c r="F51" s="82" t="n">
        <x:v>39.2</x:v>
      </x:c>
      <x:c r="G51" s="82" t="n">
        <x:v>32</x:v>
      </x:c>
      <x:c r="H51" s="82" t="n">
        <x:v>38</x:v>
      </x:c>
      <x:c r="I51" s="82" t="n">
        <x:v>39.4</x:v>
      </x:c>
    </x:row>
    <x:row r="52">
      <x:c r="A52" s="72" t="n">
        <x:v>46240.965891203705</x:v>
      </x:c>
      <x:c r="B52" s="82" t="n">
        <x:v>38.7</x:v>
      </x:c>
      <x:c r="C52" s="82" t="n">
        <x:v>39.9</x:v>
      </x:c>
      <x:c r="D52" s="82" t="n">
        <x:v>36.2</x:v>
      </x:c>
      <x:c r="E52" s="82" t="n">
        <x:v>36.8</x:v>
      </x:c>
      <x:c r="F52" s="82" t="n">
        <x:v>39.5</x:v>
      </x:c>
      <x:c r="G52" s="82" t="n">
        <x:v>32.2</x:v>
      </x:c>
      <x:c r="H52" s="82" t="n">
        <x:v>37.6</x:v>
      </x:c>
      <x:c r="I52" s="82" t="n">
        <x:v>39</x:v>
      </x:c>
    </x:row>
    <x:row r="53">
      <x:c r="A53" s="73" t="n">
        <x:v>46240.969363425924</x:v>
      </x:c>
      <x:c r="B53" s="83" t="n">
        <x:v>38.4</x:v>
      </x:c>
      <x:c r="C53" s="83" t="n">
        <x:v>39.7</x:v>
      </x:c>
      <x:c r="D53" s="83" t="n">
        <x:v>36.6</x:v>
      </x:c>
      <x:c r="E53" s="83" t="n">
        <x:v>37.2</x:v>
      </x:c>
      <x:c r="F53" s="83" t="n">
        <x:v>39.9</x:v>
      </x:c>
      <x:c r="G53" s="83" t="n">
        <x:v>32.5</x:v>
      </x:c>
      <x:c r="H53" s="83" t="n">
        <x:v>37.3</x:v>
      </x:c>
      <x:c r="I53" s="83" t="n">
        <x:v>38.6</x:v>
      </x:c>
    </x:row>
  </x:sheetData>
  <x:mergeCells>
    <x:mergeCell ref="A1:I1"/>
    <x:mergeCell ref="A2:I2"/>
  </x:mergeCells>
  <x:conditionalFormatting sqref="B5:I53">
    <x:cfRule type="expression" dxfId="6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ee5cd6a4ca224cb1"/>
</x:worksheet>
</file>

<file path=xl/worksheets/sheet1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W1处理：土壤温度随时间变化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排列。单位：℃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05" t="str">
        <x:v>采集时间</x:v>
      </x:c>
      <x:c r="B4" s="106" t="str">
        <x:v>B1-W1-V1（P03）</x:v>
      </x:c>
      <x:c r="C4" s="106" t="str">
        <x:v>B1-W1-V2（P04）</x:v>
      </x:c>
      <x:c r="D4" s="106" t="str">
        <x:v>B2-W1-V1（P09）</x:v>
      </x:c>
      <x:c r="E4" s="106" t="str">
        <x:v>B2-W1-V2（P10）</x:v>
      </x:c>
      <x:c r="F4" s="106" t="str">
        <x:v>B3-W1-V1（P15）</x:v>
      </x:c>
      <x:c r="G4" s="106" t="str">
        <x:v>B3-W1-V2（P16）</x:v>
      </x:c>
      <x:c r="H4" s="106" t="str">
        <x:v>B4-W1-V1（P21）</x:v>
      </x:c>
      <x:c r="I4" s="107" t="str">
        <x:v>B4-W1-V2（P22）</x:v>
      </x:c>
    </x:row>
    <x:row r="5">
      <x:c r="A5" s="72" t="n">
        <x:v>46240.80269675926</x:v>
      </x:c>
      <x:c r="B5" s="82" t="n">
        <x:v>25.2</x:v>
      </x:c>
      <x:c r="C5" s="82" t="n">
        <x:v>25.3</x:v>
      </x:c>
      <x:c r="D5" s="82" t="n">
        <x:v>25.6</x:v>
      </x:c>
      <x:c r="E5" s="82" t="n">
        <x:v>25.6</x:v>
      </x:c>
      <x:c r="F5" s="82" t="n">
        <x:v>25.1</x:v>
      </x:c>
      <x:c r="G5" s="82" t="n">
        <x:v>25</x:v>
      </x:c>
      <x:c r="H5" s="82" t="n">
        <x:v>24.6</x:v>
      </x:c>
      <x:c r="I5" s="82" t="n">
        <x:v>24.6</x:v>
      </x:c>
    </x:row>
    <x:row r="6">
      <x:c r="A6" s="72" t="n">
        <x:v>46240.80616898148</x:v>
      </x:c>
      <x:c r="B6" s="82" t="n">
        <x:v>25.1</x:v>
      </x:c>
      <x:c r="C6" s="82" t="n">
        <x:v>25.2</x:v>
      </x:c>
      <x:c r="D6" s="82" t="n">
        <x:v>25.6</x:v>
      </x:c>
      <x:c r="E6" s="82" t="n">
        <x:v>25.6</x:v>
      </x:c>
      <x:c r="F6" s="82" t="n">
        <x:v>25.2</x:v>
      </x:c>
      <x:c r="G6" s="82" t="n">
        <x:v>25.1</x:v>
      </x:c>
      <x:c r="H6" s="82" t="n">
        <x:v>24.6</x:v>
      </x:c>
      <x:c r="I6" s="82" t="n">
        <x:v>24.6</x:v>
      </x:c>
    </x:row>
    <x:row r="7">
      <x:c r="A7" s="72" t="n">
        <x:v>46240.809641203705</x:v>
      </x:c>
      <x:c r="B7" s="82" t="n">
        <x:v>24.9</x:v>
      </x:c>
      <x:c r="C7" s="82" t="n">
        <x:v>25.1</x:v>
      </x:c>
      <x:c r="D7" s="82" t="n">
        <x:v>25.6</x:v>
      </x:c>
      <x:c r="E7" s="82" t="n">
        <x:v>25.6</x:v>
      </x:c>
      <x:c r="F7" s="82" t="n">
        <x:v>25.3</x:v>
      </x:c>
      <x:c r="G7" s="82" t="n">
        <x:v>25.2</x:v>
      </x:c>
      <x:c r="H7" s="82" t="n">
        <x:v>24.7</x:v>
      </x:c>
      <x:c r="I7" s="82" t="n">
        <x:v>24.6</x:v>
      </x:c>
    </x:row>
    <x:row r="8">
      <x:c r="A8" s="72" t="n">
        <x:v>46240.813113425924</x:v>
      </x:c>
      <x:c r="B8" s="82" t="n">
        <x:v>24.8</x:v>
      </x:c>
      <x:c r="C8" s="82" t="n">
        <x:v>24.9</x:v>
      </x:c>
      <x:c r="D8" s="82" t="n">
        <x:v>25.5</x:v>
      </x:c>
      <x:c r="E8" s="82" t="n">
        <x:v>25.6</x:v>
      </x:c>
      <x:c r="F8" s="82" t="n">
        <x:v>25.4</x:v>
      </x:c>
      <x:c r="G8" s="82" t="n">
        <x:v>25.3</x:v>
      </x:c>
      <x:c r="H8" s="82" t="n">
        <x:v>24.7</x:v>
      </x:c>
      <x:c r="I8" s="82" t="n">
        <x:v>24.7</x:v>
      </x:c>
    </x:row>
    <x:row r="9">
      <x:c r="A9" s="72" t="n">
        <x:v>46240.81658564815</x:v>
      </x:c>
      <x:c r="B9" s="82" t="n">
        <x:v>24.7</x:v>
      </x:c>
      <x:c r="C9" s="82" t="n">
        <x:v>24.8</x:v>
      </x:c>
      <x:c r="D9" s="82" t="n">
        <x:v>25.4</x:v>
      </x:c>
      <x:c r="E9" s="82" t="n">
        <x:v>25.5</x:v>
      </x:c>
      <x:c r="F9" s="82" t="n">
        <x:v>25.5</x:v>
      </x:c>
      <x:c r="G9" s="82" t="n">
        <x:v>25.4</x:v>
      </x:c>
      <x:c r="H9" s="82" t="n">
        <x:v>24.8</x:v>
      </x:c>
      <x:c r="I9" s="82" t="n">
        <x:v>24.7</x:v>
      </x:c>
    </x:row>
    <x:row r="10">
      <x:c r="A10" s="72" t="n">
        <x:v>46240.82005787037</x:v>
      </x:c>
      <x:c r="B10" s="82" t="n">
        <x:v>24.7</x:v>
      </x:c>
      <x:c r="C10" s="82" t="n">
        <x:v>24.7</x:v>
      </x:c>
      <x:c r="D10" s="82" t="n">
        <x:v>25.3</x:v>
      </x:c>
      <x:c r="E10" s="82" t="n">
        <x:v>25.4</x:v>
      </x:c>
      <x:c r="F10" s="82" t="n">
        <x:v>25.6</x:v>
      </x:c>
      <x:c r="G10" s="82" t="n">
        <x:v>25.5</x:v>
      </x:c>
      <x:c r="H10" s="82" t="n">
        <x:v>25</x:v>
      </x:c>
      <x:c r="I10" s="82" t="n">
        <x:v>24.8</x:v>
      </x:c>
    </x:row>
    <x:row r="11">
      <x:c r="A11" s="72" t="n">
        <x:v>46240.823530092595</x:v>
      </x:c>
      <x:c r="B11" s="82" t="n">
        <x:v>24.6</x:v>
      </x:c>
      <x:c r="C11" s="82" t="n">
        <x:v>24.7</x:v>
      </x:c>
      <x:c r="D11" s="82" t="n">
        <x:v>25.2</x:v>
      </x:c>
      <x:c r="E11" s="82" t="n">
        <x:v>25.3</x:v>
      </x:c>
      <x:c r="F11" s="82" t="n">
        <x:v>25.6</x:v>
      </x:c>
      <x:c r="G11" s="82" t="n">
        <x:v>25.6</x:v>
      </x:c>
      <x:c r="H11" s="82" t="n">
        <x:v>25.1</x:v>
      </x:c>
      <x:c r="I11" s="82" t="n">
        <x:v>25</x:v>
      </x:c>
    </x:row>
    <x:row r="12">
      <x:c r="A12" s="72" t="n">
        <x:v>46240.827002314814</x:v>
      </x:c>
      <x:c r="B12" s="82" t="n">
        <x:v>24.6</x:v>
      </x:c>
      <x:c r="C12" s="82" t="n">
        <x:v>24.6</x:v>
      </x:c>
      <x:c r="D12" s="82" t="n">
        <x:v>25.1</x:v>
      </x:c>
      <x:c r="E12" s="82" t="n">
        <x:v>25.2</x:v>
      </x:c>
      <x:c r="F12" s="82" t="n">
        <x:v>25.6</x:v>
      </x:c>
      <x:c r="G12" s="82" t="n">
        <x:v>25.6</x:v>
      </x:c>
      <x:c r="H12" s="82" t="n">
        <x:v>25.2</x:v>
      </x:c>
      <x:c r="I12" s="82" t="n">
        <x:v>25.1</x:v>
      </x:c>
    </x:row>
    <x:row r="13">
      <x:c r="A13" s="72" t="n">
        <x:v>46240.83047453704</x:v>
      </x:c>
      <x:c r="B13" s="82" t="n">
        <x:v>24.6</x:v>
      </x:c>
      <x:c r="C13" s="82" t="n">
        <x:v>24.6</x:v>
      </x:c>
      <x:c r="D13" s="82" t="n">
        <x:v>24.9</x:v>
      </x:c>
      <x:c r="E13" s="82" t="n">
        <x:v>25.1</x:v>
      </x:c>
      <x:c r="F13" s="82" t="n">
        <x:v>25.6</x:v>
      </x:c>
      <x:c r="G13" s="82" t="n">
        <x:v>25.6</x:v>
      </x:c>
      <x:c r="H13" s="82" t="n">
        <x:v>25.3</x:v>
      </x:c>
      <x:c r="I13" s="82" t="n">
        <x:v>25.2</x:v>
      </x:c>
    </x:row>
    <x:row r="14">
      <x:c r="A14" s="72" t="n">
        <x:v>46240.83394675926</x:v>
      </x:c>
      <x:c r="B14" s="82" t="n">
        <x:v>24.7</x:v>
      </x:c>
      <x:c r="C14" s="82" t="n">
        <x:v>24.6</x:v>
      </x:c>
      <x:c r="D14" s="82" t="n">
        <x:v>24.8</x:v>
      </x:c>
      <x:c r="E14" s="82" t="n">
        <x:v>24.9</x:v>
      </x:c>
      <x:c r="F14" s="82" t="n">
        <x:v>25.5</x:v>
      </x:c>
      <x:c r="G14" s="82" t="n">
        <x:v>25.6</x:v>
      </x:c>
      <x:c r="H14" s="82" t="n">
        <x:v>25.4</x:v>
      </x:c>
      <x:c r="I14" s="82" t="n">
        <x:v>25.3</x:v>
      </x:c>
    </x:row>
    <x:row r="15">
      <x:c r="A15" s="72" t="n">
        <x:v>46240.83741898148</x:v>
      </x:c>
      <x:c r="B15" s="82" t="n">
        <x:v>24.7</x:v>
      </x:c>
      <x:c r="C15" s="82" t="n">
        <x:v>24.7</x:v>
      </x:c>
      <x:c r="D15" s="82" t="n">
        <x:v>24.7</x:v>
      </x:c>
      <x:c r="E15" s="82" t="n">
        <x:v>24.8</x:v>
      </x:c>
      <x:c r="F15" s="82" t="n">
        <x:v>25.4</x:v>
      </x:c>
      <x:c r="G15" s="82" t="n">
        <x:v>25.5</x:v>
      </x:c>
      <x:c r="H15" s="82" t="n">
        <x:v>25.5</x:v>
      </x:c>
      <x:c r="I15" s="82" t="n">
        <x:v>25.4</x:v>
      </x:c>
    </x:row>
    <x:row r="16">
      <x:c r="A16" s="72" t="n">
        <x:v>46240.840891203705</x:v>
      </x:c>
      <x:c r="B16" s="82" t="n">
        <x:v>24.8</x:v>
      </x:c>
      <x:c r="C16" s="82" t="n">
        <x:v>24.7</x:v>
      </x:c>
      <x:c r="D16" s="82" t="n">
        <x:v>24.7</x:v>
      </x:c>
      <x:c r="E16" s="82" t="n">
        <x:v>24.7</x:v>
      </x:c>
      <x:c r="F16" s="82" t="n">
        <x:v>25.3</x:v>
      </x:c>
      <x:c r="G16" s="82" t="n">
        <x:v>25.4</x:v>
      </x:c>
      <x:c r="H16" s="82" t="n">
        <x:v>25.6</x:v>
      </x:c>
      <x:c r="I16" s="82" t="n">
        <x:v>25.5</x:v>
      </x:c>
    </x:row>
    <x:row r="17">
      <x:c r="A17" s="72" t="n">
        <x:v>46240.844363425924</x:v>
      </x:c>
      <x:c r="B17" s="82" t="n">
        <x:v>24.9</x:v>
      </x:c>
      <x:c r="C17" s="82" t="n">
        <x:v>24.8</x:v>
      </x:c>
      <x:c r="D17" s="82" t="n">
        <x:v>24.6</x:v>
      </x:c>
      <x:c r="E17" s="82" t="n">
        <x:v>24.7</x:v>
      </x:c>
      <x:c r="F17" s="82" t="n">
        <x:v>25.2</x:v>
      </x:c>
      <x:c r="G17" s="82" t="n">
        <x:v>25.3</x:v>
      </x:c>
      <x:c r="H17" s="82" t="n">
        <x:v>25.6</x:v>
      </x:c>
      <x:c r="I17" s="82" t="n">
        <x:v>25.6</x:v>
      </x:c>
    </x:row>
    <x:row r="18">
      <x:c r="A18" s="72" t="n">
        <x:v>46240.84783564815</x:v>
      </x:c>
      <x:c r="B18" s="82" t="n">
        <x:v>25.1</x:v>
      </x:c>
      <x:c r="C18" s="82" t="n">
        <x:v>24.9</x:v>
      </x:c>
      <x:c r="D18" s="82" t="n">
        <x:v>24.6</x:v>
      </x:c>
      <x:c r="E18" s="82" t="n">
        <x:v>24.6</x:v>
      </x:c>
      <x:c r="F18" s="82" t="n">
        <x:v>25.1</x:v>
      </x:c>
      <x:c r="G18" s="82" t="n">
        <x:v>25.2</x:v>
      </x:c>
      <x:c r="H18" s="82" t="n">
        <x:v>25.6</x:v>
      </x:c>
      <x:c r="I18" s="82" t="n">
        <x:v>25.6</x:v>
      </x:c>
    </x:row>
    <x:row r="19">
      <x:c r="A19" s="72" t="n">
        <x:v>46240.85130787037</x:v>
      </x:c>
      <x:c r="B19" s="82" t="n">
        <x:v>25.2</x:v>
      </x:c>
      <x:c r="C19" s="82" t="n">
        <x:v>25.1</x:v>
      </x:c>
      <x:c r="D19" s="82" t="n">
        <x:v>24.6</x:v>
      </x:c>
      <x:c r="E19" s="82" t="n">
        <x:v>24.6</x:v>
      </x:c>
      <x:c r="F19" s="82" t="n">
        <x:v>24.9</x:v>
      </x:c>
      <x:c r="G19" s="82" t="n">
        <x:v>25.1</x:v>
      </x:c>
      <x:c r="H19" s="82" t="n">
        <x:v>25.6</x:v>
      </x:c>
      <x:c r="I19" s="82" t="n">
        <x:v>25.6</x:v>
      </x:c>
    </x:row>
    <x:row r="20">
      <x:c r="A20" s="72" t="n">
        <x:v>46240.854780092595</x:v>
      </x:c>
      <x:c r="B20" s="82" t="n">
        <x:v>25.3</x:v>
      </x:c>
      <x:c r="C20" s="82" t="n">
        <x:v>25.2</x:v>
      </x:c>
      <x:c r="D20" s="82" t="n">
        <x:v>24.7</x:v>
      </x:c>
      <x:c r="E20" s="82" t="n">
        <x:v>24.6</x:v>
      </x:c>
      <x:c r="F20" s="82" t="n">
        <x:v>24.8</x:v>
      </x:c>
      <x:c r="G20" s="82" t="n">
        <x:v>24.9</x:v>
      </x:c>
      <x:c r="H20" s="82" t="n">
        <x:v>25.5</x:v>
      </x:c>
      <x:c r="I20" s="82" t="n">
        <x:v>25.6</x:v>
      </x:c>
    </x:row>
    <x:row r="21">
      <x:c r="A21" s="72" t="n">
        <x:v>46240.858252314814</x:v>
      </x:c>
      <x:c r="B21" s="82" t="n">
        <x:v>25.4</x:v>
      </x:c>
      <x:c r="C21" s="82" t="n">
        <x:v>25.3</x:v>
      </x:c>
      <x:c r="D21" s="82" t="n">
        <x:v>24.7</x:v>
      </x:c>
      <x:c r="E21" s="82" t="n">
        <x:v>24.7</x:v>
      </x:c>
      <x:c r="F21" s="82" t="n">
        <x:v>24.7</x:v>
      </x:c>
      <x:c r="G21" s="82" t="n">
        <x:v>24.8</x:v>
      </x:c>
      <x:c r="H21" s="82" t="n">
        <x:v>25.4</x:v>
      </x:c>
      <x:c r="I21" s="82" t="n">
        <x:v>25.5</x:v>
      </x:c>
    </x:row>
    <x:row r="22">
      <x:c r="A22" s="72" t="n">
        <x:v>46240.86172453704</x:v>
      </x:c>
      <x:c r="B22" s="82" t="n">
        <x:v>25.5</x:v>
      </x:c>
      <x:c r="C22" s="82" t="n">
        <x:v>25.4</x:v>
      </x:c>
      <x:c r="D22" s="82" t="n">
        <x:v>24.8</x:v>
      </x:c>
      <x:c r="E22" s="82" t="n">
        <x:v>24.7</x:v>
      </x:c>
      <x:c r="F22" s="82" t="n">
        <x:v>24.7</x:v>
      </x:c>
      <x:c r="G22" s="82" t="n">
        <x:v>24.7</x:v>
      </x:c>
      <x:c r="H22" s="82" t="n">
        <x:v>25.3</x:v>
      </x:c>
      <x:c r="I22" s="82" t="n">
        <x:v>25.4</x:v>
      </x:c>
    </x:row>
    <x:row r="23">
      <x:c r="A23" s="72" t="n">
        <x:v>46240.86519675926</x:v>
      </x:c>
      <x:c r="B23" s="82" t="n">
        <x:v>25.6</x:v>
      </x:c>
      <x:c r="C23" s="82" t="n">
        <x:v>25.5</x:v>
      </x:c>
      <x:c r="D23" s="82" t="n">
        <x:v>24.9</x:v>
      </x:c>
      <x:c r="E23" s="82" t="n">
        <x:v>24.8</x:v>
      </x:c>
      <x:c r="F23" s="82" t="n">
        <x:v>24.6</x:v>
      </x:c>
      <x:c r="G23" s="82" t="n">
        <x:v>24.7</x:v>
      </x:c>
      <x:c r="H23" s="82" t="n">
        <x:v>25.2</x:v>
      </x:c>
      <x:c r="I23" s="82" t="n">
        <x:v>25.3</x:v>
      </x:c>
    </x:row>
    <x:row r="24">
      <x:c r="A24" s="72" t="n">
        <x:v>46240.86866898148</x:v>
      </x:c>
      <x:c r="B24" s="82" t="n">
        <x:v>25.6</x:v>
      </x:c>
      <x:c r="C24" s="82" t="n">
        <x:v>25.6</x:v>
      </x:c>
      <x:c r="D24" s="82" t="n">
        <x:v>25.1</x:v>
      </x:c>
      <x:c r="E24" s="82" t="n">
        <x:v>24.9</x:v>
      </x:c>
      <x:c r="F24" s="82" t="n">
        <x:v>24.6</x:v>
      </x:c>
      <x:c r="G24" s="82" t="n">
        <x:v>24.6</x:v>
      </x:c>
      <x:c r="H24" s="82" t="n">
        <x:v>25.1</x:v>
      </x:c>
      <x:c r="I24" s="82" t="n">
        <x:v>25.2</x:v>
      </x:c>
    </x:row>
    <x:row r="25">
      <x:c r="A25" s="72" t="n">
        <x:v>46240.872141203705</x:v>
      </x:c>
      <x:c r="B25" s="82" t="n">
        <x:v>25.6</x:v>
      </x:c>
      <x:c r="C25" s="82" t="n">
        <x:v>25.6</x:v>
      </x:c>
      <x:c r="D25" s="82" t="n">
        <x:v>25.2</x:v>
      </x:c>
      <x:c r="E25" s="82" t="n">
        <x:v>25.1</x:v>
      </x:c>
      <x:c r="F25" s="82" t="n">
        <x:v>24.6</x:v>
      </x:c>
      <x:c r="G25" s="82" t="n">
        <x:v>24.6</x:v>
      </x:c>
      <x:c r="H25" s="82" t="n">
        <x:v>24.9</x:v>
      </x:c>
      <x:c r="I25" s="82" t="n">
        <x:v>25.1</x:v>
      </x:c>
    </x:row>
    <x:row r="26">
      <x:c r="A26" s="72" t="n">
        <x:v>46240.875613425924</x:v>
      </x:c>
      <x:c r="B26" s="82" t="n">
        <x:v>25.6</x:v>
      </x:c>
      <x:c r="C26" s="82" t="n">
        <x:v>25.6</x:v>
      </x:c>
      <x:c r="D26" s="82" t="n">
        <x:v>25.3</x:v>
      </x:c>
      <x:c r="E26" s="82" t="n">
        <x:v>25.2</x:v>
      </x:c>
      <x:c r="F26" s="82" t="n">
        <x:v>24.7</x:v>
      </x:c>
      <x:c r="G26" s="82" t="n">
        <x:v>24.6</x:v>
      </x:c>
      <x:c r="H26" s="82" t="n">
        <x:v>24.8</x:v>
      </x:c>
      <x:c r="I26" s="82" t="n">
        <x:v>24.9</x:v>
      </x:c>
    </x:row>
    <x:row r="27">
      <x:c r="A27" s="72" t="n">
        <x:v>46240.87908564815</x:v>
      </x:c>
      <x:c r="B27" s="82" t="n">
        <x:v>25.5</x:v>
      </x:c>
      <x:c r="C27" s="82" t="n">
        <x:v>25.6</x:v>
      </x:c>
      <x:c r="D27" s="82" t="n">
        <x:v>25.4</x:v>
      </x:c>
      <x:c r="E27" s="82" t="n">
        <x:v>25.3</x:v>
      </x:c>
      <x:c r="F27" s="82" t="n">
        <x:v>24.7</x:v>
      </x:c>
      <x:c r="G27" s="82" t="n">
        <x:v>24.7</x:v>
      </x:c>
      <x:c r="H27" s="82" t="n">
        <x:v>24.7</x:v>
      </x:c>
      <x:c r="I27" s="82" t="n">
        <x:v>24.8</x:v>
      </x:c>
    </x:row>
    <x:row r="28">
      <x:c r="A28" s="72" t="n">
        <x:v>46240.88255787037</x:v>
      </x:c>
      <x:c r="B28" s="82" t="n">
        <x:v>25.4</x:v>
      </x:c>
      <x:c r="C28" s="82" t="n">
        <x:v>25.5</x:v>
      </x:c>
      <x:c r="D28" s="82" t="n">
        <x:v>25.5</x:v>
      </x:c>
      <x:c r="E28" s="82" t="n">
        <x:v>25.4</x:v>
      </x:c>
      <x:c r="F28" s="82" t="n">
        <x:v>24.8</x:v>
      </x:c>
      <x:c r="G28" s="82" t="n">
        <x:v>24.7</x:v>
      </x:c>
      <x:c r="H28" s="82" t="n">
        <x:v>24.7</x:v>
      </x:c>
      <x:c r="I28" s="82" t="n">
        <x:v>24.7</x:v>
      </x:c>
    </x:row>
    <x:row r="29">
      <x:c r="A29" s="72" t="n">
        <x:v>46240.886030092595</x:v>
      </x:c>
      <x:c r="B29" s="82" t="n">
        <x:v>25.3</x:v>
      </x:c>
      <x:c r="C29" s="82" t="n">
        <x:v>25.4</x:v>
      </x:c>
      <x:c r="D29" s="82" t="n">
        <x:v>25.6</x:v>
      </x:c>
      <x:c r="E29" s="82" t="n">
        <x:v>25.5</x:v>
      </x:c>
      <x:c r="F29" s="82" t="n">
        <x:v>24.9</x:v>
      </x:c>
      <x:c r="G29" s="82" t="n">
        <x:v>24.8</x:v>
      </x:c>
      <x:c r="H29" s="82" t="n">
        <x:v>24.6</x:v>
      </x:c>
      <x:c r="I29" s="82" t="n">
        <x:v>24.7</x:v>
      </x:c>
    </x:row>
    <x:row r="30">
      <x:c r="A30" s="72" t="n">
        <x:v>46240.889502314814</x:v>
      </x:c>
      <x:c r="B30" s="82" t="n">
        <x:v>25.2</x:v>
      </x:c>
      <x:c r="C30" s="82" t="n">
        <x:v>25.3</x:v>
      </x:c>
      <x:c r="D30" s="82" t="n">
        <x:v>25.6</x:v>
      </x:c>
      <x:c r="E30" s="82" t="n">
        <x:v>25.6</x:v>
      </x:c>
      <x:c r="F30" s="82" t="n">
        <x:v>25.1</x:v>
      </x:c>
      <x:c r="G30" s="82" t="n">
        <x:v>24.9</x:v>
      </x:c>
      <x:c r="H30" s="82" t="n">
        <x:v>24.6</x:v>
      </x:c>
      <x:c r="I30" s="82" t="n">
        <x:v>24.6</x:v>
      </x:c>
    </x:row>
    <x:row r="31">
      <x:c r="A31" s="72" t="n">
        <x:v>46240.89297453704</x:v>
      </x:c>
      <x:c r="B31" s="82" t="n">
        <x:v>25.1</x:v>
      </x:c>
      <x:c r="C31" s="82" t="n">
        <x:v>25.2</x:v>
      </x:c>
      <x:c r="D31" s="82" t="n">
        <x:v>25.6</x:v>
      </x:c>
      <x:c r="E31" s="82" t="n">
        <x:v>25.6</x:v>
      </x:c>
      <x:c r="F31" s="82" t="n">
        <x:v>25.2</x:v>
      </x:c>
      <x:c r="G31" s="82" t="n">
        <x:v>25.1</x:v>
      </x:c>
      <x:c r="H31" s="82" t="n">
        <x:v>24.6</x:v>
      </x:c>
      <x:c r="I31" s="82" t="n">
        <x:v>24.6</x:v>
      </x:c>
    </x:row>
    <x:row r="32">
      <x:c r="A32" s="72" t="n">
        <x:v>46240.89644675926</x:v>
      </x:c>
      <x:c r="B32" s="82" t="n">
        <x:v>25</x:v>
      </x:c>
      <x:c r="C32" s="82" t="n">
        <x:v>25.1</x:v>
      </x:c>
      <x:c r="D32" s="82" t="n">
        <x:v>25.6</x:v>
      </x:c>
      <x:c r="E32" s="82" t="n">
        <x:v>25.6</x:v>
      </x:c>
      <x:c r="F32" s="82" t="n">
        <x:v>25.3</x:v>
      </x:c>
      <x:c r="G32" s="82" t="n">
        <x:v>25.2</x:v>
      </x:c>
      <x:c r="H32" s="82" t="n">
        <x:v>24.7</x:v>
      </x:c>
      <x:c r="I32" s="82" t="n">
        <x:v>24.6</x:v>
      </x:c>
    </x:row>
    <x:row r="33">
      <x:c r="A33" s="72" t="n">
        <x:v>46240.89991898148</x:v>
      </x:c>
      <x:c r="B33" s="82" t="n">
        <x:v>24.8</x:v>
      </x:c>
      <x:c r="C33" s="82" t="n">
        <x:v>25</x:v>
      </x:c>
      <x:c r="D33" s="82" t="n">
        <x:v>25.5</x:v>
      </x:c>
      <x:c r="E33" s="82" t="n">
        <x:v>25.6</x:v>
      </x:c>
      <x:c r="F33" s="82" t="n">
        <x:v>25.4</x:v>
      </x:c>
      <x:c r="G33" s="82" t="n">
        <x:v>25.3</x:v>
      </x:c>
      <x:c r="H33" s="82" t="n">
        <x:v>24.7</x:v>
      </x:c>
      <x:c r="I33" s="82" t="n">
        <x:v>24.7</x:v>
      </x:c>
    </x:row>
    <x:row r="34">
      <x:c r="A34" s="72" t="n">
        <x:v>46240.903391203705</x:v>
      </x:c>
      <x:c r="B34" s="82" t="n">
        <x:v>24.7</x:v>
      </x:c>
      <x:c r="C34" s="82" t="n">
        <x:v>24.8</x:v>
      </x:c>
      <x:c r="D34" s="82" t="n">
        <x:v>25.4</x:v>
      </x:c>
      <x:c r="E34" s="82" t="n">
        <x:v>25.5</x:v>
      </x:c>
      <x:c r="F34" s="82" t="n">
        <x:v>25.5</x:v>
      </x:c>
      <x:c r="G34" s="82" t="n">
        <x:v>25.4</x:v>
      </x:c>
      <x:c r="H34" s="82" t="n">
        <x:v>24.8</x:v>
      </x:c>
      <x:c r="I34" s="82" t="n">
        <x:v>24.7</x:v>
      </x:c>
    </x:row>
    <x:row r="35">
      <x:c r="A35" s="72" t="n">
        <x:v>46240.906863425924</x:v>
      </x:c>
      <x:c r="B35" s="82" t="n">
        <x:v>24.7</x:v>
      </x:c>
      <x:c r="C35" s="82" t="n">
        <x:v>24.7</x:v>
      </x:c>
      <x:c r="D35" s="82" t="n">
        <x:v>25.3</x:v>
      </x:c>
      <x:c r="E35" s="82" t="n">
        <x:v>25.4</x:v>
      </x:c>
      <x:c r="F35" s="82" t="n">
        <x:v>25.6</x:v>
      </x:c>
      <x:c r="G35" s="82" t="n">
        <x:v>25.5</x:v>
      </x:c>
      <x:c r="H35" s="82" t="n">
        <x:v>24.9</x:v>
      </x:c>
      <x:c r="I35" s="82" t="n">
        <x:v>24.8</x:v>
      </x:c>
    </x:row>
    <x:row r="36">
      <x:c r="A36" s="72" t="n">
        <x:v>46240.91033564815</x:v>
      </x:c>
      <x:c r="B36" s="82" t="n">
        <x:v>24.6</x:v>
      </x:c>
      <x:c r="C36" s="82" t="n">
        <x:v>24.7</x:v>
      </x:c>
      <x:c r="D36" s="82" t="n">
        <x:v>25.2</x:v>
      </x:c>
      <x:c r="E36" s="82" t="n">
        <x:v>25.3</x:v>
      </x:c>
      <x:c r="F36" s="82" t="n">
        <x:v>25.6</x:v>
      </x:c>
      <x:c r="G36" s="82" t="n">
        <x:v>25.6</x:v>
      </x:c>
      <x:c r="H36" s="82" t="n">
        <x:v>25.1</x:v>
      </x:c>
      <x:c r="I36" s="82" t="n">
        <x:v>24.9</x:v>
      </x:c>
    </x:row>
    <x:row r="37">
      <x:c r="A37" s="72" t="n">
        <x:v>46240.91380787037</x:v>
      </x:c>
      <x:c r="B37" s="82" t="n">
        <x:v>24.6</x:v>
      </x:c>
      <x:c r="C37" s="82" t="n">
        <x:v>24.6</x:v>
      </x:c>
      <x:c r="D37" s="82" t="n">
        <x:v>25.1</x:v>
      </x:c>
      <x:c r="E37" s="82" t="n">
        <x:v>25.2</x:v>
      </x:c>
      <x:c r="F37" s="82" t="n">
        <x:v>25.6</x:v>
      </x:c>
      <x:c r="G37" s="82" t="n">
        <x:v>25.6</x:v>
      </x:c>
      <x:c r="H37" s="82" t="n">
        <x:v>25.2</x:v>
      </x:c>
      <x:c r="I37" s="82" t="n">
        <x:v>25.1</x:v>
      </x:c>
    </x:row>
    <x:row r="38">
      <x:c r="A38" s="72" t="n">
        <x:v>46240.917280092595</x:v>
      </x:c>
      <x:c r="B38" s="82" t="n">
        <x:v>24.6</x:v>
      </x:c>
      <x:c r="C38" s="82" t="n">
        <x:v>24.6</x:v>
      </x:c>
      <x:c r="D38" s="82" t="n">
        <x:v>25</x:v>
      </x:c>
      <x:c r="E38" s="82" t="n">
        <x:v>25.1</x:v>
      </x:c>
      <x:c r="F38" s="82" t="n">
        <x:v>25.6</x:v>
      </x:c>
      <x:c r="G38" s="82" t="n">
        <x:v>25.6</x:v>
      </x:c>
      <x:c r="H38" s="82" t="n">
        <x:v>25.3</x:v>
      </x:c>
      <x:c r="I38" s="82" t="n">
        <x:v>25.2</x:v>
      </x:c>
    </x:row>
    <x:row r="39">
      <x:c r="A39" s="72" t="n">
        <x:v>46240.920752314814</x:v>
      </x:c>
      <x:c r="B39" s="82" t="n">
        <x:v>24.7</x:v>
      </x:c>
      <x:c r="C39" s="82" t="n">
        <x:v>24.6</x:v>
      </x:c>
      <x:c r="D39" s="82" t="n">
        <x:v>24.8</x:v>
      </x:c>
      <x:c r="E39" s="82" t="n">
        <x:v>25</x:v>
      </x:c>
      <x:c r="F39" s="82" t="n">
        <x:v>25.5</x:v>
      </x:c>
      <x:c r="G39" s="82" t="n">
        <x:v>25.6</x:v>
      </x:c>
      <x:c r="H39" s="82" t="n">
        <x:v>25.4</x:v>
      </x:c>
      <x:c r="I39" s="82" t="n">
        <x:v>25.3</x:v>
      </x:c>
    </x:row>
    <x:row r="40">
      <x:c r="A40" s="72" t="n">
        <x:v>46240.92422453704</x:v>
      </x:c>
      <x:c r="B40" s="82" t="n">
        <x:v>24.7</x:v>
      </x:c>
      <x:c r="C40" s="82" t="n">
        <x:v>24.7</x:v>
      </x:c>
      <x:c r="D40" s="82" t="n">
        <x:v>24.7</x:v>
      </x:c>
      <x:c r="E40" s="82" t="n">
        <x:v>24.8</x:v>
      </x:c>
      <x:c r="F40" s="82" t="n">
        <x:v>25.4</x:v>
      </x:c>
      <x:c r="G40" s="82" t="n">
        <x:v>25.5</x:v>
      </x:c>
      <x:c r="H40" s="82" t="n">
        <x:v>25.5</x:v>
      </x:c>
      <x:c r="I40" s="82" t="n">
        <x:v>25.4</x:v>
      </x:c>
    </x:row>
    <x:row r="41">
      <x:c r="A41" s="72" t="n">
        <x:v>46240.92769675926</x:v>
      </x:c>
      <x:c r="B41" s="82" t="n">
        <x:v>24.8</x:v>
      </x:c>
      <x:c r="C41" s="82" t="n">
        <x:v>24.7</x:v>
      </x:c>
      <x:c r="D41" s="82" t="n">
        <x:v>24.7</x:v>
      </x:c>
      <x:c r="E41" s="82" t="n">
        <x:v>24.7</x:v>
      </x:c>
      <x:c r="F41" s="82" t="n">
        <x:v>25.3</x:v>
      </x:c>
      <x:c r="G41" s="82" t="n">
        <x:v>25.4</x:v>
      </x:c>
      <x:c r="H41" s="82" t="n">
        <x:v>25.6</x:v>
      </x:c>
      <x:c r="I41" s="82" t="n">
        <x:v>25.5</x:v>
      </x:c>
    </x:row>
    <x:row r="42">
      <x:c r="A42" s="72" t="n">
        <x:v>46240.93116898148</x:v>
      </x:c>
      <x:c r="B42" s="82" t="n">
        <x:v>24.9</x:v>
      </x:c>
      <x:c r="C42" s="82" t="n">
        <x:v>24.8</x:v>
      </x:c>
      <x:c r="D42" s="82" t="n">
        <x:v>24.6</x:v>
      </x:c>
      <x:c r="E42" s="82" t="n">
        <x:v>24.7</x:v>
      </x:c>
      <x:c r="F42" s="82" t="n">
        <x:v>25.2</x:v>
      </x:c>
      <x:c r="G42" s="82" t="n">
        <x:v>25.3</x:v>
      </x:c>
      <x:c r="H42" s="82" t="n">
        <x:v>25.6</x:v>
      </x:c>
      <x:c r="I42" s="82" t="n">
        <x:v>25.6</x:v>
      </x:c>
    </x:row>
    <x:row r="43">
      <x:c r="A43" s="72" t="n">
        <x:v>46240.934641203705</x:v>
      </x:c>
      <x:c r="B43" s="82" t="n">
        <x:v>25</x:v>
      </x:c>
      <x:c r="C43" s="82" t="n">
        <x:v>24.9</x:v>
      </x:c>
      <x:c r="D43" s="82" t="n">
        <x:v>24.6</x:v>
      </x:c>
      <x:c r="E43" s="82" t="n">
        <x:v>24.6</x:v>
      </x:c>
      <x:c r="F43" s="82" t="n">
        <x:v>25.1</x:v>
      </x:c>
      <x:c r="G43" s="82" t="n">
        <x:v>25.2</x:v>
      </x:c>
      <x:c r="H43" s="82" t="n">
        <x:v>25.6</x:v>
      </x:c>
      <x:c r="I43" s="82" t="n">
        <x:v>25.6</x:v>
      </x:c>
    </x:row>
    <x:row r="44">
      <x:c r="A44" s="72" t="n">
        <x:v>46240.938113425924</x:v>
      </x:c>
      <x:c r="B44" s="82" t="n">
        <x:v>25.2</x:v>
      </x:c>
      <x:c r="C44" s="82" t="n">
        <x:v>25</x:v>
      </x:c>
      <x:c r="D44" s="82" t="n">
        <x:v>24.6</x:v>
      </x:c>
      <x:c r="E44" s="82" t="n">
        <x:v>24.6</x:v>
      </x:c>
      <x:c r="F44" s="82" t="n">
        <x:v>25</x:v>
      </x:c>
      <x:c r="G44" s="82" t="n">
        <x:v>25.1</x:v>
      </x:c>
      <x:c r="H44" s="82" t="n">
        <x:v>25.6</x:v>
      </x:c>
      <x:c r="I44" s="82" t="n">
        <x:v>25.6</x:v>
      </x:c>
    </x:row>
    <x:row r="45">
      <x:c r="A45" s="72" t="n">
        <x:v>46240.94158564815</x:v>
      </x:c>
      <x:c r="B45" s="82" t="n">
        <x:v>25.3</x:v>
      </x:c>
      <x:c r="C45" s="82" t="n">
        <x:v>25.2</x:v>
      </x:c>
      <x:c r="D45" s="82" t="n">
        <x:v>24.7</x:v>
      </x:c>
      <x:c r="E45" s="82" t="n">
        <x:v>24.6</x:v>
      </x:c>
      <x:c r="F45" s="82" t="n">
        <x:v>24.8</x:v>
      </x:c>
      <x:c r="G45" s="82" t="n">
        <x:v>25</x:v>
      </x:c>
      <x:c r="H45" s="82" t="n">
        <x:v>25.5</x:v>
      </x:c>
      <x:c r="I45" s="82" t="n">
        <x:v>25.6</x:v>
      </x:c>
    </x:row>
    <x:row r="46">
      <x:c r="A46" s="72" t="n">
        <x:v>46240.94505787037</x:v>
      </x:c>
      <x:c r="B46" s="82" t="n">
        <x:v>25.4</x:v>
      </x:c>
      <x:c r="C46" s="82" t="n">
        <x:v>25.3</x:v>
      </x:c>
      <x:c r="D46" s="82" t="n">
        <x:v>24.7</x:v>
      </x:c>
      <x:c r="E46" s="82" t="n">
        <x:v>24.7</x:v>
      </x:c>
      <x:c r="F46" s="82" t="n">
        <x:v>24.7</x:v>
      </x:c>
      <x:c r="G46" s="82" t="n">
        <x:v>24.8</x:v>
      </x:c>
      <x:c r="H46" s="82" t="n">
        <x:v>25.4</x:v>
      </x:c>
      <x:c r="I46" s="82" t="n">
        <x:v>25.5</x:v>
      </x:c>
    </x:row>
    <x:row r="47">
      <x:c r="A47" s="72" t="n">
        <x:v>46240.948530092595</x:v>
      </x:c>
      <x:c r="B47" s="82" t="n">
        <x:v>25.5</x:v>
      </x:c>
      <x:c r="C47" s="82" t="n">
        <x:v>25.4</x:v>
      </x:c>
      <x:c r="D47" s="82" t="n">
        <x:v>24.8</x:v>
      </x:c>
      <x:c r="E47" s="82" t="n">
        <x:v>24.7</x:v>
      </x:c>
      <x:c r="F47" s="82" t="n">
        <x:v>24.7</x:v>
      </x:c>
      <x:c r="G47" s="82" t="n">
        <x:v>24.7</x:v>
      </x:c>
      <x:c r="H47" s="82" t="n">
        <x:v>25.3</x:v>
      </x:c>
      <x:c r="I47" s="82" t="n">
        <x:v>25.4</x:v>
      </x:c>
    </x:row>
    <x:row r="48">
      <x:c r="A48" s="72" t="n">
        <x:v>46240.952002314814</x:v>
      </x:c>
      <x:c r="B48" s="82" t="n">
        <x:v>25.6</x:v>
      </x:c>
      <x:c r="C48" s="82" t="n">
        <x:v>25.5</x:v>
      </x:c>
      <x:c r="D48" s="82" t="n">
        <x:v>24.9</x:v>
      </x:c>
      <x:c r="E48" s="82" t="n">
        <x:v>24.8</x:v>
      </x:c>
      <x:c r="F48" s="82" t="n">
        <x:v>24.6</x:v>
      </x:c>
      <x:c r="G48" s="82" t="n">
        <x:v>24.7</x:v>
      </x:c>
      <x:c r="H48" s="82" t="n">
        <x:v>25.2</x:v>
      </x:c>
      <x:c r="I48" s="82" t="n">
        <x:v>25.3</x:v>
      </x:c>
    </x:row>
    <x:row r="49">
      <x:c r="A49" s="72" t="n">
        <x:v>46240.95547453704</x:v>
      </x:c>
      <x:c r="B49" s="82" t="n">
        <x:v>25.6</x:v>
      </x:c>
      <x:c r="C49" s="82" t="n">
        <x:v>25.6</x:v>
      </x:c>
      <x:c r="D49" s="82" t="n">
        <x:v>25</x:v>
      </x:c>
      <x:c r="E49" s="82" t="n">
        <x:v>24.9</x:v>
      </x:c>
      <x:c r="F49" s="82" t="n">
        <x:v>24.6</x:v>
      </x:c>
      <x:c r="G49" s="82" t="n">
        <x:v>24.6</x:v>
      </x:c>
      <x:c r="H49" s="82" t="n">
        <x:v>25.1</x:v>
      </x:c>
      <x:c r="I49" s="82" t="n">
        <x:v>25.2</x:v>
      </x:c>
    </x:row>
    <x:row r="50">
      <x:c r="A50" s="72" t="n">
        <x:v>46240.95894675926</x:v>
      </x:c>
      <x:c r="B50" s="82" t="n">
        <x:v>25.6</x:v>
      </x:c>
      <x:c r="C50" s="82" t="n">
        <x:v>25.6</x:v>
      </x:c>
      <x:c r="D50" s="82" t="n">
        <x:v>25.2</x:v>
      </x:c>
      <x:c r="E50" s="82" t="n">
        <x:v>25</x:v>
      </x:c>
      <x:c r="F50" s="82" t="n">
        <x:v>24.6</x:v>
      </x:c>
      <x:c r="G50" s="82" t="n">
        <x:v>24.6</x:v>
      </x:c>
      <x:c r="H50" s="82" t="n">
        <x:v>25</x:v>
      </x:c>
      <x:c r="I50" s="82" t="n">
        <x:v>25.1</x:v>
      </x:c>
    </x:row>
    <x:row r="51">
      <x:c r="A51" s="72" t="n">
        <x:v>46240.96241898148</x:v>
      </x:c>
      <x:c r="B51" s="82" t="n">
        <x:v>25.6</x:v>
      </x:c>
      <x:c r="C51" s="82" t="n">
        <x:v>25.6</x:v>
      </x:c>
      <x:c r="D51" s="82" t="n">
        <x:v>25.3</x:v>
      </x:c>
      <x:c r="E51" s="82" t="n">
        <x:v>25.2</x:v>
      </x:c>
      <x:c r="F51" s="82" t="n">
        <x:v>24.7</x:v>
      </x:c>
      <x:c r="G51" s="82" t="n">
        <x:v>24.6</x:v>
      </x:c>
      <x:c r="H51" s="82" t="n">
        <x:v>24.8</x:v>
      </x:c>
      <x:c r="I51" s="82" t="n">
        <x:v>25</x:v>
      </x:c>
    </x:row>
    <x:row r="52">
      <x:c r="A52" s="72" t="n">
        <x:v>46240.965891203705</x:v>
      </x:c>
      <x:c r="B52" s="82" t="n">
        <x:v>25.5</x:v>
      </x:c>
      <x:c r="C52" s="82" t="n">
        <x:v>25.6</x:v>
      </x:c>
      <x:c r="D52" s="82" t="n">
        <x:v>25.4</x:v>
      </x:c>
      <x:c r="E52" s="82" t="n">
        <x:v>25.3</x:v>
      </x:c>
      <x:c r="F52" s="82" t="n">
        <x:v>24.7</x:v>
      </x:c>
      <x:c r="G52" s="82" t="n">
        <x:v>24.7</x:v>
      </x:c>
      <x:c r="H52" s="82" t="n">
        <x:v>24.7</x:v>
      </x:c>
      <x:c r="I52" s="82" t="n">
        <x:v>24.8</x:v>
      </x:c>
    </x:row>
    <x:row r="53">
      <x:c r="A53" s="73" t="n">
        <x:v>46240.969363425924</x:v>
      </x:c>
      <x:c r="B53" s="83" t="n">
        <x:v>25.4</x:v>
      </x:c>
      <x:c r="C53" s="83" t="n">
        <x:v>25.5</x:v>
      </x:c>
      <x:c r="D53" s="83" t="n">
        <x:v>25.5</x:v>
      </x:c>
      <x:c r="E53" s="83" t="n">
        <x:v>25.4</x:v>
      </x:c>
      <x:c r="F53" s="83" t="n">
        <x:v>24.8</x:v>
      </x:c>
      <x:c r="G53" s="83" t="n">
        <x:v>24.7</x:v>
      </x:c>
      <x:c r="H53" s="83" t="n">
        <x:v>24.7</x:v>
      </x:c>
      <x:c r="I53" s="83" t="n">
        <x:v>24.7</x:v>
      </x:c>
    </x:row>
  </x:sheetData>
  <x:mergeCells>
    <x:mergeCell ref="A1:I1"/>
    <x:mergeCell ref="A2:I2"/>
  </x:mergeCells>
  <x:conditionalFormatting sqref="B5:I53">
    <x:cfRule type="expression" dxfId="7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ad1ca0aceb3d45d0"/>
</x:worksheet>
</file>

<file path=xl/worksheets/sheet1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W1处理：土壤EC随时间变化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排列。单位：μS/cm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05" t="str">
        <x:v>采集时间</x:v>
      </x:c>
      <x:c r="B4" s="106" t="str">
        <x:v>B1-W1-V1（P03）</x:v>
      </x:c>
      <x:c r="C4" s="106" t="str">
        <x:v>B1-W1-V2（P04）</x:v>
      </x:c>
      <x:c r="D4" s="106" t="str">
        <x:v>B2-W1-V1（P09）</x:v>
      </x:c>
      <x:c r="E4" s="106" t="str">
        <x:v>B2-W1-V2（P10）</x:v>
      </x:c>
      <x:c r="F4" s="106" t="str">
        <x:v>B3-W1-V1（P15）</x:v>
      </x:c>
      <x:c r="G4" s="106" t="str">
        <x:v>B3-W1-V2（P16）</x:v>
      </x:c>
      <x:c r="H4" s="106" t="str">
        <x:v>B4-W1-V1（P21）</x:v>
      </x:c>
      <x:c r="I4" s="107" t="str">
        <x:v>B4-W1-V2（P22）</x:v>
      </x:c>
    </x:row>
    <x:row r="5">
      <x:c r="A5" s="72" t="n">
        <x:v>46240.80269675926</x:v>
      </x:c>
      <x:c r="B5" s="86" t="n">
        <x:v>822</x:v>
      </x:c>
      <x:c r="C5" s="86" t="n">
        <x:v>843</x:v>
      </x:c>
      <x:c r="D5" s="86" t="n">
        <x:v>923</x:v>
      </x:c>
      <x:c r="E5" s="86" t="n">
        <x:v>933</x:v>
      </x:c>
      <x:c r="F5" s="86" t="n">
        <x:v>959</x:v>
      </x:c>
      <x:c r="G5" s="86" t="n">
        <x:v>962</x:v>
      </x:c>
      <x:c r="H5" s="86" t="n">
        <x:v>997</x:v>
      </x:c>
      <x:c r="I5" s="86" t="n">
        <x:v>1010</x:v>
      </x:c>
    </x:row>
    <x:row r="6">
      <x:c r="A6" s="72" t="n">
        <x:v>46240.80616898148</x:v>
      </x:c>
      <x:c r="B6" s="86" t="n">
        <x:v>814</x:v>
      </x:c>
      <x:c r="C6" s="86" t="n">
        <x:v>834</x:v>
      </x:c>
      <x:c r="D6" s="86" t="n">
        <x:v>923</x:v>
      </x:c>
      <x:c r="E6" s="86" t="n">
        <x:v>935</x:v>
      </x:c>
      <x:c r="F6" s="86" t="n">
        <x:v>967</x:v>
      </x:c>
      <x:c r="G6" s="86" t="n">
        <x:v>971</x:v>
      </x:c>
      <x:c r="H6" s="86" t="n">
        <x:v>998</x:v>
      </x:c>
      <x:c r="I6" s="86" t="n">
        <x:v>1009</x:v>
      </x:c>
    </x:row>
    <x:row r="7">
      <x:c r="A7" s="72" t="n">
        <x:v>46240.809641203705</x:v>
      </x:c>
      <x:c r="B7" s="86" t="n">
        <x:v>805</x:v>
      </x:c>
      <x:c r="C7" s="86" t="n">
        <x:v>826</x:v>
      </x:c>
      <x:c r="D7" s="86" t="n">
        <x:v>920</x:v>
      </x:c>
      <x:c r="E7" s="86" t="n">
        <x:v>935</x:v>
      </x:c>
      <x:c r="F7" s="86" t="n">
        <x:v>975</x:v>
      </x:c>
      <x:c r="G7" s="86" t="n">
        <x:v>979</x:v>
      </x:c>
      <x:c r="H7" s="86" t="n">
        <x:v>1002</x:v>
      </x:c>
      <x:c r="I7" s="86" t="n">
        <x:v>1010</x:v>
      </x:c>
    </x:row>
    <x:row r="8">
      <x:c r="A8" s="72" t="n">
        <x:v>46240.813113425924</x:v>
      </x:c>
      <x:c r="B8" s="86" t="n">
        <x:v>797</x:v>
      </x:c>
      <x:c r="C8" s="86" t="n">
        <x:v>817</x:v>
      </x:c>
      <x:c r="D8" s="86" t="n">
        <x:v>916</x:v>
      </x:c>
      <x:c r="E8" s="86" t="n">
        <x:v>932</x:v>
      </x:c>
      <x:c r="F8" s="86" t="n">
        <x:v>983</x:v>
      </x:c>
      <x:c r="G8" s="86" t="n">
        <x:v>987</x:v>
      </x:c>
      <x:c r="H8" s="86" t="n">
        <x:v>1007</x:v>
      </x:c>
      <x:c r="I8" s="86" t="n">
        <x:v>1014</x:v>
      </x:c>
    </x:row>
    <x:row r="9">
      <x:c r="A9" s="72" t="n">
        <x:v>46240.81658564815</x:v>
      </x:c>
      <x:c r="B9" s="86" t="n">
        <x:v>790</x:v>
      </x:c>
      <x:c r="C9" s="86" t="n">
        <x:v>809</x:v>
      </x:c>
      <x:c r="D9" s="86" t="n">
        <x:v>910</x:v>
      </x:c>
      <x:c r="E9" s="86" t="n">
        <x:v>928</x:v>
      </x:c>
      <x:c r="F9" s="86" t="n">
        <x:v>989</x:v>
      </x:c>
      <x:c r="G9" s="86" t="n">
        <x:v>995</x:v>
      </x:c>
      <x:c r="H9" s="86" t="n">
        <x:v>1014</x:v>
      </x:c>
      <x:c r="I9" s="86" t="n">
        <x:v>1019</x:v>
      </x:c>
    </x:row>
    <x:row r="10">
      <x:c r="A10" s="72" t="n">
        <x:v>46240.82005787037</x:v>
      </x:c>
      <x:c r="B10" s="86" t="n">
        <x:v>785</x:v>
      </x:c>
      <x:c r="C10" s="86" t="n">
        <x:v>802</x:v>
      </x:c>
      <x:c r="D10" s="86" t="n">
        <x:v>903</x:v>
      </x:c>
      <x:c r="E10" s="86" t="n">
        <x:v>922</x:v>
      </x:c>
      <x:c r="F10" s="86" t="n">
        <x:v>993</x:v>
      </x:c>
      <x:c r="G10" s="86" t="n">
        <x:v>1001</x:v>
      </x:c>
      <x:c r="H10" s="86" t="n">
        <x:v>1022</x:v>
      </x:c>
      <x:c r="I10" s="86" t="n">
        <x:v>1026</x:v>
      </x:c>
    </x:row>
    <x:row r="11">
      <x:c r="A11" s="72" t="n">
        <x:v>46240.823530092595</x:v>
      </x:c>
      <x:c r="B11" s="86" t="n">
        <x:v>782</x:v>
      </x:c>
      <x:c r="C11" s="86" t="n">
        <x:v>797</x:v>
      </x:c>
      <x:c r="D11" s="86" t="n">
        <x:v>894</x:v>
      </x:c>
      <x:c r="E11" s="86" t="n">
        <x:v>915</x:v>
      </x:c>
      <x:c r="F11" s="86" t="n">
        <x:v>995</x:v>
      </x:c>
      <x:c r="G11" s="86" t="n">
        <x:v>1005</x:v>
      </x:c>
      <x:c r="H11" s="86" t="n">
        <x:v>1031</x:v>
      </x:c>
      <x:c r="I11" s="86" t="n">
        <x:v>1034</x:v>
      </x:c>
    </x:row>
    <x:row r="12">
      <x:c r="A12" s="72" t="n">
        <x:v>46240.827002314814</x:v>
      </x:c>
      <x:c r="B12" s="86" t="n">
        <x:v>781</x:v>
      </x:c>
      <x:c r="C12" s="86" t="n">
        <x:v>794</x:v>
      </x:c>
      <x:c r="D12" s="86" t="n">
        <x:v>886</x:v>
      </x:c>
      <x:c r="E12" s="86" t="n">
        <x:v>906</x:v>
      </x:c>
      <x:c r="F12" s="86" t="n">
        <x:v>995</x:v>
      </x:c>
      <x:c r="G12" s="86" t="n">
        <x:v>1007</x:v>
      </x:c>
      <x:c r="H12" s="86" t="n">
        <x:v>1039</x:v>
      </x:c>
      <x:c r="I12" s="86" t="n">
        <x:v>1043</x:v>
      </x:c>
    </x:row>
    <x:row r="13">
      <x:c r="A13" s="72" t="n">
        <x:v>46240.83047453704</x:v>
      </x:c>
      <x:c r="B13" s="86" t="n">
        <x:v>782</x:v>
      </x:c>
      <x:c r="C13" s="86" t="n">
        <x:v>793</x:v>
      </x:c>
      <x:c r="D13" s="86" t="n">
        <x:v>877</x:v>
      </x:c>
      <x:c r="E13" s="86" t="n">
        <x:v>898</x:v>
      </x:c>
      <x:c r="F13" s="86" t="n">
        <x:v>992</x:v>
      </x:c>
      <x:c r="G13" s="86" t="n">
        <x:v>1007</x:v>
      </x:c>
      <x:c r="H13" s="86" t="n">
        <x:v>1047</x:v>
      </x:c>
      <x:c r="I13" s="86" t="n">
        <x:v>1051</x:v>
      </x:c>
    </x:row>
    <x:row r="14">
      <x:c r="A14" s="72" t="n">
        <x:v>46240.83394675926</x:v>
      </x:c>
      <x:c r="B14" s="86" t="n">
        <x:v>785</x:v>
      </x:c>
      <x:c r="C14" s="86" t="n">
        <x:v>794</x:v>
      </x:c>
      <x:c r="D14" s="86" t="n">
        <x:v>869</x:v>
      </x:c>
      <x:c r="E14" s="86" t="n">
        <x:v>889</x:v>
      </x:c>
      <x:c r="F14" s="86" t="n">
        <x:v>988</x:v>
      </x:c>
      <x:c r="G14" s="86" t="n">
        <x:v>1004</x:v>
      </x:c>
      <x:c r="H14" s="86" t="n">
        <x:v>1055</x:v>
      </x:c>
      <x:c r="I14" s="86" t="n">
        <x:v>1059</x:v>
      </x:c>
    </x:row>
    <x:row r="15">
      <x:c r="A15" s="72" t="n">
        <x:v>46240.83741898148</x:v>
      </x:c>
      <x:c r="B15" s="86" t="n">
        <x:v>790</x:v>
      </x:c>
      <x:c r="C15" s="86" t="n">
        <x:v>797</x:v>
      </x:c>
      <x:c r="D15" s="86" t="n">
        <x:v>862</x:v>
      </x:c>
      <x:c r="E15" s="86" t="n">
        <x:v>881</x:v>
      </x:c>
      <x:c r="F15" s="86" t="n">
        <x:v>982</x:v>
      </x:c>
      <x:c r="G15" s="86" t="n">
        <x:v>1000</x:v>
      </x:c>
      <x:c r="H15" s="86" t="n">
        <x:v>1061</x:v>
      </x:c>
      <x:c r="I15" s="86" t="n">
        <x:v>1067</x:v>
      </x:c>
    </x:row>
    <x:row r="16">
      <x:c r="A16" s="72" t="n">
        <x:v>46240.840891203705</x:v>
      </x:c>
      <x:c r="B16" s="86" t="n">
        <x:v>797</x:v>
      </x:c>
      <x:c r="C16" s="86" t="n">
        <x:v>802</x:v>
      </x:c>
      <x:c r="D16" s="86" t="n">
        <x:v>857</x:v>
      </x:c>
      <x:c r="E16" s="86" t="n">
        <x:v>874</x:v>
      </x:c>
      <x:c r="F16" s="86" t="n">
        <x:v>975</x:v>
      </x:c>
      <x:c r="G16" s="86" t="n">
        <x:v>994</x:v>
      </x:c>
      <x:c r="H16" s="86" t="n">
        <x:v>1065</x:v>
      </x:c>
      <x:c r="I16" s="86" t="n">
        <x:v>1073</x:v>
      </x:c>
    </x:row>
    <x:row r="17">
      <x:c r="A17" s="72" t="n">
        <x:v>46240.844363425924</x:v>
      </x:c>
      <x:c r="B17" s="86" t="n">
        <x:v>805</x:v>
      </x:c>
      <x:c r="C17" s="86" t="n">
        <x:v>809</x:v>
      </x:c>
      <x:c r="D17" s="86" t="n">
        <x:v>854</x:v>
      </x:c>
      <x:c r="E17" s="86" t="n">
        <x:v>869</x:v>
      </x:c>
      <x:c r="F17" s="86" t="n">
        <x:v>966</x:v>
      </x:c>
      <x:c r="G17" s="86" t="n">
        <x:v>987</x:v>
      </x:c>
      <x:c r="H17" s="86" t="n">
        <x:v>1067</x:v>
      </x:c>
      <x:c r="I17" s="86" t="n">
        <x:v>1077</x:v>
      </x:c>
    </x:row>
    <x:row r="18">
      <x:c r="A18" s="72" t="n">
        <x:v>46240.84783564815</x:v>
      </x:c>
      <x:c r="B18" s="86" t="n">
        <x:v>813</x:v>
      </x:c>
      <x:c r="C18" s="86" t="n">
        <x:v>817</x:v>
      </x:c>
      <x:c r="D18" s="86" t="n">
        <x:v>853</x:v>
      </x:c>
      <x:c r="E18" s="86" t="n">
        <x:v>866</x:v>
      </x:c>
      <x:c r="F18" s="86" t="n">
        <x:v>958</x:v>
      </x:c>
      <x:c r="G18" s="86" t="n">
        <x:v>978</x:v>
      </x:c>
      <x:c r="H18" s="86" t="n">
        <x:v>1067</x:v>
      </x:c>
      <x:c r="I18" s="86" t="n">
        <x:v>1079</x:v>
      </x:c>
    </x:row>
    <x:row r="19">
      <x:c r="A19" s="72" t="n">
        <x:v>46240.85130787037</x:v>
      </x:c>
      <x:c r="B19" s="86" t="n">
        <x:v>822</x:v>
      </x:c>
      <x:c r="C19" s="86" t="n">
        <x:v>825</x:v>
      </x:c>
      <x:c r="D19" s="86" t="n">
        <x:v>854</x:v>
      </x:c>
      <x:c r="E19" s="86" t="n">
        <x:v>865</x:v>
      </x:c>
      <x:c r="F19" s="86" t="n">
        <x:v>949</x:v>
      </x:c>
      <x:c r="G19" s="86" t="n">
        <x:v>970</x:v>
      </x:c>
      <x:c r="H19" s="86" t="n">
        <x:v>1064</x:v>
      </x:c>
      <x:c r="I19" s="86" t="n">
        <x:v>1079</x:v>
      </x:c>
    </x:row>
    <x:row r="20">
      <x:c r="A20" s="72" t="n">
        <x:v>46240.854780092595</x:v>
      </x:c>
      <x:c r="B20" s="86" t="n">
        <x:v>830</x:v>
      </x:c>
      <x:c r="C20" s="86" t="n">
        <x:v>834</x:v>
      </x:c>
      <x:c r="D20" s="86" t="n">
        <x:v>857</x:v>
      </x:c>
      <x:c r="E20" s="86" t="n">
        <x:v>866</x:v>
      </x:c>
      <x:c r="F20" s="86" t="n">
        <x:v>941</x:v>
      </x:c>
      <x:c r="G20" s="86" t="n">
        <x:v>961</x:v>
      </x:c>
      <x:c r="H20" s="86" t="n">
        <x:v>1060</x:v>
      </x:c>
      <x:c r="I20" s="86" t="n">
        <x:v>1076</x:v>
      </x:c>
    </x:row>
    <x:row r="21">
      <x:c r="A21" s="72" t="n">
        <x:v>46240.858252314814</x:v>
      </x:c>
      <x:c r="B21" s="86" t="n">
        <x:v>838</x:v>
      </x:c>
      <x:c r="C21" s="86" t="n">
        <x:v>842</x:v>
      </x:c>
      <x:c r="D21" s="86" t="n">
        <x:v>862</x:v>
      </x:c>
      <x:c r="E21" s="86" t="n">
        <x:v>869</x:v>
      </x:c>
      <x:c r="F21" s="86" t="n">
        <x:v>934</x:v>
      </x:c>
      <x:c r="G21" s="86" t="n">
        <x:v>953</x:v>
      </x:c>
      <x:c r="H21" s="86" t="n">
        <x:v>1054</x:v>
      </x:c>
      <x:c r="I21" s="86" t="n">
        <x:v>1072</x:v>
      </x:c>
    </x:row>
    <x:row r="22">
      <x:c r="A22" s="72" t="n">
        <x:v>46240.86172453704</x:v>
      </x:c>
      <x:c r="B22" s="86" t="n">
        <x:v>844</x:v>
      </x:c>
      <x:c r="C22" s="86" t="n">
        <x:v>850</x:v>
      </x:c>
      <x:c r="D22" s="86" t="n">
        <x:v>869</x:v>
      </x:c>
      <x:c r="E22" s="86" t="n">
        <x:v>874</x:v>
      </x:c>
      <x:c r="F22" s="86" t="n">
        <x:v>929</x:v>
      </x:c>
      <x:c r="G22" s="86" t="n">
        <x:v>946</x:v>
      </x:c>
      <x:c r="H22" s="86" t="n">
        <x:v>1047</x:v>
      </x:c>
      <x:c r="I22" s="86" t="n">
        <x:v>1066</x:v>
      </x:c>
    </x:row>
    <x:row r="23">
      <x:c r="A23" s="72" t="n">
        <x:v>46240.86519675926</x:v>
      </x:c>
      <x:c r="B23" s="86" t="n">
        <x:v>848</x:v>
      </x:c>
      <x:c r="C23" s="86" t="n">
        <x:v>856</x:v>
      </x:c>
      <x:c r="D23" s="86" t="n">
        <x:v>877</x:v>
      </x:c>
      <x:c r="E23" s="86" t="n">
        <x:v>881</x:v>
      </x:c>
      <x:c r="F23" s="86" t="n">
        <x:v>926</x:v>
      </x:c>
      <x:c r="G23" s="86" t="n">
        <x:v>941</x:v>
      </x:c>
      <x:c r="H23" s="86" t="n">
        <x:v>1038</x:v>
      </x:c>
      <x:c r="I23" s="86" t="n">
        <x:v>1059</x:v>
      </x:c>
    </x:row>
    <x:row r="24">
      <x:c r="A24" s="72" t="n">
        <x:v>46240.86866898148</x:v>
      </x:c>
      <x:c r="B24" s="86" t="n">
        <x:v>851</x:v>
      </x:c>
      <x:c r="C24" s="86" t="n">
        <x:v>860</x:v>
      </x:c>
      <x:c r="D24" s="86" t="n">
        <x:v>885</x:v>
      </x:c>
      <x:c r="E24" s="86" t="n">
        <x:v>889</x:v>
      </x:c>
      <x:c r="F24" s="86" t="n">
        <x:v>925</x:v>
      </x:c>
      <x:c r="G24" s="86" t="n">
        <x:v>938</x:v>
      </x:c>
      <x:c r="H24" s="86" t="n">
        <x:v>1030</x:v>
      </x:c>
      <x:c r="I24" s="86" t="n">
        <x:v>1050</x:v>
      </x:c>
    </x:row>
    <x:row r="25">
      <x:c r="A25" s="72" t="n">
        <x:v>46240.872141203705</x:v>
      </x:c>
      <x:c r="B25" s="86" t="n">
        <x:v>851</x:v>
      </x:c>
      <x:c r="C25" s="86" t="n">
        <x:v>863</x:v>
      </x:c>
      <x:c r="D25" s="86" t="n">
        <x:v>894</x:v>
      </x:c>
      <x:c r="E25" s="86" t="n">
        <x:v>897</x:v>
      </x:c>
      <x:c r="F25" s="86" t="n">
        <x:v>926</x:v>
      </x:c>
      <x:c r="G25" s="86" t="n">
        <x:v>937</x:v>
      </x:c>
      <x:c r="H25" s="86" t="n">
        <x:v>1021</x:v>
      </x:c>
      <x:c r="I25" s="86" t="n">
        <x:v>1042</x:v>
      </x:c>
    </x:row>
    <x:row r="26">
      <x:c r="A26" s="72" t="n">
        <x:v>46240.875613425924</x:v>
      </x:c>
      <x:c r="B26" s="86" t="n">
        <x:v>849</x:v>
      </x:c>
      <x:c r="C26" s="86" t="n">
        <x:v>863</x:v>
      </x:c>
      <x:c r="D26" s="86" t="n">
        <x:v>902</x:v>
      </x:c>
      <x:c r="E26" s="86" t="n">
        <x:v>906</x:v>
      </x:c>
      <x:c r="F26" s="86" t="n">
        <x:v>929</x:v>
      </x:c>
      <x:c r="G26" s="86" t="n">
        <x:v>938</x:v>
      </x:c>
      <x:c r="H26" s="86" t="n">
        <x:v>1013</x:v>
      </x:c>
      <x:c r="I26" s="86" t="n">
        <x:v>1033</x:v>
      </x:c>
    </x:row>
    <x:row r="27">
      <x:c r="A27" s="72" t="n">
        <x:v>46240.87908564815</x:v>
      </x:c>
      <x:c r="B27" s="86" t="n">
        <x:v>845</x:v>
      </x:c>
      <x:c r="C27" s="86" t="n">
        <x:v>861</x:v>
      </x:c>
      <x:c r="D27" s="86" t="n">
        <x:v>910</x:v>
      </x:c>
      <x:c r="E27" s="86" t="n">
        <x:v>914</x:v>
      </x:c>
      <x:c r="F27" s="86" t="n">
        <x:v>934</x:v>
      </x:c>
      <x:c r="G27" s="86" t="n">
        <x:v>941</x:v>
      </x:c>
      <x:c r="H27" s="86" t="n">
        <x:v>1006</x:v>
      </x:c>
      <x:c r="I27" s="86" t="n">
        <x:v>1025</x:v>
      </x:c>
    </x:row>
    <x:row r="28">
      <x:c r="A28" s="72" t="n">
        <x:v>46240.88255787037</x:v>
      </x:c>
      <x:c r="B28" s="86" t="n">
        <x:v>839</x:v>
      </x:c>
      <x:c r="C28" s="86" t="n">
        <x:v>857</x:v>
      </x:c>
      <x:c r="D28" s="86" t="n">
        <x:v>916</x:v>
      </x:c>
      <x:c r="E28" s="86" t="n">
        <x:v>922</x:v>
      </x:c>
      <x:c r="F28" s="86" t="n">
        <x:v>941</x:v>
      </x:c>
      <x:c r="G28" s="86" t="n">
        <x:v>946</x:v>
      </x:c>
      <x:c r="H28" s="86" t="n">
        <x:v>1001</x:v>
      </x:c>
      <x:c r="I28" s="86" t="n">
        <x:v>1018</x:v>
      </x:c>
    </x:row>
    <x:row r="29">
      <x:c r="A29" s="72" t="n">
        <x:v>46240.886030092595</x:v>
      </x:c>
      <x:c r="B29" s="86" t="n">
        <x:v>832</x:v>
      </x:c>
      <x:c r="C29" s="86" t="n">
        <x:v>851</x:v>
      </x:c>
      <x:c r="D29" s="86" t="n">
        <x:v>920</x:v>
      </x:c>
      <x:c r="E29" s="86" t="n">
        <x:v>928</x:v>
      </x:c>
      <x:c r="F29" s="86" t="n">
        <x:v>949</x:v>
      </x:c>
      <x:c r="G29" s="86" t="n">
        <x:v>953</x:v>
      </x:c>
      <x:c r="H29" s="86" t="n">
        <x:v>998</x:v>
      </x:c>
      <x:c r="I29" s="86" t="n">
        <x:v>1013</x:v>
      </x:c>
    </x:row>
    <x:row r="30">
      <x:c r="A30" s="72" t="n">
        <x:v>46240.889502314814</x:v>
      </x:c>
      <x:c r="B30" s="86" t="n">
        <x:v>824</x:v>
      </x:c>
      <x:c r="C30" s="86" t="n">
        <x:v>844</x:v>
      </x:c>
      <x:c r="D30" s="86" t="n">
        <x:v>923</x:v>
      </x:c>
      <x:c r="E30" s="86" t="n">
        <x:v>932</x:v>
      </x:c>
      <x:c r="F30" s="86" t="n">
        <x:v>957</x:v>
      </x:c>
      <x:c r="G30" s="86" t="n">
        <x:v>961</x:v>
      </x:c>
      <x:c r="H30" s="86" t="n">
        <x:v>997</x:v>
      </x:c>
      <x:c r="I30" s="86" t="n">
        <x:v>1010</x:v>
      </x:c>
    </x:row>
    <x:row r="31">
      <x:c r="A31" s="72" t="n">
        <x:v>46240.89297453704</x:v>
      </x:c>
      <x:c r="B31" s="86" t="n">
        <x:v>815</x:v>
      </x:c>
      <x:c r="C31" s="86" t="n">
        <x:v>836</x:v>
      </x:c>
      <x:c r="D31" s="86" t="n">
        <x:v>923</x:v>
      </x:c>
      <x:c r="E31" s="86" t="n">
        <x:v>935</x:v>
      </x:c>
      <x:c r="F31" s="86" t="n">
        <x:v>966</x:v>
      </x:c>
      <x:c r="G31" s="86" t="n">
        <x:v>969</x:v>
      </x:c>
      <x:c r="H31" s="86" t="n">
        <x:v>998</x:v>
      </x:c>
      <x:c r="I31" s="86" t="n">
        <x:v>1009</x:v>
      </x:c>
    </x:row>
    <x:row r="32">
      <x:c r="A32" s="72" t="n">
        <x:v>46240.89644675926</x:v>
      </x:c>
      <x:c r="B32" s="86" t="n">
        <x:v>806</x:v>
      </x:c>
      <x:c r="C32" s="86" t="n">
        <x:v>827</x:v>
      </x:c>
      <x:c r="D32" s="86" t="n">
        <x:v>921</x:v>
      </x:c>
      <x:c r="E32" s="86" t="n">
        <x:v>935</x:v>
      </x:c>
      <x:c r="F32" s="86" t="n">
        <x:v>974</x:v>
      </x:c>
      <x:c r="G32" s="86" t="n">
        <x:v>978</x:v>
      </x:c>
      <x:c r="H32" s="86" t="n">
        <x:v>1001</x:v>
      </x:c>
      <x:c r="I32" s="86" t="n">
        <x:v>1010</x:v>
      </x:c>
    </x:row>
    <x:row r="33">
      <x:c r="A33" s="72" t="n">
        <x:v>46240.89991898148</x:v>
      </x:c>
      <x:c r="B33" s="86" t="n">
        <x:v>798</x:v>
      </x:c>
      <x:c r="C33" s="86" t="n">
        <x:v>818</x:v>
      </x:c>
      <x:c r="D33" s="86" t="n">
        <x:v>917</x:v>
      </x:c>
      <x:c r="E33" s="86" t="n">
        <x:v>933</x:v>
      </x:c>
      <x:c r="F33" s="86" t="n">
        <x:v>982</x:v>
      </x:c>
      <x:c r="G33" s="86" t="n">
        <x:v>986</x:v>
      </x:c>
      <x:c r="H33" s="86" t="n">
        <x:v>1006</x:v>
      </x:c>
      <x:c r="I33" s="86" t="n">
        <x:v>1013</x:v>
      </x:c>
    </x:row>
    <x:row r="34">
      <x:c r="A34" s="72" t="n">
        <x:v>46240.903391203705</x:v>
      </x:c>
      <x:c r="B34" s="86" t="n">
        <x:v>791</x:v>
      </x:c>
      <x:c r="C34" s="86" t="n">
        <x:v>810</x:v>
      </x:c>
      <x:c r="D34" s="86" t="n">
        <x:v>911</x:v>
      </x:c>
      <x:c r="E34" s="86" t="n">
        <x:v>929</x:v>
      </x:c>
      <x:c r="F34" s="86" t="n">
        <x:v>988</x:v>
      </x:c>
      <x:c r="G34" s="86" t="n">
        <x:v>994</x:v>
      </x:c>
      <x:c r="H34" s="86" t="n">
        <x:v>1013</x:v>
      </x:c>
      <x:c r="I34" s="86" t="n">
        <x:v>1018</x:v>
      </x:c>
    </x:row>
    <x:row r="35">
      <x:c r="A35" s="72" t="n">
        <x:v>46240.906863425924</x:v>
      </x:c>
      <x:c r="B35" s="86" t="n">
        <x:v>786</x:v>
      </x:c>
      <x:c r="C35" s="86" t="n">
        <x:v>803</x:v>
      </x:c>
      <x:c r="D35" s="86" t="n">
        <x:v>904</x:v>
      </x:c>
      <x:c r="E35" s="86" t="n">
        <x:v>923</x:v>
      </x:c>
      <x:c r="F35" s="86" t="n">
        <x:v>992</x:v>
      </x:c>
      <x:c r="G35" s="86" t="n">
        <x:v>1000</x:v>
      </x:c>
      <x:c r="H35" s="86" t="n">
        <x:v>1021</x:v>
      </x:c>
      <x:c r="I35" s="86" t="n">
        <x:v>1025</x:v>
      </x:c>
    </x:row>
    <x:row r="36">
      <x:c r="A36" s="72" t="n">
        <x:v>46240.91033564815</x:v>
      </x:c>
      <x:c r="B36" s="86" t="n">
        <x:v>782</x:v>
      </x:c>
      <x:c r="C36" s="86" t="n">
        <x:v>798</x:v>
      </x:c>
      <x:c r="D36" s="86" t="n">
        <x:v>896</x:v>
      </x:c>
      <x:c r="E36" s="86" t="n">
        <x:v>916</x:v>
      </x:c>
      <x:c r="F36" s="86" t="n">
        <x:v>995</x:v>
      </x:c>
      <x:c r="G36" s="86" t="n">
        <x:v>1004</x:v>
      </x:c>
      <x:c r="H36" s="86" t="n">
        <x:v>1029</x:v>
      </x:c>
      <x:c r="I36" s="86" t="n">
        <x:v>1033</x:v>
      </x:c>
    </x:row>
    <x:row r="37">
      <x:c r="A37" s="72" t="n">
        <x:v>46240.91380787037</x:v>
      </x:c>
      <x:c r="B37" s="86" t="n">
        <x:v>781</x:v>
      </x:c>
      <x:c r="C37" s="86" t="n">
        <x:v>794</x:v>
      </x:c>
      <x:c r="D37" s="86" t="n">
        <x:v>887</x:v>
      </x:c>
      <x:c r="E37" s="86" t="n">
        <x:v>908</x:v>
      </x:c>
      <x:c r="F37" s="86" t="n">
        <x:v>995</x:v>
      </x:c>
      <x:c r="G37" s="86" t="n">
        <x:v>1007</x:v>
      </x:c>
      <x:c r="H37" s="86" t="n">
        <x:v>1038</x:v>
      </x:c>
      <x:c r="I37" s="86" t="n">
        <x:v>1041</x:v>
      </x:c>
    </x:row>
    <x:row r="38">
      <x:c r="A38" s="72" t="n">
        <x:v>46240.917280092595</x:v>
      </x:c>
      <x:c r="B38" s="86" t="n">
        <x:v>782</x:v>
      </x:c>
      <x:c r="C38" s="86" t="n">
        <x:v>793</x:v>
      </x:c>
      <x:c r="D38" s="86" t="n">
        <x:v>878</x:v>
      </x:c>
      <x:c r="E38" s="86" t="n">
        <x:v>899</x:v>
      </x:c>
      <x:c r="F38" s="86" t="n">
        <x:v>993</x:v>
      </x:c>
      <x:c r="G38" s="86" t="n">
        <x:v>1007</x:v>
      </x:c>
      <x:c r="H38" s="86" t="n">
        <x:v>1046</x:v>
      </x:c>
      <x:c r="I38" s="86" t="n">
        <x:v>1050</x:v>
      </x:c>
    </x:row>
    <x:row r="39">
      <x:c r="A39" s="72" t="n">
        <x:v>46240.920752314814</x:v>
      </x:c>
      <x:c r="B39" s="86" t="n">
        <x:v>785</x:v>
      </x:c>
      <x:c r="C39" s="86" t="n">
        <x:v>794</x:v>
      </x:c>
      <x:c r="D39" s="86" t="n">
        <x:v>870</x:v>
      </x:c>
      <x:c r="E39" s="86" t="n">
        <x:v>890</x:v>
      </x:c>
      <x:c r="F39" s="86" t="n">
        <x:v>989</x:v>
      </x:c>
      <x:c r="G39" s="86" t="n">
        <x:v>1005</x:v>
      </x:c>
      <x:c r="H39" s="86" t="n">
        <x:v>1054</x:v>
      </x:c>
      <x:c r="I39" s="86" t="n">
        <x:v>1058</x:v>
      </x:c>
    </x:row>
    <x:row r="40">
      <x:c r="A40" s="72" t="n">
        <x:v>46240.92422453704</x:v>
      </x:c>
      <x:c r="B40" s="86" t="n">
        <x:v>790</x:v>
      </x:c>
      <x:c r="C40" s="86" t="n">
        <x:v>797</x:v>
      </x:c>
      <x:c r="D40" s="86" t="n">
        <x:v>863</x:v>
      </x:c>
      <x:c r="E40" s="86" t="n">
        <x:v>882</x:v>
      </x:c>
      <x:c r="F40" s="86" t="n">
        <x:v>983</x:v>
      </x:c>
      <x:c r="G40" s="86" t="n">
        <x:v>1001</x:v>
      </x:c>
      <x:c r="H40" s="86" t="n">
        <x:v>1060</x:v>
      </x:c>
      <x:c r="I40" s="86" t="n">
        <x:v>1066</x:v>
      </x:c>
    </x:row>
    <x:row r="41">
      <x:c r="A41" s="72" t="n">
        <x:v>46240.92769675926</x:v>
      </x:c>
      <x:c r="B41" s="86" t="n">
        <x:v>796</x:v>
      </x:c>
      <x:c r="C41" s="86" t="n">
        <x:v>802</x:v>
      </x:c>
      <x:c r="D41" s="86" t="n">
        <x:v>858</x:v>
      </x:c>
      <x:c r="E41" s="86" t="n">
        <x:v>875</x:v>
      </x:c>
      <x:c r="F41" s="86" t="n">
        <x:v>976</x:v>
      </x:c>
      <x:c r="G41" s="86" t="n">
        <x:v>995</x:v>
      </x:c>
      <x:c r="H41" s="86" t="n">
        <x:v>1064</x:v>
      </x:c>
      <x:c r="I41" s="86" t="n">
        <x:v>1072</x:v>
      </x:c>
    </x:row>
    <x:row r="42">
      <x:c r="A42" s="72" t="n">
        <x:v>46240.93116898148</x:v>
      </x:c>
      <x:c r="B42" s="86" t="n">
        <x:v>804</x:v>
      </x:c>
      <x:c r="C42" s="86" t="n">
        <x:v>808</x:v>
      </x:c>
      <x:c r="D42" s="86" t="n">
        <x:v>854</x:v>
      </x:c>
      <x:c r="E42" s="86" t="n">
        <x:v>870</x:v>
      </x:c>
      <x:c r="F42" s="86" t="n">
        <x:v>968</x:v>
      </x:c>
      <x:c r="G42" s="86" t="n">
        <x:v>988</x:v>
      </x:c>
      <x:c r="H42" s="86" t="n">
        <x:v>1067</x:v>
      </x:c>
      <x:c r="I42" s="86" t="n">
        <x:v>1076</x:v>
      </x:c>
    </x:row>
    <x:row r="43">
      <x:c r="A43" s="72" t="n">
        <x:v>46240.934641203705</x:v>
      </x:c>
      <x:c r="B43" s="86" t="n">
        <x:v>812</x:v>
      </x:c>
      <x:c r="C43" s="86" t="n">
        <x:v>816</x:v>
      </x:c>
      <x:c r="D43" s="86" t="n">
        <x:v>853</x:v>
      </x:c>
      <x:c r="E43" s="86" t="n">
        <x:v>866</x:v>
      </x:c>
      <x:c r="F43" s="86" t="n">
        <x:v>959</x:v>
      </x:c>
      <x:c r="G43" s="86" t="n">
        <x:v>980</x:v>
      </x:c>
      <x:c r="H43" s="86" t="n">
        <x:v>1067</x:v>
      </x:c>
      <x:c r="I43" s="86" t="n">
        <x:v>1079</x:v>
      </x:c>
    </x:row>
    <x:row r="44">
      <x:c r="A44" s="72" t="n">
        <x:v>46240.938113425924</x:v>
      </x:c>
      <x:c r="B44" s="86" t="n">
        <x:v>821</x:v>
      </x:c>
      <x:c r="C44" s="86" t="n">
        <x:v>824</x:v>
      </x:c>
      <x:c r="D44" s="86" t="n">
        <x:v>854</x:v>
      </x:c>
      <x:c r="E44" s="86" t="n">
        <x:v>865</x:v>
      </x:c>
      <x:c r="F44" s="86" t="n">
        <x:v>950</x:v>
      </x:c>
      <x:c r="G44" s="86" t="n">
        <x:v>971</x:v>
      </x:c>
      <x:c r="H44" s="86" t="n">
        <x:v>1065</x:v>
      </x:c>
      <x:c r="I44" s="86" t="n">
        <x:v>1079</x:v>
      </x:c>
    </x:row>
    <x:row r="45">
      <x:c r="A45" s="72" t="n">
        <x:v>46240.94158564815</x:v>
      </x:c>
      <x:c r="B45" s="86" t="n">
        <x:v>829</x:v>
      </x:c>
      <x:c r="C45" s="86" t="n">
        <x:v>833</x:v>
      </x:c>
      <x:c r="D45" s="86" t="n">
        <x:v>857</x:v>
      </x:c>
      <x:c r="E45" s="86" t="n">
        <x:v>866</x:v>
      </x:c>
      <x:c r="F45" s="86" t="n">
        <x:v>942</x:v>
      </x:c>
      <x:c r="G45" s="86" t="n">
        <x:v>962</x:v>
      </x:c>
      <x:c r="H45" s="86" t="n">
        <x:v>1061</x:v>
      </x:c>
      <x:c r="I45" s="86" t="n">
        <x:v>1077</x:v>
      </x:c>
    </x:row>
    <x:row r="46">
      <x:c r="A46" s="72" t="n">
        <x:v>46240.94505787037</x:v>
      </x:c>
      <x:c r="B46" s="86" t="n">
        <x:v>837</x:v>
      </x:c>
      <x:c r="C46" s="86" t="n">
        <x:v>841</x:v>
      </x:c>
      <x:c r="D46" s="86" t="n">
        <x:v>862</x:v>
      </x:c>
      <x:c r="E46" s="86" t="n">
        <x:v>869</x:v>
      </x:c>
      <x:c r="F46" s="86" t="n">
        <x:v>935</x:v>
      </x:c>
      <x:c r="G46" s="86" t="n">
        <x:v>954</x:v>
      </x:c>
      <x:c r="H46" s="86" t="n">
        <x:v>1055</x:v>
      </x:c>
      <x:c r="I46" s="86" t="n">
        <x:v>1073</x:v>
      </x:c>
    </x:row>
    <x:row r="47">
      <x:c r="A47" s="72" t="n">
        <x:v>46240.948530092595</x:v>
      </x:c>
      <x:c r="B47" s="86" t="n">
        <x:v>843</x:v>
      </x:c>
      <x:c r="C47" s="86" t="n">
        <x:v>849</x:v>
      </x:c>
      <x:c r="D47" s="86" t="n">
        <x:v>868</x:v>
      </x:c>
      <x:c r="E47" s="86" t="n">
        <x:v>874</x:v>
      </x:c>
      <x:c r="F47" s="86" t="n">
        <x:v>930</x:v>
      </x:c>
      <x:c r="G47" s="86" t="n">
        <x:v>947</x:v>
      </x:c>
      <x:c r="H47" s="86" t="n">
        <x:v>1048</x:v>
      </x:c>
      <x:c r="I47" s="86" t="n">
        <x:v>1067</x:v>
      </x:c>
    </x:row>
    <x:row r="48">
      <x:c r="A48" s="72" t="n">
        <x:v>46240.952002314814</x:v>
      </x:c>
      <x:c r="B48" s="86" t="n">
        <x:v>848</x:v>
      </x:c>
      <x:c r="C48" s="86" t="n">
        <x:v>855</x:v>
      </x:c>
      <x:c r="D48" s="86" t="n">
        <x:v>876</x:v>
      </x:c>
      <x:c r="E48" s="86" t="n">
        <x:v>880</x:v>
      </x:c>
      <x:c r="F48" s="86" t="n">
        <x:v>926</x:v>
      </x:c>
      <x:c r="G48" s="86" t="n">
        <x:v>942</x:v>
      </x:c>
      <x:c r="H48" s="86" t="n">
        <x:v>1040</x:v>
      </x:c>
      <x:c r="I48" s="86" t="n">
        <x:v>1060</x:v>
      </x:c>
    </x:row>
    <x:row r="49">
      <x:c r="A49" s="72" t="n">
        <x:v>46240.95547453704</x:v>
      </x:c>
      <x:c r="B49" s="86" t="n">
        <x:v>850</x:v>
      </x:c>
      <x:c r="C49" s="86" t="n">
        <x:v>860</x:v>
      </x:c>
      <x:c r="D49" s="86" t="n">
        <x:v>884</x:v>
      </x:c>
      <x:c r="E49" s="86" t="n">
        <x:v>888</x:v>
      </x:c>
      <x:c r="F49" s="86" t="n">
        <x:v>925</x:v>
      </x:c>
      <x:c r="G49" s="86" t="n">
        <x:v>938</x:v>
      </x:c>
      <x:c r="H49" s="86" t="n">
        <x:v>1031</x:v>
      </x:c>
      <x:c r="I49" s="86" t="n">
        <x:v>1052</x:v>
      </x:c>
    </x:row>
    <x:row r="50">
      <x:c r="A50" s="72" t="n">
        <x:v>46240.95894675926</x:v>
      </x:c>
      <x:c r="B50" s="86" t="n">
        <x:v>851</x:v>
      </x:c>
      <x:c r="C50" s="86" t="n">
        <x:v>862</x:v>
      </x:c>
      <x:c r="D50" s="86" t="n">
        <x:v>893</x:v>
      </x:c>
      <x:c r="E50" s="86" t="n">
        <x:v>896</x:v>
      </x:c>
      <x:c r="F50" s="86" t="n">
        <x:v>926</x:v>
      </x:c>
      <x:c r="G50" s="86" t="n">
        <x:v>937</x:v>
      </x:c>
      <x:c r="H50" s="86" t="n">
        <x:v>1022</x:v>
      </x:c>
      <x:c r="I50" s="86" t="n">
        <x:v>1043</x:v>
      </x:c>
    </x:row>
    <x:row r="51">
      <x:c r="A51" s="72" t="n">
        <x:v>46240.96241898148</x:v>
      </x:c>
      <x:c r="B51" s="86" t="n">
        <x:v>849</x:v>
      </x:c>
      <x:c r="C51" s="86" t="n">
        <x:v>863</x:v>
      </x:c>
      <x:c r="D51" s="86" t="n">
        <x:v>901</x:v>
      </x:c>
      <x:c r="E51" s="86" t="n">
        <x:v>905</x:v>
      </x:c>
      <x:c r="F51" s="86" t="n">
        <x:v>929</x:v>
      </x:c>
      <x:c r="G51" s="86" t="n">
        <x:v>938</x:v>
      </x:c>
      <x:c r="H51" s="86" t="n">
        <x:v>1014</x:v>
      </x:c>
      <x:c r="I51" s="86" t="n">
        <x:v>1034</x:v>
      </x:c>
    </x:row>
    <x:row r="52">
      <x:c r="A52" s="72" t="n">
        <x:v>46240.965891203705</x:v>
      </x:c>
      <x:c r="B52" s="86" t="n">
        <x:v>845</x:v>
      </x:c>
      <x:c r="C52" s="86" t="n">
        <x:v>861</x:v>
      </x:c>
      <x:c r="D52" s="86" t="n">
        <x:v>909</x:v>
      </x:c>
      <x:c r="E52" s="86" t="n">
        <x:v>913</x:v>
      </x:c>
      <x:c r="F52" s="86" t="n">
        <x:v>934</x:v>
      </x:c>
      <x:c r="G52" s="86" t="n">
        <x:v>941</x:v>
      </x:c>
      <x:c r="H52" s="86" t="n">
        <x:v>1007</x:v>
      </x:c>
      <x:c r="I52" s="86" t="n">
        <x:v>1026</x:v>
      </x:c>
    </x:row>
    <x:row r="53">
      <x:c r="A53" s="73" t="n">
        <x:v>46240.969363425924</x:v>
      </x:c>
      <x:c r="B53" s="87" t="n">
        <x:v>840</x:v>
      </x:c>
      <x:c r="C53" s="87" t="n">
        <x:v>857</x:v>
      </x:c>
      <x:c r="D53" s="87" t="n">
        <x:v>915</x:v>
      </x:c>
      <x:c r="E53" s="87" t="n">
        <x:v>921</x:v>
      </x:c>
      <x:c r="F53" s="87" t="n">
        <x:v>940</x:v>
      </x:c>
      <x:c r="G53" s="87" t="n">
        <x:v>946</x:v>
      </x:c>
      <x:c r="H53" s="87" t="n">
        <x:v>1002</x:v>
      </x:c>
      <x:c r="I53" s="87" t="n">
        <x:v>1019</x:v>
      </x:c>
    </x:row>
  </x:sheetData>
  <x:mergeCells>
    <x:mergeCell ref="A1:I1"/>
    <x:mergeCell ref="A2:I2"/>
  </x:mergeCells>
  <x:conditionalFormatting sqref="B5:I53">
    <x:cfRule type="expression" dxfId="8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9643b907de0041a5"/>
</x:worksheet>
</file>

<file path=xl/worksheets/sheet1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W1处理：土壤pH随时间变化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排列。单位：无量纲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05" t="str">
        <x:v>采集时间</x:v>
      </x:c>
      <x:c r="B4" s="106" t="str">
        <x:v>B1-W1-V1（P03）</x:v>
      </x:c>
      <x:c r="C4" s="106" t="str">
        <x:v>B1-W1-V2（P04）</x:v>
      </x:c>
      <x:c r="D4" s="106" t="str">
        <x:v>B2-W1-V1（P09）</x:v>
      </x:c>
      <x:c r="E4" s="106" t="str">
        <x:v>B2-W1-V2（P10）</x:v>
      </x:c>
      <x:c r="F4" s="106" t="str">
        <x:v>B3-W1-V1（P15）</x:v>
      </x:c>
      <x:c r="G4" s="106" t="str">
        <x:v>B3-W1-V2（P16）</x:v>
      </x:c>
      <x:c r="H4" s="106" t="str">
        <x:v>B4-W1-V1（P21）</x:v>
      </x:c>
      <x:c r="I4" s="107" t="str">
        <x:v>B4-W1-V2（P22）</x:v>
      </x:c>
    </x:row>
    <x:row r="5">
      <x:c r="A5" s="72" t="n">
        <x:v>46240.80269675926</x:v>
      </x:c>
      <x:c r="B5" s="90" t="n">
        <x:v>6.46</x:v>
      </x:c>
      <x:c r="C5" s="90" t="n">
        <x:v>6.51</x:v>
      </x:c>
      <x:c r="D5" s="90" t="n">
        <x:v>6.53</x:v>
      </x:c>
      <x:c r="E5" s="90" t="n">
        <x:v>6.33</x:v>
      </x:c>
      <x:c r="F5" s="90" t="n">
        <x:v>6.3</x:v>
      </x:c>
      <x:c r="G5" s="90" t="n">
        <x:v>6.34</x:v>
      </x:c>
      <x:c r="H5" s="90" t="n">
        <x:v>6.32</x:v>
      </x:c>
      <x:c r="I5" s="90" t="n">
        <x:v>6.37</x:v>
      </x:c>
    </x:row>
    <x:row r="6">
      <x:c r="A6" s="72" t="n">
        <x:v>46240.80616898148</x:v>
      </x:c>
      <x:c r="B6" s="90" t="n">
        <x:v>6.45</x:v>
      </x:c>
      <x:c r="C6" s="90" t="n">
        <x:v>6.51</x:v>
      </x:c>
      <x:c r="D6" s="90" t="n">
        <x:v>6.53</x:v>
      </x:c>
      <x:c r="E6" s="90" t="n">
        <x:v>6.33</x:v>
      </x:c>
      <x:c r="F6" s="90" t="n">
        <x:v>6.31</x:v>
      </x:c>
      <x:c r="G6" s="90" t="n">
        <x:v>6.35</x:v>
      </x:c>
      <x:c r="H6" s="90" t="n">
        <x:v>6.32</x:v>
      </x:c>
      <x:c r="I6" s="90" t="n">
        <x:v>6.37</x:v>
      </x:c>
    </x:row>
    <x:row r="7">
      <x:c r="A7" s="72" t="n">
        <x:v>46240.809641203705</x:v>
      </x:c>
      <x:c r="B7" s="90" t="n">
        <x:v>6.44</x:v>
      </x:c>
      <x:c r="C7" s="90" t="n">
        <x:v>6.5</x:v>
      </x:c>
      <x:c r="D7" s="90" t="n">
        <x:v>6.53</x:v>
      </x:c>
      <x:c r="E7" s="90" t="n">
        <x:v>6.33</x:v>
      </x:c>
      <x:c r="F7" s="90" t="n">
        <x:v>6.31</x:v>
      </x:c>
      <x:c r="G7" s="90" t="n">
        <x:v>6.36</x:v>
      </x:c>
      <x:c r="H7" s="90" t="n">
        <x:v>6.32</x:v>
      </x:c>
      <x:c r="I7" s="90" t="n">
        <x:v>6.37</x:v>
      </x:c>
    </x:row>
    <x:row r="8">
      <x:c r="A8" s="72" t="n">
        <x:v>46240.813113425924</x:v>
      </x:c>
      <x:c r="B8" s="90" t="n">
        <x:v>6.43</x:v>
      </x:c>
      <x:c r="C8" s="90" t="n">
        <x:v>6.49</x:v>
      </x:c>
      <x:c r="D8" s="90" t="n">
        <x:v>6.52</x:v>
      </x:c>
      <x:c r="E8" s="90" t="n">
        <x:v>6.33</x:v>
      </x:c>
      <x:c r="F8" s="90" t="n">
        <x:v>6.32</x:v>
      </x:c>
      <x:c r="G8" s="90" t="n">
        <x:v>6.36</x:v>
      </x:c>
      <x:c r="H8" s="90" t="n">
        <x:v>6.33</x:v>
      </x:c>
      <x:c r="I8" s="90" t="n">
        <x:v>6.37</x:v>
      </x:c>
    </x:row>
    <x:row r="9">
      <x:c r="A9" s="72" t="n">
        <x:v>46240.81658564815</x:v>
      </x:c>
      <x:c r="B9" s="90" t="n">
        <x:v>6.43</x:v>
      </x:c>
      <x:c r="C9" s="90" t="n">
        <x:v>6.48</x:v>
      </x:c>
      <x:c r="D9" s="90" t="n">
        <x:v>6.52</x:v>
      </x:c>
      <x:c r="E9" s="90" t="n">
        <x:v>6.32</x:v>
      </x:c>
      <x:c r="F9" s="90" t="n">
        <x:v>6.32</x:v>
      </x:c>
      <x:c r="G9" s="90" t="n">
        <x:v>6.37</x:v>
      </x:c>
      <x:c r="H9" s="90" t="n">
        <x:v>6.33</x:v>
      </x:c>
      <x:c r="I9" s="90" t="n">
        <x:v>6.38</x:v>
      </x:c>
    </x:row>
    <x:row r="10">
      <x:c r="A10" s="72" t="n">
        <x:v>46240.82005787037</x:v>
      </x:c>
      <x:c r="B10" s="90" t="n">
        <x:v>6.42</x:v>
      </x:c>
      <x:c r="C10" s="90" t="n">
        <x:v>6.48</x:v>
      </x:c>
      <x:c r="D10" s="90" t="n">
        <x:v>6.51</x:v>
      </x:c>
      <x:c r="E10" s="90" t="n">
        <x:v>6.32</x:v>
      </x:c>
      <x:c r="F10" s="90" t="n">
        <x:v>6.33</x:v>
      </x:c>
      <x:c r="G10" s="90" t="n">
        <x:v>6.37</x:v>
      </x:c>
      <x:c r="H10" s="90" t="n">
        <x:v>6.34</x:v>
      </x:c>
      <x:c r="I10" s="90" t="n">
        <x:v>6.38</x:v>
      </x:c>
    </x:row>
    <x:row r="11">
      <x:c r="A11" s="72" t="n">
        <x:v>46240.823530092595</x:v>
      </x:c>
      <x:c r="B11" s="90" t="n">
        <x:v>6.42</x:v>
      </x:c>
      <x:c r="C11" s="90" t="n">
        <x:v>6.47</x:v>
      </x:c>
      <x:c r="D11" s="90" t="n">
        <x:v>6.51</x:v>
      </x:c>
      <x:c r="E11" s="90" t="n">
        <x:v>6.31</x:v>
      </x:c>
      <x:c r="F11" s="90" t="n">
        <x:v>6.33</x:v>
      </x:c>
      <x:c r="G11" s="90" t="n">
        <x:v>6.38</x:v>
      </x:c>
      <x:c r="H11" s="90" t="n">
        <x:v>6.35</x:v>
      </x:c>
      <x:c r="I11" s="90" t="n">
        <x:v>6.39</x:v>
      </x:c>
    </x:row>
    <x:row r="12">
      <x:c r="A12" s="72" t="n">
        <x:v>46240.827002314814</x:v>
      </x:c>
      <x:c r="B12" s="90" t="n">
        <x:v>6.42</x:v>
      </x:c>
      <x:c r="C12" s="90" t="n">
        <x:v>6.47</x:v>
      </x:c>
      <x:c r="D12" s="90" t="n">
        <x:v>6.5</x:v>
      </x:c>
      <x:c r="E12" s="90" t="n">
        <x:v>6.31</x:v>
      </x:c>
      <x:c r="F12" s="90" t="n">
        <x:v>6.33</x:v>
      </x:c>
      <x:c r="G12" s="90" t="n">
        <x:v>6.38</x:v>
      </x:c>
      <x:c r="H12" s="90" t="n">
        <x:v>6.36</x:v>
      </x:c>
      <x:c r="I12" s="90" t="n">
        <x:v>6.4</x:v>
      </x:c>
    </x:row>
    <x:row r="13">
      <x:c r="A13" s="72" t="n">
        <x:v>46240.83047453704</x:v>
      </x:c>
      <x:c r="B13" s="90" t="n">
        <x:v>6.42</x:v>
      </x:c>
      <x:c r="C13" s="90" t="n">
        <x:v>6.47</x:v>
      </x:c>
      <x:c r="D13" s="90" t="n">
        <x:v>6.49</x:v>
      </x:c>
      <x:c r="E13" s="90" t="n">
        <x:v>6.3</x:v>
      </x:c>
      <x:c r="F13" s="90" t="n">
        <x:v>6.33</x:v>
      </x:c>
      <x:c r="G13" s="90" t="n">
        <x:v>6.38</x:v>
      </x:c>
      <x:c r="H13" s="90" t="n">
        <x:v>6.36</x:v>
      </x:c>
      <x:c r="I13" s="90" t="n">
        <x:v>6.41</x:v>
      </x:c>
    </x:row>
    <x:row r="14">
      <x:c r="A14" s="72" t="n">
        <x:v>46240.83394675926</x:v>
      </x:c>
      <x:c r="B14" s="90" t="n">
        <x:v>6.42</x:v>
      </x:c>
      <x:c r="C14" s="90" t="n">
        <x:v>6.47</x:v>
      </x:c>
      <x:c r="D14" s="90" t="n">
        <x:v>6.48</x:v>
      </x:c>
      <x:c r="E14" s="90" t="n">
        <x:v>6.29</x:v>
      </x:c>
      <x:c r="F14" s="90" t="n">
        <x:v>6.32</x:v>
      </x:c>
      <x:c r="G14" s="90" t="n">
        <x:v>6.38</x:v>
      </x:c>
      <x:c r="H14" s="90" t="n">
        <x:v>6.37</x:v>
      </x:c>
      <x:c r="I14" s="90" t="n">
        <x:v>6.41</x:v>
      </x:c>
    </x:row>
    <x:row r="15">
      <x:c r="A15" s="72" t="n">
        <x:v>46240.83741898148</x:v>
      </x:c>
      <x:c r="B15" s="90" t="n">
        <x:v>6.43</x:v>
      </x:c>
      <x:c r="C15" s="90" t="n">
        <x:v>6.47</x:v>
      </x:c>
      <x:c r="D15" s="90" t="n">
        <x:v>6.48</x:v>
      </x:c>
      <x:c r="E15" s="90" t="n">
        <x:v>6.28</x:v>
      </x:c>
      <x:c r="F15" s="90" t="n">
        <x:v>6.32</x:v>
      </x:c>
      <x:c r="G15" s="90" t="n">
        <x:v>6.37</x:v>
      </x:c>
      <x:c r="H15" s="90" t="n">
        <x:v>6.37</x:v>
      </x:c>
      <x:c r="I15" s="90" t="n">
        <x:v>6.42</x:v>
      </x:c>
    </x:row>
    <x:row r="16">
      <x:c r="A16" s="72" t="n">
        <x:v>46240.840891203705</x:v>
      </x:c>
      <x:c r="B16" s="90" t="n">
        <x:v>6.43</x:v>
      </x:c>
      <x:c r="C16" s="90" t="n">
        <x:v>6.48</x:v>
      </x:c>
      <x:c r="D16" s="90" t="n">
        <x:v>6.47</x:v>
      </x:c>
      <x:c r="E16" s="90" t="n">
        <x:v>6.28</x:v>
      </x:c>
      <x:c r="F16" s="90" t="n">
        <x:v>6.31</x:v>
      </x:c>
      <x:c r="G16" s="90" t="n">
        <x:v>6.37</x:v>
      </x:c>
      <x:c r="H16" s="90" t="n">
        <x:v>6.38</x:v>
      </x:c>
      <x:c r="I16" s="90" t="n">
        <x:v>6.42</x:v>
      </x:c>
    </x:row>
    <x:row r="17">
      <x:c r="A17" s="72" t="n">
        <x:v>46240.844363425924</x:v>
      </x:c>
      <x:c r="B17" s="90" t="n">
        <x:v>6.44</x:v>
      </x:c>
      <x:c r="C17" s="90" t="n">
        <x:v>6.48</x:v>
      </x:c>
      <x:c r="D17" s="90" t="n">
        <x:v>6.47</x:v>
      </x:c>
      <x:c r="E17" s="90" t="n">
        <x:v>6.27</x:v>
      </x:c>
      <x:c r="F17" s="90" t="n">
        <x:v>6.31</x:v>
      </x:c>
      <x:c r="G17" s="90" t="n">
        <x:v>6.36</x:v>
      </x:c>
      <x:c r="H17" s="90" t="n">
        <x:v>6.38</x:v>
      </x:c>
      <x:c r="I17" s="90" t="n">
        <x:v>6.43</x:v>
      </x:c>
    </x:row>
    <x:row r="18">
      <x:c r="A18" s="72" t="n">
        <x:v>46240.84783564815</x:v>
      </x:c>
      <x:c r="B18" s="90" t="n">
        <x:v>6.45</x:v>
      </x:c>
      <x:c r="C18" s="90" t="n">
        <x:v>6.49</x:v>
      </x:c>
      <x:c r="D18" s="90" t="n">
        <x:v>6.47</x:v>
      </x:c>
      <x:c r="E18" s="90" t="n">
        <x:v>6.27</x:v>
      </x:c>
      <x:c r="F18" s="90" t="n">
        <x:v>6.3</x:v>
      </x:c>
      <x:c r="G18" s="90" t="n">
        <x:v>6.36</x:v>
      </x:c>
      <x:c r="H18" s="90" t="n">
        <x:v>6.38</x:v>
      </x:c>
      <x:c r="I18" s="90" t="n">
        <x:v>6.43</x:v>
      </x:c>
    </x:row>
    <x:row r="19">
      <x:c r="A19" s="72" t="n">
        <x:v>46240.85130787037</x:v>
      </x:c>
      <x:c r="B19" s="90" t="n">
        <x:v>6.46</x:v>
      </x:c>
      <x:c r="C19" s="90" t="n">
        <x:v>6.5</x:v>
      </x:c>
      <x:c r="D19" s="90" t="n">
        <x:v>6.47</x:v>
      </x:c>
      <x:c r="E19" s="90" t="n">
        <x:v>6.27</x:v>
      </x:c>
      <x:c r="F19" s="90" t="n">
        <x:v>6.29</x:v>
      </x:c>
      <x:c r="G19" s="90" t="n">
        <x:v>6.35</x:v>
      </x:c>
      <x:c r="H19" s="90" t="n">
        <x:v>6.38</x:v>
      </x:c>
      <x:c r="I19" s="90" t="n">
        <x:v>6.43</x:v>
      </x:c>
    </x:row>
    <x:row r="20">
      <x:c r="A20" s="72" t="n">
        <x:v>46240.854780092595</x:v>
      </x:c>
      <x:c r="B20" s="90" t="n">
        <x:v>6.46</x:v>
      </x:c>
      <x:c r="C20" s="90" t="n">
        <x:v>6.51</x:v>
      </x:c>
      <x:c r="D20" s="90" t="n">
        <x:v>6.47</x:v>
      </x:c>
      <x:c r="E20" s="90" t="n">
        <x:v>6.27</x:v>
      </x:c>
      <x:c r="F20" s="90" t="n">
        <x:v>6.28</x:v>
      </x:c>
      <x:c r="G20" s="90" t="n">
        <x:v>6.34</x:v>
      </x:c>
      <x:c r="H20" s="90" t="n">
        <x:v>6.37</x:v>
      </x:c>
      <x:c r="I20" s="90" t="n">
        <x:v>6.43</x:v>
      </x:c>
    </x:row>
    <x:row r="21">
      <x:c r="A21" s="72" t="n">
        <x:v>46240.858252314814</x:v>
      </x:c>
      <x:c r="B21" s="90" t="n">
        <x:v>6.47</x:v>
      </x:c>
      <x:c r="C21" s="90" t="n">
        <x:v>6.51</x:v>
      </x:c>
      <x:c r="D21" s="90" t="n">
        <x:v>6.48</x:v>
      </x:c>
      <x:c r="E21" s="90" t="n">
        <x:v>6.27</x:v>
      </x:c>
      <x:c r="F21" s="90" t="n">
        <x:v>6.28</x:v>
      </x:c>
      <x:c r="G21" s="90" t="n">
        <x:v>6.33</x:v>
      </x:c>
      <x:c r="H21" s="90" t="n">
        <x:v>6.37</x:v>
      </x:c>
      <x:c r="I21" s="90" t="n">
        <x:v>6.42</x:v>
      </x:c>
    </x:row>
    <x:row r="22">
      <x:c r="A22" s="72" t="n">
        <x:v>46240.86172453704</x:v>
      </x:c>
      <x:c r="B22" s="90" t="n">
        <x:v>6.47</x:v>
      </x:c>
      <x:c r="C22" s="90" t="n">
        <x:v>6.52</x:v>
      </x:c>
      <x:c r="D22" s="90" t="n">
        <x:v>6.48</x:v>
      </x:c>
      <x:c r="E22" s="90" t="n">
        <x:v>6.28</x:v>
      </x:c>
      <x:c r="F22" s="90" t="n">
        <x:v>6.27</x:v>
      </x:c>
      <x:c r="G22" s="90" t="n">
        <x:v>6.33</x:v>
      </x:c>
      <x:c r="H22" s="90" t="n">
        <x:v>6.36</x:v>
      </x:c>
      <x:c r="I22" s="90" t="n">
        <x:v>6.42</x:v>
      </x:c>
    </x:row>
    <x:row r="23">
      <x:c r="A23" s="72" t="n">
        <x:v>46240.86519675926</x:v>
      </x:c>
      <x:c r="B23" s="90" t="n">
        <x:v>6.48</x:v>
      </x:c>
      <x:c r="C23" s="90" t="n">
        <x:v>6.52</x:v>
      </x:c>
      <x:c r="D23" s="90" t="n">
        <x:v>6.49</x:v>
      </x:c>
      <x:c r="E23" s="90" t="n">
        <x:v>6.28</x:v>
      </x:c>
      <x:c r="F23" s="90" t="n">
        <x:v>6.27</x:v>
      </x:c>
      <x:c r="G23" s="90" t="n">
        <x:v>6.32</x:v>
      </x:c>
      <x:c r="H23" s="90" t="n">
        <x:v>6.36</x:v>
      </x:c>
      <x:c r="I23" s="90" t="n">
        <x:v>6.41</x:v>
      </x:c>
    </x:row>
    <x:row r="24">
      <x:c r="A24" s="72" t="n">
        <x:v>46240.86866898148</x:v>
      </x:c>
      <x:c r="B24" s="90" t="n">
        <x:v>6.48</x:v>
      </x:c>
      <x:c r="C24" s="90" t="n">
        <x:v>6.53</x:v>
      </x:c>
      <x:c r="D24" s="90" t="n">
        <x:v>6.5</x:v>
      </x:c>
      <x:c r="E24" s="90" t="n">
        <x:v>6.29</x:v>
      </x:c>
      <x:c r="F24" s="90" t="n">
        <x:v>6.27</x:v>
      </x:c>
      <x:c r="G24" s="90" t="n">
        <x:v>6.32</x:v>
      </x:c>
      <x:c r="H24" s="90" t="n">
        <x:v>6.35</x:v>
      </x:c>
      <x:c r="I24" s="90" t="n">
        <x:v>6.41</x:v>
      </x:c>
    </x:row>
    <x:row r="25">
      <x:c r="A25" s="72" t="n">
        <x:v>46240.872141203705</x:v>
      </x:c>
      <x:c r="B25" s="90" t="n">
        <x:v>6.48</x:v>
      </x:c>
      <x:c r="C25" s="90" t="n">
        <x:v>6.53</x:v>
      </x:c>
      <x:c r="D25" s="90" t="n">
        <x:v>6.51</x:v>
      </x:c>
      <x:c r="E25" s="90" t="n">
        <x:v>6.3</x:v>
      </x:c>
      <x:c r="F25" s="90" t="n">
        <x:v>6.27</x:v>
      </x:c>
      <x:c r="G25" s="90" t="n">
        <x:v>6.32</x:v>
      </x:c>
      <x:c r="H25" s="90" t="n">
        <x:v>6.34</x:v>
      </x:c>
      <x:c r="I25" s="90" t="n">
        <x:v>6.4</x:v>
      </x:c>
    </x:row>
    <x:row r="26">
      <x:c r="A26" s="72" t="n">
        <x:v>46240.875613425924</x:v>
      </x:c>
      <x:c r="B26" s="90" t="n">
        <x:v>6.48</x:v>
      </x:c>
      <x:c r="C26" s="90" t="n">
        <x:v>6.53</x:v>
      </x:c>
      <x:c r="D26" s="90" t="n">
        <x:v>6.51</x:v>
      </x:c>
      <x:c r="E26" s="90" t="n">
        <x:v>6.31</x:v>
      </x:c>
      <x:c r="F26" s="90" t="n">
        <x:v>6.27</x:v>
      </x:c>
      <x:c r="G26" s="90" t="n">
        <x:v>6.32</x:v>
      </x:c>
      <x:c r="H26" s="90" t="n">
        <x:v>6.33</x:v>
      </x:c>
      <x:c r="I26" s="90" t="n">
        <x:v>6.39</x:v>
      </x:c>
    </x:row>
    <x:row r="27">
      <x:c r="A27" s="72" t="n">
        <x:v>46240.87908564815</x:v>
      </x:c>
      <x:c r="B27" s="90" t="n">
        <x:v>6.47</x:v>
      </x:c>
      <x:c r="C27" s="90" t="n">
        <x:v>6.53</x:v>
      </x:c>
      <x:c r="D27" s="90" t="n">
        <x:v>6.52</x:v>
      </x:c>
      <x:c r="E27" s="90" t="n">
        <x:v>6.31</x:v>
      </x:c>
      <x:c r="F27" s="90" t="n">
        <x:v>6.28</x:v>
      </x:c>
      <x:c r="G27" s="90" t="n">
        <x:v>6.32</x:v>
      </x:c>
      <x:c r="H27" s="90" t="n">
        <x:v>6.33</x:v>
      </x:c>
      <x:c r="I27" s="90" t="n">
        <x:v>6.38</x:v>
      </x:c>
    </x:row>
    <x:row r="28">
      <x:c r="A28" s="72" t="n">
        <x:v>46240.88255787037</x:v>
      </x:c>
      <x:c r="B28" s="90" t="n">
        <x:v>6.47</x:v>
      </x:c>
      <x:c r="C28" s="90" t="n">
        <x:v>6.52</x:v>
      </x:c>
      <x:c r="D28" s="90" t="n">
        <x:v>6.52</x:v>
      </x:c>
      <x:c r="E28" s="90" t="n">
        <x:v>6.32</x:v>
      </x:c>
      <x:c r="F28" s="90" t="n">
        <x:v>6.28</x:v>
      </x:c>
      <x:c r="G28" s="90" t="n">
        <x:v>6.33</x:v>
      </x:c>
      <x:c r="H28" s="90" t="n">
        <x:v>6.32</x:v>
      </x:c>
      <x:c r="I28" s="90" t="n">
        <x:v>6.38</x:v>
      </x:c>
    </x:row>
    <x:row r="29">
      <x:c r="A29" s="72" t="n">
        <x:v>46240.886030092595</x:v>
      </x:c>
      <x:c r="B29" s="90" t="n">
        <x:v>6.46</x:v>
      </x:c>
      <x:c r="C29" s="90" t="n">
        <x:v>6.52</x:v>
      </x:c>
      <x:c r="D29" s="90" t="n">
        <x:v>6.53</x:v>
      </x:c>
      <x:c r="E29" s="90" t="n">
        <x:v>6.32</x:v>
      </x:c>
      <x:c r="F29" s="90" t="n">
        <x:v>6.29</x:v>
      </x:c>
      <x:c r="G29" s="90" t="n">
        <x:v>6.33</x:v>
      </x:c>
      <x:c r="H29" s="90" t="n">
        <x:v>6.32</x:v>
      </x:c>
      <x:c r="I29" s="90" t="n">
        <x:v>6.37</x:v>
      </x:c>
    </x:row>
    <x:row r="30">
      <x:c r="A30" s="72" t="n">
        <x:v>46240.889502314814</x:v>
      </x:c>
      <x:c r="B30" s="90" t="n">
        <x:v>6.46</x:v>
      </x:c>
      <x:c r="C30" s="90" t="n">
        <x:v>6.51</x:v>
      </x:c>
      <x:c r="D30" s="90" t="n">
        <x:v>6.53</x:v>
      </x:c>
      <x:c r="E30" s="90" t="n">
        <x:v>6.33</x:v>
      </x:c>
      <x:c r="F30" s="90" t="n">
        <x:v>6.3</x:v>
      </x:c>
      <x:c r="G30" s="90" t="n">
        <x:v>6.34</x:v>
      </x:c>
      <x:c r="H30" s="90" t="n">
        <x:v>6.32</x:v>
      </x:c>
      <x:c r="I30" s="90" t="n">
        <x:v>6.37</x:v>
      </x:c>
    </x:row>
    <x:row r="31">
      <x:c r="A31" s="72" t="n">
        <x:v>46240.89297453704</x:v>
      </x:c>
      <x:c r="B31" s="90" t="n">
        <x:v>6.45</x:v>
      </x:c>
      <x:c r="C31" s="90" t="n">
        <x:v>6.51</x:v>
      </x:c>
      <x:c r="D31" s="90" t="n">
        <x:v>6.53</x:v>
      </x:c>
      <x:c r="E31" s="90" t="n">
        <x:v>6.33</x:v>
      </x:c>
      <x:c r="F31" s="90" t="n">
        <x:v>6.31</x:v>
      </x:c>
      <x:c r="G31" s="90" t="n">
        <x:v>6.35</x:v>
      </x:c>
      <x:c r="H31" s="90" t="n">
        <x:v>6.32</x:v>
      </x:c>
      <x:c r="I31" s="90" t="n">
        <x:v>6.37</x:v>
      </x:c>
    </x:row>
    <x:row r="32">
      <x:c r="A32" s="72" t="n">
        <x:v>46240.89644675926</x:v>
      </x:c>
      <x:c r="B32" s="90" t="n">
        <x:v>6.44</x:v>
      </x:c>
      <x:c r="C32" s="90" t="n">
        <x:v>6.5</x:v>
      </x:c>
      <x:c r="D32" s="90" t="n">
        <x:v>6.53</x:v>
      </x:c>
      <x:c r="E32" s="90" t="n">
        <x:v>6.33</x:v>
      </x:c>
      <x:c r="F32" s="90" t="n">
        <x:v>6.31</x:v>
      </x:c>
      <x:c r="G32" s="90" t="n">
        <x:v>6.36</x:v>
      </x:c>
      <x:c r="H32" s="90" t="n">
        <x:v>6.32</x:v>
      </x:c>
      <x:c r="I32" s="90" t="n">
        <x:v>6.37</x:v>
      </x:c>
    </x:row>
    <x:row r="33">
      <x:c r="A33" s="72" t="n">
        <x:v>46240.89991898148</x:v>
      </x:c>
      <x:c r="B33" s="90" t="n">
        <x:v>6.43</x:v>
      </x:c>
      <x:c r="C33" s="90" t="n">
        <x:v>6.49</x:v>
      </x:c>
      <x:c r="D33" s="90" t="n">
        <x:v>6.52</x:v>
      </x:c>
      <x:c r="E33" s="90" t="n">
        <x:v>6.33</x:v>
      </x:c>
      <x:c r="F33" s="90" t="n">
        <x:v>6.32</x:v>
      </x:c>
      <x:c r="G33" s="90" t="n">
        <x:v>6.36</x:v>
      </x:c>
      <x:c r="H33" s="90" t="n">
        <x:v>6.33</x:v>
      </x:c>
      <x:c r="I33" s="90" t="n">
        <x:v>6.37</x:v>
      </x:c>
    </x:row>
    <x:row r="34">
      <x:c r="A34" s="72" t="n">
        <x:v>46240.903391203705</x:v>
      </x:c>
      <x:c r="B34" s="90" t="n">
        <x:v>6.43</x:v>
      </x:c>
      <x:c r="C34" s="90" t="n">
        <x:v>6.48</x:v>
      </x:c>
      <x:c r="D34" s="90" t="n">
        <x:v>6.52</x:v>
      </x:c>
      <x:c r="E34" s="90" t="n">
        <x:v>6.32</x:v>
      </x:c>
      <x:c r="F34" s="90" t="n">
        <x:v>6.32</x:v>
      </x:c>
      <x:c r="G34" s="90" t="n">
        <x:v>6.37</x:v>
      </x:c>
      <x:c r="H34" s="90" t="n">
        <x:v>6.33</x:v>
      </x:c>
      <x:c r="I34" s="90" t="n">
        <x:v>6.38</x:v>
      </x:c>
    </x:row>
    <x:row r="35">
      <x:c r="A35" s="72" t="n">
        <x:v>46240.906863425924</x:v>
      </x:c>
      <x:c r="B35" s="90" t="n">
        <x:v>6.42</x:v>
      </x:c>
      <x:c r="C35" s="90" t="n">
        <x:v>6.48</x:v>
      </x:c>
      <x:c r="D35" s="90" t="n">
        <x:v>6.51</x:v>
      </x:c>
      <x:c r="E35" s="90" t="n">
        <x:v>6.32</x:v>
      </x:c>
      <x:c r="F35" s="90" t="n">
        <x:v>6.33</x:v>
      </x:c>
      <x:c r="G35" s="90" t="n">
        <x:v>6.37</x:v>
      </x:c>
      <x:c r="H35" s="90" t="n">
        <x:v>6.34</x:v>
      </x:c>
      <x:c r="I35" s="90" t="n">
        <x:v>6.38</x:v>
      </x:c>
    </x:row>
    <x:row r="36">
      <x:c r="A36" s="72" t="n">
        <x:v>46240.91033564815</x:v>
      </x:c>
      <x:c r="B36" s="90" t="n">
        <x:v>6.42</x:v>
      </x:c>
      <x:c r="C36" s="90" t="n">
        <x:v>6.47</x:v>
      </x:c>
      <x:c r="D36" s="90" t="n">
        <x:v>6.51</x:v>
      </x:c>
      <x:c r="E36" s="90" t="n">
        <x:v>6.31</x:v>
      </x:c>
      <x:c r="F36" s="90" t="n">
        <x:v>6.33</x:v>
      </x:c>
      <x:c r="G36" s="90" t="n">
        <x:v>6.38</x:v>
      </x:c>
      <x:c r="H36" s="90" t="n">
        <x:v>6.35</x:v>
      </x:c>
      <x:c r="I36" s="90" t="n">
        <x:v>6.39</x:v>
      </x:c>
    </x:row>
    <x:row r="37">
      <x:c r="A37" s="72" t="n">
        <x:v>46240.91380787037</x:v>
      </x:c>
      <x:c r="B37" s="90" t="n">
        <x:v>6.42</x:v>
      </x:c>
      <x:c r="C37" s="90" t="n">
        <x:v>6.47</x:v>
      </x:c>
      <x:c r="D37" s="90" t="n">
        <x:v>6.5</x:v>
      </x:c>
      <x:c r="E37" s="90" t="n">
        <x:v>6.31</x:v>
      </x:c>
      <x:c r="F37" s="90" t="n">
        <x:v>6.33</x:v>
      </x:c>
      <x:c r="G37" s="90" t="n">
        <x:v>6.38</x:v>
      </x:c>
      <x:c r="H37" s="90" t="n">
        <x:v>6.36</x:v>
      </x:c>
      <x:c r="I37" s="90" t="n">
        <x:v>6.4</x:v>
      </x:c>
    </x:row>
    <x:row r="38">
      <x:c r="A38" s="72" t="n">
        <x:v>46240.917280092595</x:v>
      </x:c>
      <x:c r="B38" s="90" t="n">
        <x:v>6.42</x:v>
      </x:c>
      <x:c r="C38" s="90" t="n">
        <x:v>6.47</x:v>
      </x:c>
      <x:c r="D38" s="90" t="n">
        <x:v>6.49</x:v>
      </x:c>
      <x:c r="E38" s="90" t="n">
        <x:v>6.3</x:v>
      </x:c>
      <x:c r="F38" s="90" t="n">
        <x:v>6.33</x:v>
      </x:c>
      <x:c r="G38" s="90" t="n">
        <x:v>6.38</x:v>
      </x:c>
      <x:c r="H38" s="90" t="n">
        <x:v>6.36</x:v>
      </x:c>
      <x:c r="I38" s="90" t="n">
        <x:v>6.41</x:v>
      </x:c>
    </x:row>
    <x:row r="39">
      <x:c r="A39" s="72" t="n">
        <x:v>46240.920752314814</x:v>
      </x:c>
      <x:c r="B39" s="90" t="n">
        <x:v>6.42</x:v>
      </x:c>
      <x:c r="C39" s="90" t="n">
        <x:v>6.47</x:v>
      </x:c>
      <x:c r="D39" s="90" t="n">
        <x:v>6.48</x:v>
      </x:c>
      <x:c r="E39" s="90" t="n">
        <x:v>6.29</x:v>
      </x:c>
      <x:c r="F39" s="90" t="n">
        <x:v>6.32</x:v>
      </x:c>
      <x:c r="G39" s="90" t="n">
        <x:v>6.38</x:v>
      </x:c>
      <x:c r="H39" s="90" t="n">
        <x:v>6.37</x:v>
      </x:c>
      <x:c r="I39" s="90" t="n">
        <x:v>6.41</x:v>
      </x:c>
    </x:row>
    <x:row r="40">
      <x:c r="A40" s="72" t="n">
        <x:v>46240.92422453704</x:v>
      </x:c>
      <x:c r="B40" s="90" t="n">
        <x:v>6.43</x:v>
      </x:c>
      <x:c r="C40" s="90" t="n">
        <x:v>6.47</x:v>
      </x:c>
      <x:c r="D40" s="90" t="n">
        <x:v>6.48</x:v>
      </x:c>
      <x:c r="E40" s="90" t="n">
        <x:v>6.28</x:v>
      </x:c>
      <x:c r="F40" s="90" t="n">
        <x:v>6.32</x:v>
      </x:c>
      <x:c r="G40" s="90" t="n">
        <x:v>6.37</x:v>
      </x:c>
      <x:c r="H40" s="90" t="n">
        <x:v>6.37</x:v>
      </x:c>
      <x:c r="I40" s="90" t="n">
        <x:v>6.42</x:v>
      </x:c>
    </x:row>
    <x:row r="41">
      <x:c r="A41" s="72" t="n">
        <x:v>46240.92769675926</x:v>
      </x:c>
      <x:c r="B41" s="90" t="n">
        <x:v>6.43</x:v>
      </x:c>
      <x:c r="C41" s="90" t="n">
        <x:v>6.48</x:v>
      </x:c>
      <x:c r="D41" s="90" t="n">
        <x:v>6.47</x:v>
      </x:c>
      <x:c r="E41" s="90" t="n">
        <x:v>6.28</x:v>
      </x:c>
      <x:c r="F41" s="90" t="n">
        <x:v>6.31</x:v>
      </x:c>
      <x:c r="G41" s="90" t="n">
        <x:v>6.37</x:v>
      </x:c>
      <x:c r="H41" s="90" t="n">
        <x:v>6.38</x:v>
      </x:c>
      <x:c r="I41" s="90" t="n">
        <x:v>6.42</x:v>
      </x:c>
    </x:row>
    <x:row r="42">
      <x:c r="A42" s="72" t="n">
        <x:v>46240.93116898148</x:v>
      </x:c>
      <x:c r="B42" s="90" t="n">
        <x:v>6.44</x:v>
      </x:c>
      <x:c r="C42" s="90" t="n">
        <x:v>6.48</x:v>
      </x:c>
      <x:c r="D42" s="90" t="n">
        <x:v>6.47</x:v>
      </x:c>
      <x:c r="E42" s="90" t="n">
        <x:v>6.27</x:v>
      </x:c>
      <x:c r="F42" s="90" t="n">
        <x:v>6.31</x:v>
      </x:c>
      <x:c r="G42" s="90" t="n">
        <x:v>6.36</x:v>
      </x:c>
      <x:c r="H42" s="90" t="n">
        <x:v>6.38</x:v>
      </x:c>
      <x:c r="I42" s="90" t="n">
        <x:v>6.43</x:v>
      </x:c>
    </x:row>
    <x:row r="43">
      <x:c r="A43" s="72" t="n">
        <x:v>46240.934641203705</x:v>
      </x:c>
      <x:c r="B43" s="90" t="n">
        <x:v>6.45</x:v>
      </x:c>
      <x:c r="C43" s="90" t="n">
        <x:v>6.49</x:v>
      </x:c>
      <x:c r="D43" s="90" t="n">
        <x:v>6.47</x:v>
      </x:c>
      <x:c r="E43" s="90" t="n">
        <x:v>6.27</x:v>
      </x:c>
      <x:c r="F43" s="90" t="n">
        <x:v>6.3</x:v>
      </x:c>
      <x:c r="G43" s="90" t="n">
        <x:v>6.36</x:v>
      </x:c>
      <x:c r="H43" s="90" t="n">
        <x:v>6.38</x:v>
      </x:c>
      <x:c r="I43" s="90" t="n">
        <x:v>6.43</x:v>
      </x:c>
    </x:row>
    <x:row r="44">
      <x:c r="A44" s="72" t="n">
        <x:v>46240.938113425924</x:v>
      </x:c>
      <x:c r="B44" s="90" t="n">
        <x:v>6.45</x:v>
      </x:c>
      <x:c r="C44" s="90" t="n">
        <x:v>6.5</x:v>
      </x:c>
      <x:c r="D44" s="90" t="n">
        <x:v>6.47</x:v>
      </x:c>
      <x:c r="E44" s="90" t="n">
        <x:v>6.27</x:v>
      </x:c>
      <x:c r="F44" s="90" t="n">
        <x:v>6.29</x:v>
      </x:c>
      <x:c r="G44" s="90" t="n">
        <x:v>6.35</x:v>
      </x:c>
      <x:c r="H44" s="90" t="n">
        <x:v>6.38</x:v>
      </x:c>
      <x:c r="I44" s="90" t="n">
        <x:v>6.43</x:v>
      </x:c>
    </x:row>
    <x:row r="45">
      <x:c r="A45" s="72" t="n">
        <x:v>46240.94158564815</x:v>
      </x:c>
      <x:c r="B45" s="90" t="n">
        <x:v>6.46</x:v>
      </x:c>
      <x:c r="C45" s="90" t="n">
        <x:v>6.5</x:v>
      </x:c>
      <x:c r="D45" s="90" t="n">
        <x:v>6.47</x:v>
      </x:c>
      <x:c r="E45" s="90" t="n">
        <x:v>6.27</x:v>
      </x:c>
      <x:c r="F45" s="90" t="n">
        <x:v>6.28</x:v>
      </x:c>
      <x:c r="G45" s="90" t="n">
        <x:v>6.34</x:v>
      </x:c>
      <x:c r="H45" s="90" t="n">
        <x:v>6.37</x:v>
      </x:c>
      <x:c r="I45" s="90" t="n">
        <x:v>6.43</x:v>
      </x:c>
    </x:row>
    <x:row r="46">
      <x:c r="A46" s="72" t="n">
        <x:v>46240.94505787037</x:v>
      </x:c>
      <x:c r="B46" s="90" t="n">
        <x:v>6.47</x:v>
      </x:c>
      <x:c r="C46" s="90" t="n">
        <x:v>6.51</x:v>
      </x:c>
      <x:c r="D46" s="90" t="n">
        <x:v>6.48</x:v>
      </x:c>
      <x:c r="E46" s="90" t="n">
        <x:v>6.27</x:v>
      </x:c>
      <x:c r="F46" s="90" t="n">
        <x:v>6.28</x:v>
      </x:c>
      <x:c r="G46" s="90" t="n">
        <x:v>6.33</x:v>
      </x:c>
      <x:c r="H46" s="90" t="n">
        <x:v>6.37</x:v>
      </x:c>
      <x:c r="I46" s="90" t="n">
        <x:v>6.42</x:v>
      </x:c>
    </x:row>
    <x:row r="47">
      <x:c r="A47" s="72" t="n">
        <x:v>46240.948530092595</x:v>
      </x:c>
      <x:c r="B47" s="90" t="n">
        <x:v>6.47</x:v>
      </x:c>
      <x:c r="C47" s="90" t="n">
        <x:v>6.52</x:v>
      </x:c>
      <x:c r="D47" s="90" t="n">
        <x:v>6.48</x:v>
      </x:c>
      <x:c r="E47" s="90" t="n">
        <x:v>6.28</x:v>
      </x:c>
      <x:c r="F47" s="90" t="n">
        <x:v>6.27</x:v>
      </x:c>
      <x:c r="G47" s="90" t="n">
        <x:v>6.33</x:v>
      </x:c>
      <x:c r="H47" s="90" t="n">
        <x:v>6.36</x:v>
      </x:c>
      <x:c r="I47" s="90" t="n">
        <x:v>6.42</x:v>
      </x:c>
    </x:row>
    <x:row r="48">
      <x:c r="A48" s="72" t="n">
        <x:v>46240.952002314814</x:v>
      </x:c>
      <x:c r="B48" s="90" t="n">
        <x:v>6.48</x:v>
      </x:c>
      <x:c r="C48" s="90" t="n">
        <x:v>6.52</x:v>
      </x:c>
      <x:c r="D48" s="90" t="n">
        <x:v>6.49</x:v>
      </x:c>
      <x:c r="E48" s="90" t="n">
        <x:v>6.28</x:v>
      </x:c>
      <x:c r="F48" s="90" t="n">
        <x:v>6.27</x:v>
      </x:c>
      <x:c r="G48" s="90" t="n">
        <x:v>6.32</x:v>
      </x:c>
      <x:c r="H48" s="90" t="n">
        <x:v>6.36</x:v>
      </x:c>
      <x:c r="I48" s="90" t="n">
        <x:v>6.41</x:v>
      </x:c>
    </x:row>
    <x:row r="49">
      <x:c r="A49" s="72" t="n">
        <x:v>46240.95547453704</x:v>
      </x:c>
      <x:c r="B49" s="90" t="n">
        <x:v>6.48</x:v>
      </x:c>
      <x:c r="C49" s="90" t="n">
        <x:v>6.53</x:v>
      </x:c>
      <x:c r="D49" s="90" t="n">
        <x:v>6.5</x:v>
      </x:c>
      <x:c r="E49" s="90" t="n">
        <x:v>6.29</x:v>
      </x:c>
      <x:c r="F49" s="90" t="n">
        <x:v>6.27</x:v>
      </x:c>
      <x:c r="G49" s="90" t="n">
        <x:v>6.32</x:v>
      </x:c>
      <x:c r="H49" s="90" t="n">
        <x:v>6.35</x:v>
      </x:c>
      <x:c r="I49" s="90" t="n">
        <x:v>6.41</x:v>
      </x:c>
    </x:row>
    <x:row r="50">
      <x:c r="A50" s="72" t="n">
        <x:v>46240.95894675926</x:v>
      </x:c>
      <x:c r="B50" s="90" t="n">
        <x:v>6.48</x:v>
      </x:c>
      <x:c r="C50" s="90" t="n">
        <x:v>6.53</x:v>
      </x:c>
      <x:c r="D50" s="90" t="n">
        <x:v>6.5</x:v>
      </x:c>
      <x:c r="E50" s="90" t="n">
        <x:v>6.3</x:v>
      </x:c>
      <x:c r="F50" s="90" t="n">
        <x:v>6.27</x:v>
      </x:c>
      <x:c r="G50" s="90" t="n">
        <x:v>6.32</x:v>
      </x:c>
      <x:c r="H50" s="90" t="n">
        <x:v>6.34</x:v>
      </x:c>
      <x:c r="I50" s="90" t="n">
        <x:v>6.4</x:v>
      </x:c>
    </x:row>
    <x:row r="51">
      <x:c r="A51" s="72" t="n">
        <x:v>46240.96241898148</x:v>
      </x:c>
      <x:c r="B51" s="90" t="n">
        <x:v>6.48</x:v>
      </x:c>
      <x:c r="C51" s="90" t="n">
        <x:v>6.53</x:v>
      </x:c>
      <x:c r="D51" s="90" t="n">
        <x:v>6.51</x:v>
      </x:c>
      <x:c r="E51" s="90" t="n">
        <x:v>6.3</x:v>
      </x:c>
      <x:c r="F51" s="90" t="n">
        <x:v>6.27</x:v>
      </x:c>
      <x:c r="G51" s="90" t="n">
        <x:v>6.32</x:v>
      </x:c>
      <x:c r="H51" s="90" t="n">
        <x:v>6.33</x:v>
      </x:c>
      <x:c r="I51" s="90" t="n">
        <x:v>6.39</x:v>
      </x:c>
    </x:row>
    <x:row r="52">
      <x:c r="A52" s="72" t="n">
        <x:v>46240.965891203705</x:v>
      </x:c>
      <x:c r="B52" s="90" t="n">
        <x:v>6.48</x:v>
      </x:c>
      <x:c r="C52" s="90" t="n">
        <x:v>6.53</x:v>
      </x:c>
      <x:c r="D52" s="90" t="n">
        <x:v>6.52</x:v>
      </x:c>
      <x:c r="E52" s="90" t="n">
        <x:v>6.31</x:v>
      </x:c>
      <x:c r="F52" s="90" t="n">
        <x:v>6.28</x:v>
      </x:c>
      <x:c r="G52" s="90" t="n">
        <x:v>6.32</x:v>
      </x:c>
      <x:c r="H52" s="90" t="n">
        <x:v>6.33</x:v>
      </x:c>
      <x:c r="I52" s="90" t="n">
        <x:v>6.38</x:v>
      </x:c>
    </x:row>
    <x:row r="53">
      <x:c r="A53" s="73" t="n">
        <x:v>46240.969363425924</x:v>
      </x:c>
      <x:c r="B53" s="91" t="n">
        <x:v>6.47</x:v>
      </x:c>
      <x:c r="C53" s="91" t="n">
        <x:v>6.53</x:v>
      </x:c>
      <x:c r="D53" s="91" t="n">
        <x:v>6.52</x:v>
      </x:c>
      <x:c r="E53" s="91" t="n">
        <x:v>6.32</x:v>
      </x:c>
      <x:c r="F53" s="91" t="n">
        <x:v>6.28</x:v>
      </x:c>
      <x:c r="G53" s="91" t="n">
        <x:v>6.33</x:v>
      </x:c>
      <x:c r="H53" s="91" t="n">
        <x:v>6.32</x:v>
      </x:c>
      <x:c r="I53" s="91" t="n">
        <x:v>6.38</x:v>
      </x:c>
    </x:row>
  </x:sheetData>
  <x:mergeCells>
    <x:mergeCell ref="A1:I1"/>
    <x:mergeCell ref="A2:I2"/>
  </x:mergeCells>
  <x:conditionalFormatting sqref="B5:I53">
    <x:cfRule type="expression" dxfId="9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7b6bd91634034f11"/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W2处理：土壤张力随时间变化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排列。单位：kPa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33" t="str">
        <x:v>采集时间</x:v>
      </x:c>
      <x:c r="B4" s="134" t="str">
        <x:v>B1-W2-V1（P05）</x:v>
      </x:c>
      <x:c r="C4" s="134" t="str">
        <x:v>B1-W2-V2（P06）</x:v>
      </x:c>
      <x:c r="D4" s="134" t="str">
        <x:v>B2-W2-V1（P11）</x:v>
      </x:c>
      <x:c r="E4" s="134" t="str">
        <x:v>B2-W2-V2（P12）</x:v>
      </x:c>
      <x:c r="F4" s="134" t="str">
        <x:v>B3-W2-V1（P17）</x:v>
      </x:c>
      <x:c r="G4" s="134" t="str">
        <x:v>B3-W2-V2（P18）</x:v>
      </x:c>
      <x:c r="H4" s="134" t="str">
        <x:v>B4-W2-V1（P23）</x:v>
      </x:c>
      <x:c r="I4" s="135" t="str">
        <x:v>B4-W2-V2（P24）</x:v>
      </x:c>
    </x:row>
    <x:row r="5">
      <x:c r="A5" s="72" t="n">
        <x:v>46240.80269675926</x:v>
      </x:c>
      <x:c r="B5" s="82" t="n">
        <x:v>-35.3</x:v>
      </x:c>
      <x:c r="C5" s="82" t="n">
        <x:v>-36.6</x:v>
      </x:c>
      <x:c r="D5" s="82" t="n">
        <x:v>-36.6</x:v>
      </x:c>
      <x:c r="E5" s="82" t="n">
        <x:v>-37.3</x:v>
      </x:c>
      <x:c r="F5" s="82" t="n">
        <x:v>-35</x:v>
      </x:c>
      <x:c r="G5" s="82" t="n">
        <x:v>-35.6</x:v>
      </x:c>
      <x:c r="H5" s="82" t="n">
        <x:v>-35.2</x:v>
      </x:c>
      <x:c r="I5" s="82" t="n">
        <x:v>-36.5</x:v>
      </x:c>
    </x:row>
    <x:row r="6">
      <x:c r="A6" s="72" t="n">
        <x:v>46240.80616898148</x:v>
      </x:c>
      <x:c r="B6" s="82" t="n">
        <x:v>-34.8</x:v>
      </x:c>
      <x:c r="C6" s="82" t="n">
        <x:v>-36.3</x:v>
      </x:c>
      <x:c r="D6" s="82" t="n">
        <x:v>-36.9</x:v>
      </x:c>
      <x:c r="E6" s="82" t="n">
        <x:v>-37.6</x:v>
      </x:c>
      <x:c r="F6" s="82" t="n">
        <x:v>-35.4</x:v>
      </x:c>
      <x:c r="G6" s="82" t="n">
        <x:v>-36</x:v>
      </x:c>
      <x:c r="H6" s="82" t="n">
        <x:v>-35</x:v>
      </x:c>
      <x:c r="I6" s="82" t="n">
        <x:v>-36.2</x:v>
      </x:c>
    </x:row>
    <x:row r="7">
      <x:c r="A7" s="72" t="n">
        <x:v>46240.809641203705</x:v>
      </x:c>
      <x:c r="B7" s="82" t="n">
        <x:v>-34.4</x:v>
      </x:c>
      <x:c r="C7" s="82" t="n">
        <x:v>-35.8</x:v>
      </x:c>
      <x:c r="D7" s="82" t="n">
        <x:v>-37</x:v>
      </x:c>
      <x:c r="E7" s="82" t="n">
        <x:v>-37.9</x:v>
      </x:c>
      <x:c r="F7" s="82" t="n">
        <x:v>-35.9</x:v>
      </x:c>
      <x:c r="G7" s="82" t="n">
        <x:v>-36.4</x:v>
      </x:c>
      <x:c r="H7" s="82" t="n">
        <x:v>-35</x:v>
      </x:c>
      <x:c r="I7" s="82" t="n">
        <x:v>-36</x:v>
      </x:c>
    </x:row>
    <x:row r="8">
      <x:c r="A8" s="72" t="n">
        <x:v>46240.813113425924</x:v>
      </x:c>
      <x:c r="B8" s="82" t="n">
        <x:v>-33.9</x:v>
      </x:c>
      <x:c r="C8" s="82" t="n">
        <x:v>-35.4</x:v>
      </x:c>
      <x:c r="D8" s="82" t="n">
        <x:v>-37</x:v>
      </x:c>
      <x:c r="E8" s="82" t="n">
        <x:v>-38</x:v>
      </x:c>
      <x:c r="F8" s="82" t="n">
        <x:v>-36.4</x:v>
      </x:c>
      <x:c r="G8" s="82" t="n">
        <x:v>-36.9</x:v>
      </x:c>
      <x:c r="H8" s="82" t="n">
        <x:v>-35.1</x:v>
      </x:c>
      <x:c r="I8" s="82" t="n">
        <x:v>-36</x:v>
      </x:c>
    </x:row>
    <x:row r="9">
      <x:c r="A9" s="72" t="n">
        <x:v>46240.81658564815</x:v>
      </x:c>
      <x:c r="B9" s="82" t="n">
        <x:v>-33.4</x:v>
      </x:c>
      <x:c r="C9" s="82" t="n">
        <x:v>-34.9</x:v>
      </x:c>
      <x:c r="D9" s="82" t="n">
        <x:v>-36.9</x:v>
      </x:c>
      <x:c r="E9" s="82" t="n">
        <x:v>-38</x:v>
      </x:c>
      <x:c r="F9" s="82" t="n">
        <x:v>-36.9</x:v>
      </x:c>
      <x:c r="G9" s="82" t="n">
        <x:v>-37.4</x:v>
      </x:c>
      <x:c r="H9" s="82" t="n">
        <x:v>-35.3</x:v>
      </x:c>
      <x:c r="I9" s="82" t="n">
        <x:v>-36.1</x:v>
      </x:c>
    </x:row>
    <x:row r="10">
      <x:c r="A10" s="72" t="n">
        <x:v>46240.82005787037</x:v>
      </x:c>
      <x:c r="B10" s="82" t="n">
        <x:v>-32.9</x:v>
      </x:c>
      <x:c r="C10" s="82" t="n">
        <x:v>-34.4</x:v>
      </x:c>
      <x:c r="D10" s="82" t="n">
        <x:v>-36.6</x:v>
      </x:c>
      <x:c r="E10" s="82" t="n">
        <x:v>-37.9</x:v>
      </x:c>
      <x:c r="F10" s="82" t="n">
        <x:v>-37.3</x:v>
      </x:c>
      <x:c r="G10" s="82" t="n">
        <x:v>-37.9</x:v>
      </x:c>
      <x:c r="H10" s="82" t="n">
        <x:v>-35.6</x:v>
      </x:c>
      <x:c r="I10" s="82" t="n">
        <x:v>-36.3</x:v>
      </x:c>
    </x:row>
    <x:row r="11">
      <x:c r="A11" s="72" t="n">
        <x:v>46240.823530092595</x:v>
      </x:c>
      <x:c r="B11" s="82" t="n">
        <x:v>-32.5</x:v>
      </x:c>
      <x:c r="C11" s="82" t="n">
        <x:v>-33.9</x:v>
      </x:c>
      <x:c r="D11" s="82" t="n">
        <x:v>-36.3</x:v>
      </x:c>
      <x:c r="E11" s="82" t="n">
        <x:v>-37.6</x:v>
      </x:c>
      <x:c r="F11" s="82" t="n">
        <x:v>-37.6</x:v>
      </x:c>
      <x:c r="G11" s="82" t="n">
        <x:v>-38.3</x:v>
      </x:c>
      <x:c r="H11" s="82" t="n">
        <x:v>-36</x:v>
      </x:c>
      <x:c r="I11" s="82" t="n">
        <x:v>-36.6</x:v>
      </x:c>
    </x:row>
    <x:row r="12">
      <x:c r="A12" s="72" t="n">
        <x:v>46240.827002314814</x:v>
      </x:c>
      <x:c r="B12" s="82" t="n">
        <x:v>-32.2</x:v>
      </x:c>
      <x:c r="C12" s="82" t="n">
        <x:v>-33.5</x:v>
      </x:c>
      <x:c r="D12" s="82" t="n">
        <x:v>-35.8</x:v>
      </x:c>
      <x:c r="E12" s="82" t="n">
        <x:v>-37.3</x:v>
      </x:c>
      <x:c r="F12" s="82" t="n">
        <x:v>-37.9</x:v>
      </x:c>
      <x:c r="G12" s="82" t="n">
        <x:v>-38.6</x:v>
      </x:c>
      <x:c r="H12" s="82" t="n">
        <x:v>-36.4</x:v>
      </x:c>
      <x:c r="I12" s="82" t="n">
        <x:v>-37</x:v>
      </x:c>
    </x:row>
    <x:row r="13">
      <x:c r="A13" s="72" t="n">
        <x:v>46240.83047453704</x:v>
      </x:c>
      <x:c r="B13" s="82" t="n">
        <x:v>-32.1</x:v>
      </x:c>
      <x:c r="C13" s="82" t="n">
        <x:v>-33.2</x:v>
      </x:c>
      <x:c r="D13" s="82" t="n">
        <x:v>-35.4</x:v>
      </x:c>
      <x:c r="E13" s="82" t="n">
        <x:v>-36.8</x:v>
      </x:c>
      <x:c r="F13" s="82" t="n">
        <x:v>-38</x:v>
      </x:c>
      <x:c r="G13" s="82" t="n">
        <x:v>-38.9</x:v>
      </x:c>
      <x:c r="H13" s="82" t="n">
        <x:v>-36.9</x:v>
      </x:c>
      <x:c r="I13" s="82" t="n">
        <x:v>-37.4</x:v>
      </x:c>
    </x:row>
    <x:row r="14">
      <x:c r="A14" s="72" t="n">
        <x:v>46240.83394675926</x:v>
      </x:c>
      <x:c r="B14" s="82" t="n">
        <x:v>-32</x:v>
      </x:c>
      <x:c r="C14" s="82" t="n">
        <x:v>-33.1</x:v>
      </x:c>
      <x:c r="D14" s="82" t="n">
        <x:v>-34.9</x:v>
      </x:c>
      <x:c r="E14" s="82" t="n">
        <x:v>-36.4</x:v>
      </x:c>
      <x:c r="F14" s="82" t="n">
        <x:v>-38</x:v>
      </x:c>
      <x:c r="G14" s="82" t="n">
        <x:v>-39</x:v>
      </x:c>
      <x:c r="H14" s="82" t="n">
        <x:v>-37.4</x:v>
      </x:c>
      <x:c r="I14" s="82" t="n">
        <x:v>-37.9</x:v>
      </x:c>
    </x:row>
    <x:row r="15">
      <x:c r="A15" s="72" t="n">
        <x:v>46240.83741898148</x:v>
      </x:c>
      <x:c r="B15" s="82" t="n">
        <x:v>-32.1</x:v>
      </x:c>
      <x:c r="C15" s="82" t="n">
        <x:v>-33</x:v>
      </x:c>
      <x:c r="D15" s="82" t="n">
        <x:v>-34.4</x:v>
      </x:c>
      <x:c r="E15" s="82" t="n">
        <x:v>-35.9</x:v>
      </x:c>
      <x:c r="F15" s="82" t="n">
        <x:v>-37.9</x:v>
      </x:c>
      <x:c r="G15" s="82" t="n">
        <x:v>-39</x:v>
      </x:c>
      <x:c r="H15" s="82" t="n">
        <x:v>-37.9</x:v>
      </x:c>
      <x:c r="I15" s="82" t="n">
        <x:v>-38.4</x:v>
      </x:c>
    </x:row>
    <x:row r="16">
      <x:c r="A16" s="72" t="n">
        <x:v>46240.840891203705</x:v>
      </x:c>
      <x:c r="B16" s="82" t="n">
        <x:v>-32.2</x:v>
      </x:c>
      <x:c r="C16" s="82" t="n">
        <x:v>-33.1</x:v>
      </x:c>
      <x:c r="D16" s="82" t="n">
        <x:v>-33.9</x:v>
      </x:c>
      <x:c r="E16" s="82" t="n">
        <x:v>-35.4</x:v>
      </x:c>
      <x:c r="F16" s="82" t="n">
        <x:v>-37.6</x:v>
      </x:c>
      <x:c r="G16" s="82" t="n">
        <x:v>-38.9</x:v>
      </x:c>
      <x:c r="H16" s="82" t="n">
        <x:v>-38.3</x:v>
      </x:c>
      <x:c r="I16" s="82" t="n">
        <x:v>-38.9</x:v>
      </x:c>
    </x:row>
    <x:row r="17">
      <x:c r="A17" s="72" t="n">
        <x:v>46240.844363425924</x:v>
      </x:c>
      <x:c r="B17" s="82" t="n">
        <x:v>-32.5</x:v>
      </x:c>
      <x:c r="C17" s="82" t="n">
        <x:v>-33.2</x:v>
      </x:c>
      <x:c r="D17" s="82" t="n">
        <x:v>-33.5</x:v>
      </x:c>
      <x:c r="E17" s="82" t="n">
        <x:v>-34.9</x:v>
      </x:c>
      <x:c r="F17" s="82" t="n">
        <x:v>-37.3</x:v>
      </x:c>
      <x:c r="G17" s="82" t="n">
        <x:v>-38.6</x:v>
      </x:c>
      <x:c r="H17" s="82" t="n">
        <x:v>-38.6</x:v>
      </x:c>
      <x:c r="I17" s="82" t="n">
        <x:v>-39.3</x:v>
      </x:c>
    </x:row>
    <x:row r="18">
      <x:c r="A18" s="72" t="n">
        <x:v>46240.84783564815</x:v>
      </x:c>
      <x:c r="B18" s="82" t="n">
        <x:v>-32.9</x:v>
      </x:c>
      <x:c r="C18" s="82" t="n">
        <x:v>-33.5</x:v>
      </x:c>
      <x:c r="D18" s="82" t="n">
        <x:v>-33.2</x:v>
      </x:c>
      <x:c r="E18" s="82" t="n">
        <x:v>-34.5</x:v>
      </x:c>
      <x:c r="F18" s="82" t="n">
        <x:v>-36.8</x:v>
      </x:c>
      <x:c r="G18" s="82" t="n">
        <x:v>-38.3</x:v>
      </x:c>
      <x:c r="H18" s="82" t="n">
        <x:v>-38.9</x:v>
      </x:c>
      <x:c r="I18" s="82" t="n">
        <x:v>-39.6</x:v>
      </x:c>
    </x:row>
    <x:row r="19">
      <x:c r="A19" s="72" t="n">
        <x:v>46240.85130787037</x:v>
      </x:c>
      <x:c r="B19" s="82" t="n">
        <x:v>-33.4</x:v>
      </x:c>
      <x:c r="C19" s="82" t="n">
        <x:v>-33.9</x:v>
      </x:c>
      <x:c r="D19" s="82" t="n">
        <x:v>-33.1</x:v>
      </x:c>
      <x:c r="E19" s="82" t="n">
        <x:v>-34.2</x:v>
      </x:c>
      <x:c r="F19" s="82" t="n">
        <x:v>-36.4</x:v>
      </x:c>
      <x:c r="G19" s="82" t="n">
        <x:v>-37.8</x:v>
      </x:c>
      <x:c r="H19" s="82" t="n">
        <x:v>-39</x:v>
      </x:c>
      <x:c r="I19" s="82" t="n">
        <x:v>-39.9</x:v>
      </x:c>
    </x:row>
    <x:row r="20">
      <x:c r="A20" s="72" t="n">
        <x:v>46240.854780092595</x:v>
      </x:c>
      <x:c r="B20" s="82" t="n">
        <x:v>-33.8</x:v>
      </x:c>
      <x:c r="C20" s="82" t="n">
        <x:v>-34.4</x:v>
      </x:c>
      <x:c r="D20" s="82" t="n">
        <x:v>-33</x:v>
      </x:c>
      <x:c r="E20" s="82" t="n">
        <x:v>-34.1</x:v>
      </x:c>
      <x:c r="F20" s="82" t="n">
        <x:v>-35.9</x:v>
      </x:c>
      <x:c r="G20" s="82" t="n">
        <x:v>-37.4</x:v>
      </x:c>
      <x:c r="H20" s="82" t="n">
        <x:v>-39</x:v>
      </x:c>
      <x:c r="I20" s="82" t="n">
        <x:v>-40</x:v>
      </x:c>
    </x:row>
    <x:row r="21">
      <x:c r="A21" s="72" t="n">
        <x:v>46240.858252314814</x:v>
      </x:c>
      <x:c r="B21" s="82" t="n">
        <x:v>-34.3</x:v>
      </x:c>
      <x:c r="C21" s="82" t="n">
        <x:v>-34.8</x:v>
      </x:c>
      <x:c r="D21" s="82" t="n">
        <x:v>-33.1</x:v>
      </x:c>
      <x:c r="E21" s="82" t="n">
        <x:v>-34</x:v>
      </x:c>
      <x:c r="F21" s="82" t="n">
        <x:v>-35.4</x:v>
      </x:c>
      <x:c r="G21" s="82" t="n">
        <x:v>-36.9</x:v>
      </x:c>
      <x:c r="H21" s="82" t="n">
        <x:v>-38.9</x:v>
      </x:c>
      <x:c r="I21" s="82" t="n">
        <x:v>-40</x:v>
      </x:c>
    </x:row>
    <x:row r="22">
      <x:c r="A22" s="72" t="n">
        <x:v>46240.86172453704</x:v>
      </x:c>
      <x:c r="B22" s="82" t="n">
        <x:v>-34.8</x:v>
      </x:c>
      <x:c r="C22" s="82" t="n">
        <x:v>-35.3</x:v>
      </x:c>
      <x:c r="D22" s="82" t="n">
        <x:v>-33.2</x:v>
      </x:c>
      <x:c r="E22" s="82" t="n">
        <x:v>-34.1</x:v>
      </x:c>
      <x:c r="F22" s="82" t="n">
        <x:v>-34.9</x:v>
      </x:c>
      <x:c r="G22" s="82" t="n">
        <x:v>-36.4</x:v>
      </x:c>
      <x:c r="H22" s="82" t="n">
        <x:v>-38.6</x:v>
      </x:c>
      <x:c r="I22" s="82" t="n">
        <x:v>-39.9</x:v>
      </x:c>
    </x:row>
    <x:row r="23">
      <x:c r="A23" s="72" t="n">
        <x:v>46240.86519675926</x:v>
      </x:c>
      <x:c r="B23" s="82" t="n">
        <x:v>-35.2</x:v>
      </x:c>
      <x:c r="C23" s="82" t="n">
        <x:v>-35.8</x:v>
      </x:c>
      <x:c r="D23" s="82" t="n">
        <x:v>-33.5</x:v>
      </x:c>
      <x:c r="E23" s="82" t="n">
        <x:v>-34.2</x:v>
      </x:c>
      <x:c r="F23" s="82" t="n">
        <x:v>-34.5</x:v>
      </x:c>
      <x:c r="G23" s="82" t="n">
        <x:v>-35.9</x:v>
      </x:c>
      <x:c r="H23" s="82" t="n">
        <x:v>-38.3</x:v>
      </x:c>
      <x:c r="I23" s="82" t="n">
        <x:v>-39.6</x:v>
      </x:c>
    </x:row>
    <x:row r="24">
      <x:c r="A24" s="72" t="n">
        <x:v>46240.86866898148</x:v>
      </x:c>
      <x:c r="B24" s="82" t="n">
        <x:v>-35.6</x:v>
      </x:c>
      <x:c r="C24" s="82" t="n">
        <x:v>-36.2</x:v>
      </x:c>
      <x:c r="D24" s="82" t="n">
        <x:v>-33.9</x:v>
      </x:c>
      <x:c r="E24" s="82" t="n">
        <x:v>-34.5</x:v>
      </x:c>
      <x:c r="F24" s="82" t="n">
        <x:v>-34.2</x:v>
      </x:c>
      <x:c r="G24" s="82" t="n">
        <x:v>-35.5</x:v>
      </x:c>
      <x:c r="H24" s="82" t="n">
        <x:v>-37.8</x:v>
      </x:c>
      <x:c r="I24" s="82" t="n">
        <x:v>-39.3</x:v>
      </x:c>
    </x:row>
    <x:row r="25">
      <x:c r="A25" s="72" t="n">
        <x:v>46240.872141203705</x:v>
      </x:c>
      <x:c r="B25" s="82" t="n">
        <x:v>-35.8</x:v>
      </x:c>
      <x:c r="C25" s="82" t="n">
        <x:v>-36.6</x:v>
      </x:c>
      <x:c r="D25" s="82" t="n">
        <x:v>-34.4</x:v>
      </x:c>
      <x:c r="E25" s="82" t="n">
        <x:v>-34.9</x:v>
      </x:c>
      <x:c r="F25" s="82" t="n">
        <x:v>-34.1</x:v>
      </x:c>
      <x:c r="G25" s="82" t="n">
        <x:v>-35.2</x:v>
      </x:c>
      <x:c r="H25" s="82" t="n">
        <x:v>-37.4</x:v>
      </x:c>
      <x:c r="I25" s="82" t="n">
        <x:v>-38.8</x:v>
      </x:c>
    </x:row>
    <x:row r="26">
      <x:c r="A26" s="72" t="n">
        <x:v>46240.875613425924</x:v>
      </x:c>
      <x:c r="B26" s="82" t="n">
        <x:v>-36</x:v>
      </x:c>
      <x:c r="C26" s="82" t="n">
        <x:v>-36.8</x:v>
      </x:c>
      <x:c r="D26" s="82" t="n">
        <x:v>-34.8</x:v>
      </x:c>
      <x:c r="E26" s="82" t="n">
        <x:v>-35.4</x:v>
      </x:c>
      <x:c r="F26" s="82" t="n">
        <x:v>-34</x:v>
      </x:c>
      <x:c r="G26" s="82" t="n">
        <x:v>-35.1</x:v>
      </x:c>
      <x:c r="H26" s="82" t="n">
        <x:v>-36.9</x:v>
      </x:c>
      <x:c r="I26" s="82" t="n">
        <x:v>-38.4</x:v>
      </x:c>
    </x:row>
    <x:row r="27">
      <x:c r="A27" s="72" t="n">
        <x:v>46240.87908564815</x:v>
      </x:c>
      <x:c r="B27" s="82" t="n">
        <x:v>-36</x:v>
      </x:c>
      <x:c r="C27" s="82" t="n">
        <x:v>-37</x:v>
      </x:c>
      <x:c r="D27" s="82" t="n">
        <x:v>-35.3</x:v>
      </x:c>
      <x:c r="E27" s="82" t="n">
        <x:v>-35.8</x:v>
      </x:c>
      <x:c r="F27" s="82" t="n">
        <x:v>-34.1</x:v>
      </x:c>
      <x:c r="G27" s="82" t="n">
        <x:v>-35</x:v>
      </x:c>
      <x:c r="H27" s="82" t="n">
        <x:v>-36.4</x:v>
      </x:c>
      <x:c r="I27" s="82" t="n">
        <x:v>-37.9</x:v>
      </x:c>
    </x:row>
    <x:row r="28">
      <x:c r="A28" s="72" t="n">
        <x:v>46240.88255787037</x:v>
      </x:c>
      <x:c r="B28" s="82" t="n">
        <x:v>-35.9</x:v>
      </x:c>
      <x:c r="C28" s="82" t="n">
        <x:v>-37</x:v>
      </x:c>
      <x:c r="D28" s="82" t="n">
        <x:v>-35.8</x:v>
      </x:c>
      <x:c r="E28" s="82" t="n">
        <x:v>-36.3</x:v>
      </x:c>
      <x:c r="F28" s="82" t="n">
        <x:v>-34.2</x:v>
      </x:c>
      <x:c r="G28" s="82" t="n">
        <x:v>-35.1</x:v>
      </x:c>
      <x:c r="H28" s="82" t="n">
        <x:v>-35.9</x:v>
      </x:c>
      <x:c r="I28" s="82" t="n">
        <x:v>-37.4</x:v>
      </x:c>
    </x:row>
    <x:row r="29">
      <x:c r="A29" s="72" t="n">
        <x:v>46240.886030092595</x:v>
      </x:c>
      <x:c r="B29" s="82" t="n">
        <x:v>-35.6</x:v>
      </x:c>
      <x:c r="C29" s="82" t="n">
        <x:v>-36.9</x:v>
      </x:c>
      <x:c r="D29" s="82" t="n">
        <x:v>-36.2</x:v>
      </x:c>
      <x:c r="E29" s="82" t="n">
        <x:v>-36.8</x:v>
      </x:c>
      <x:c r="F29" s="82" t="n">
        <x:v>-34.5</x:v>
      </x:c>
      <x:c r="G29" s="82" t="n">
        <x:v>-35.2</x:v>
      </x:c>
      <x:c r="H29" s="82" t="n">
        <x:v>-35.5</x:v>
      </x:c>
      <x:c r="I29" s="82" t="n">
        <x:v>-36.9</x:v>
      </x:c>
    </x:row>
    <x:row r="30">
      <x:c r="A30" s="72" t="n">
        <x:v>46240.889502314814</x:v>
      </x:c>
      <x:c r="B30" s="82" t="n">
        <x:v>-35.3</x:v>
      </x:c>
      <x:c r="C30" s="82" t="n">
        <x:v>-36.6</x:v>
      </x:c>
      <x:c r="D30" s="82" t="n">
        <x:v>-36.6</x:v>
      </x:c>
      <x:c r="E30" s="82" t="n">
        <x:v>-37.2</x:v>
      </x:c>
      <x:c r="F30" s="82" t="n">
        <x:v>-34.9</x:v>
      </x:c>
      <x:c r="G30" s="82" t="n">
        <x:v>-35.5</x:v>
      </x:c>
      <x:c r="H30" s="82" t="n">
        <x:v>-35.2</x:v>
      </x:c>
      <x:c r="I30" s="82" t="n">
        <x:v>-36.5</x:v>
      </x:c>
    </x:row>
    <x:row r="31">
      <x:c r="A31" s="72" t="n">
        <x:v>46240.89297453704</x:v>
      </x:c>
      <x:c r="B31" s="82" t="n">
        <x:v>-34.9</x:v>
      </x:c>
      <x:c r="C31" s="82" t="n">
        <x:v>-36.3</x:v>
      </x:c>
      <x:c r="D31" s="82" t="n">
        <x:v>-36.8</x:v>
      </x:c>
      <x:c r="E31" s="82" t="n">
        <x:v>-37.6</x:v>
      </x:c>
      <x:c r="F31" s="82" t="n">
        <x:v>-35.4</x:v>
      </x:c>
      <x:c r="G31" s="82" t="n">
        <x:v>-35.9</x:v>
      </x:c>
      <x:c r="H31" s="82" t="n">
        <x:v>-35.1</x:v>
      </x:c>
      <x:c r="I31" s="82" t="n">
        <x:v>-36.2</x:v>
      </x:c>
    </x:row>
    <x:row r="32">
      <x:c r="A32" s="72" t="n">
        <x:v>46240.89644675926</x:v>
      </x:c>
      <x:c r="B32" s="82" t="n">
        <x:v>-34.4</x:v>
      </x:c>
      <x:c r="C32" s="82" t="n">
        <x:v>-35.9</x:v>
      </x:c>
      <x:c r="D32" s="82" t="n">
        <x:v>-37</x:v>
      </x:c>
      <x:c r="E32" s="82" t="n">
        <x:v>-37.8</x:v>
      </x:c>
      <x:c r="F32" s="82" t="n">
        <x:v>-35.8</x:v>
      </x:c>
      <x:c r="G32" s="82" t="n">
        <x:v>-36.4</x:v>
      </x:c>
      <x:c r="H32" s="82" t="n">
        <x:v>-35</x:v>
      </x:c>
      <x:c r="I32" s="82" t="n">
        <x:v>-36.1</x:v>
      </x:c>
    </x:row>
    <x:row r="33">
      <x:c r="A33" s="72" t="n">
        <x:v>46240.89991898148</x:v>
      </x:c>
      <x:c r="B33" s="82" t="n">
        <x:v>-33.9</x:v>
      </x:c>
      <x:c r="C33" s="82" t="n">
        <x:v>-35.4</x:v>
      </x:c>
      <x:c r="D33" s="82" t="n">
        <x:v>-37</x:v>
      </x:c>
      <x:c r="E33" s="82" t="n">
        <x:v>-38</x:v>
      </x:c>
      <x:c r="F33" s="82" t="n">
        <x:v>-36.3</x:v>
      </x:c>
      <x:c r="G33" s="82" t="n">
        <x:v>-36.8</x:v>
      </x:c>
      <x:c r="H33" s="82" t="n">
        <x:v>-35.1</x:v>
      </x:c>
      <x:c r="I33" s="82" t="n">
        <x:v>-36</x:v>
      </x:c>
    </x:row>
    <x:row r="34">
      <x:c r="A34" s="72" t="n">
        <x:v>46240.903391203705</x:v>
      </x:c>
      <x:c r="B34" s="82" t="n">
        <x:v>-33.4</x:v>
      </x:c>
      <x:c r="C34" s="82" t="n">
        <x:v>-34.9</x:v>
      </x:c>
      <x:c r="D34" s="82" t="n">
        <x:v>-36.9</x:v>
      </x:c>
      <x:c r="E34" s="82" t="n">
        <x:v>-38</x:v>
      </x:c>
      <x:c r="F34" s="82" t="n">
        <x:v>-36.8</x:v>
      </x:c>
      <x:c r="G34" s="82" t="n">
        <x:v>-37.3</x:v>
      </x:c>
      <x:c r="H34" s="82" t="n">
        <x:v>-35.2</x:v>
      </x:c>
      <x:c r="I34" s="82" t="n">
        <x:v>-36.1</x:v>
      </x:c>
    </x:row>
    <x:row r="35">
      <x:c r="A35" s="72" t="n">
        <x:v>46240.906863425924</x:v>
      </x:c>
      <x:c r="B35" s="82" t="n">
        <x:v>-33</x:v>
      </x:c>
      <x:c r="C35" s="82" t="n">
        <x:v>-34.4</x:v>
      </x:c>
      <x:c r="D35" s="82" t="n">
        <x:v>-36.6</x:v>
      </x:c>
      <x:c r="E35" s="82" t="n">
        <x:v>-37.9</x:v>
      </x:c>
      <x:c r="F35" s="82" t="n">
        <x:v>-37.2</x:v>
      </x:c>
      <x:c r="G35" s="82" t="n">
        <x:v>-37.8</x:v>
      </x:c>
      <x:c r="H35" s="82" t="n">
        <x:v>-35.5</x:v>
      </x:c>
      <x:c r="I35" s="82" t="n">
        <x:v>-36.2</x:v>
      </x:c>
    </x:row>
    <x:row r="36">
      <x:c r="A36" s="72" t="n">
        <x:v>46240.91033564815</x:v>
      </x:c>
      <x:c r="B36" s="82" t="n">
        <x:v>-32.6</x:v>
      </x:c>
      <x:c r="C36" s="82" t="n">
        <x:v>-34</x:v>
      </x:c>
      <x:c r="D36" s="82" t="n">
        <x:v>-36.3</x:v>
      </x:c>
      <x:c r="E36" s="82" t="n">
        <x:v>-37.6</x:v>
      </x:c>
      <x:c r="F36" s="82" t="n">
        <x:v>-37.6</x:v>
      </x:c>
      <x:c r="G36" s="82" t="n">
        <x:v>-38.2</x:v>
      </x:c>
      <x:c r="H36" s="82" t="n">
        <x:v>-35.9</x:v>
      </x:c>
      <x:c r="I36" s="82" t="n">
        <x:v>-36.5</x:v>
      </x:c>
    </x:row>
    <x:row r="37">
      <x:c r="A37" s="72" t="n">
        <x:v>46240.91380787037</x:v>
      </x:c>
      <x:c r="B37" s="82" t="n">
        <x:v>-32.3</x:v>
      </x:c>
      <x:c r="C37" s="82" t="n">
        <x:v>-33.6</x:v>
      </x:c>
      <x:c r="D37" s="82" t="n">
        <x:v>-35.9</x:v>
      </x:c>
      <x:c r="E37" s="82" t="n">
        <x:v>-37.3</x:v>
      </x:c>
      <x:c r="F37" s="82" t="n">
        <x:v>-37.8</x:v>
      </x:c>
      <x:c r="G37" s="82" t="n">
        <x:v>-38.6</x:v>
      </x:c>
      <x:c r="H37" s="82" t="n">
        <x:v>-36.4</x:v>
      </x:c>
      <x:c r="I37" s="82" t="n">
        <x:v>-36.9</x:v>
      </x:c>
    </x:row>
    <x:row r="38">
      <x:c r="A38" s="72" t="n">
        <x:v>46240.917280092595</x:v>
      </x:c>
      <x:c r="B38" s="82" t="n">
        <x:v>-32.1</x:v>
      </x:c>
      <x:c r="C38" s="82" t="n">
        <x:v>-33.3</x:v>
      </x:c>
      <x:c r="D38" s="82" t="n">
        <x:v>-35.4</x:v>
      </x:c>
      <x:c r="E38" s="82" t="n">
        <x:v>-36.9</x:v>
      </x:c>
      <x:c r="F38" s="82" t="n">
        <x:v>-38</x:v>
      </x:c>
      <x:c r="G38" s="82" t="n">
        <x:v>-38.8</x:v>
      </x:c>
      <x:c r="H38" s="82" t="n">
        <x:v>-36.8</x:v>
      </x:c>
      <x:c r="I38" s="82" t="n">
        <x:v>-37.4</x:v>
      </x:c>
    </x:row>
    <x:row r="39">
      <x:c r="A39" s="72" t="n">
        <x:v>46240.920752314814</x:v>
      </x:c>
      <x:c r="B39" s="82" t="n">
        <x:v>-32</x:v>
      </x:c>
      <x:c r="C39" s="82" t="n">
        <x:v>-33.1</x:v>
      </x:c>
      <x:c r="D39" s="82" t="n">
        <x:v>-34.9</x:v>
      </x:c>
      <x:c r="E39" s="82" t="n">
        <x:v>-36.4</x:v>
      </x:c>
      <x:c r="F39" s="82" t="n">
        <x:v>-38</x:v>
      </x:c>
      <x:c r="G39" s="82" t="n">
        <x:v>-39</x:v>
      </x:c>
      <x:c r="H39" s="82" t="n">
        <x:v>-37.3</x:v>
      </x:c>
      <x:c r="I39" s="82" t="n">
        <x:v>-37.8</x:v>
      </x:c>
    </x:row>
    <x:row r="40">
      <x:c r="A40" s="72" t="n">
        <x:v>46240.92422453704</x:v>
      </x:c>
      <x:c r="B40" s="82" t="n">
        <x:v>-32</x:v>
      </x:c>
      <x:c r="C40" s="82" t="n">
        <x:v>-33</x:v>
      </x:c>
      <x:c r="D40" s="82" t="n">
        <x:v>-34.4</x:v>
      </x:c>
      <x:c r="E40" s="82" t="n">
        <x:v>-35.9</x:v>
      </x:c>
      <x:c r="F40" s="82" t="n">
        <x:v>-37.9</x:v>
      </x:c>
      <x:c r="G40" s="82" t="n">
        <x:v>-39</x:v>
      </x:c>
      <x:c r="H40" s="82" t="n">
        <x:v>-37.8</x:v>
      </x:c>
      <x:c r="I40" s="82" t="n">
        <x:v>-38.3</x:v>
      </x:c>
    </x:row>
    <x:row r="41">
      <x:c r="A41" s="72" t="n">
        <x:v>46240.92769675926</x:v>
      </x:c>
      <x:c r="B41" s="82" t="n">
        <x:v>-32.2</x:v>
      </x:c>
      <x:c r="C41" s="82" t="n">
        <x:v>-33</x:v>
      </x:c>
      <x:c r="D41" s="82" t="n">
        <x:v>-34</x:v>
      </x:c>
      <x:c r="E41" s="82" t="n">
        <x:v>-35.4</x:v>
      </x:c>
      <x:c r="F41" s="82" t="n">
        <x:v>-37.6</x:v>
      </x:c>
      <x:c r="G41" s="82" t="n">
        <x:v>-38.9</x:v>
      </x:c>
      <x:c r="H41" s="82" t="n">
        <x:v>-38.2</x:v>
      </x:c>
      <x:c r="I41" s="82" t="n">
        <x:v>-38.8</x:v>
      </x:c>
    </x:row>
    <x:row r="42">
      <x:c r="A42" s="72" t="n">
        <x:v>46240.93116898148</x:v>
      </x:c>
      <x:c r="B42" s="82" t="n">
        <x:v>-32.5</x:v>
      </x:c>
      <x:c r="C42" s="82" t="n">
        <x:v>-33.2</x:v>
      </x:c>
      <x:c r="D42" s="82" t="n">
        <x:v>-33.6</x:v>
      </x:c>
      <x:c r="E42" s="82" t="n">
        <x:v>-35</x:v>
      </x:c>
      <x:c r="F42" s="82" t="n">
        <x:v>-37.3</x:v>
      </x:c>
      <x:c r="G42" s="82" t="n">
        <x:v>-38.6</x:v>
      </x:c>
      <x:c r="H42" s="82" t="n">
        <x:v>-38.6</x:v>
      </x:c>
      <x:c r="I42" s="82" t="n">
        <x:v>-39.2</x:v>
      </x:c>
    </x:row>
    <x:row r="43">
      <x:c r="A43" s="72" t="n">
        <x:v>46240.934641203705</x:v>
      </x:c>
      <x:c r="B43" s="82" t="n">
        <x:v>-32.9</x:v>
      </x:c>
      <x:c r="C43" s="82" t="n">
        <x:v>-33.5</x:v>
      </x:c>
      <x:c r="D43" s="82" t="n">
        <x:v>-33.3</x:v>
      </x:c>
      <x:c r="E43" s="82" t="n">
        <x:v>-34.6</x:v>
      </x:c>
      <x:c r="F43" s="82" t="n">
        <x:v>-36.9</x:v>
      </x:c>
      <x:c r="G43" s="82" t="n">
        <x:v>-38.3</x:v>
      </x:c>
      <x:c r="H43" s="82" t="n">
        <x:v>-38.8</x:v>
      </x:c>
      <x:c r="I43" s="82" t="n">
        <x:v>-39.6</x:v>
      </x:c>
    </x:row>
    <x:row r="44">
      <x:c r="A44" s="72" t="n">
        <x:v>46240.938113425924</x:v>
      </x:c>
      <x:c r="B44" s="82" t="n">
        <x:v>-33.3</x:v>
      </x:c>
      <x:c r="C44" s="82" t="n">
        <x:v>-33.9</x:v>
      </x:c>
      <x:c r="D44" s="82" t="n">
        <x:v>-33.1</x:v>
      </x:c>
      <x:c r="E44" s="82" t="n">
        <x:v>-34.3</x:v>
      </x:c>
      <x:c r="F44" s="82" t="n">
        <x:v>-36.4</x:v>
      </x:c>
      <x:c r="G44" s="82" t="n">
        <x:v>-37.9</x:v>
      </x:c>
      <x:c r="H44" s="82" t="n">
        <x:v>-39</x:v>
      </x:c>
      <x:c r="I44" s="82" t="n">
        <x:v>-39.8</x:v>
      </x:c>
    </x:row>
    <x:row r="45">
      <x:c r="A45" s="72" t="n">
        <x:v>46240.94158564815</x:v>
      </x:c>
      <x:c r="B45" s="82" t="n">
        <x:v>-33.8</x:v>
      </x:c>
      <x:c r="C45" s="82" t="n">
        <x:v>-34.3</x:v>
      </x:c>
      <x:c r="D45" s="82" t="n">
        <x:v>-33</x:v>
      </x:c>
      <x:c r="E45" s="82" t="n">
        <x:v>-34.1</x:v>
      </x:c>
      <x:c r="F45" s="82" t="n">
        <x:v>-35.9</x:v>
      </x:c>
      <x:c r="G45" s="82" t="n">
        <x:v>-37.4</x:v>
      </x:c>
      <x:c r="H45" s="82" t="n">
        <x:v>-39</x:v>
      </x:c>
      <x:c r="I45" s="82" t="n">
        <x:v>-40</x:v>
      </x:c>
    </x:row>
    <x:row r="46">
      <x:c r="A46" s="72" t="n">
        <x:v>46240.94505787037</x:v>
      </x:c>
      <x:c r="B46" s="82" t="n">
        <x:v>-34.3</x:v>
      </x:c>
      <x:c r="C46" s="82" t="n">
        <x:v>-34.8</x:v>
      </x:c>
      <x:c r="D46" s="82" t="n">
        <x:v>-33</x:v>
      </x:c>
      <x:c r="E46" s="82" t="n">
        <x:v>-34</x:v>
      </x:c>
      <x:c r="F46" s="82" t="n">
        <x:v>-35.4</x:v>
      </x:c>
      <x:c r="G46" s="82" t="n">
        <x:v>-36.9</x:v>
      </x:c>
      <x:c r="H46" s="82" t="n">
        <x:v>-38.9</x:v>
      </x:c>
      <x:c r="I46" s="82" t="n">
        <x:v>-40</x:v>
      </x:c>
    </x:row>
    <x:row r="47">
      <x:c r="A47" s="72" t="n">
        <x:v>46240.948530092595</x:v>
      </x:c>
      <x:c r="B47" s="82" t="n">
        <x:v>-34.8</x:v>
      </x:c>
      <x:c r="C47" s="82" t="n">
        <x:v>-35.3</x:v>
      </x:c>
      <x:c r="D47" s="82" t="n">
        <x:v>-33.2</x:v>
      </x:c>
      <x:c r="E47" s="82" t="n">
        <x:v>-34</x:v>
      </x:c>
      <x:c r="F47" s="82" t="n">
        <x:v>-35</x:v>
      </x:c>
      <x:c r="G47" s="82" t="n">
        <x:v>-36.4</x:v>
      </x:c>
      <x:c r="H47" s="82" t="n">
        <x:v>-38.6</x:v>
      </x:c>
      <x:c r="I47" s="82" t="n">
        <x:v>-39.9</x:v>
      </x:c>
    </x:row>
    <x:row r="48">
      <x:c r="A48" s="72" t="n">
        <x:v>46240.952002314814</x:v>
      </x:c>
      <x:c r="B48" s="82" t="n">
        <x:v>-35.2</x:v>
      </x:c>
      <x:c r="C48" s="82" t="n">
        <x:v>-35.8</x:v>
      </x:c>
      <x:c r="D48" s="82" t="n">
        <x:v>-33.5</x:v>
      </x:c>
      <x:c r="E48" s="82" t="n">
        <x:v>-34.2</x:v>
      </x:c>
      <x:c r="F48" s="82" t="n">
        <x:v>-34.6</x:v>
      </x:c>
      <x:c r="G48" s="82" t="n">
        <x:v>-36</x:v>
      </x:c>
      <x:c r="H48" s="82" t="n">
        <x:v>-38.3</x:v>
      </x:c>
      <x:c r="I48" s="82" t="n">
        <x:v>-39.6</x:v>
      </x:c>
    </x:row>
    <x:row r="49">
      <x:c r="A49" s="72" t="n">
        <x:v>46240.95547453704</x:v>
      </x:c>
      <x:c r="B49" s="82" t="n">
        <x:v>-35.6</x:v>
      </x:c>
      <x:c r="C49" s="82" t="n">
        <x:v>-36.2</x:v>
      </x:c>
      <x:c r="D49" s="82" t="n">
        <x:v>-33.9</x:v>
      </x:c>
      <x:c r="E49" s="82" t="n">
        <x:v>-34.5</x:v>
      </x:c>
      <x:c r="F49" s="82" t="n">
        <x:v>-34.3</x:v>
      </x:c>
      <x:c r="G49" s="82" t="n">
        <x:v>-35.6</x:v>
      </x:c>
      <x:c r="H49" s="82" t="n">
        <x:v>-37.9</x:v>
      </x:c>
      <x:c r="I49" s="82" t="n">
        <x:v>-39.3</x:v>
      </x:c>
    </x:row>
    <x:row r="50">
      <x:c r="A50" s="72" t="n">
        <x:v>46240.95894675926</x:v>
      </x:c>
      <x:c r="B50" s="82" t="n">
        <x:v>-35.8</x:v>
      </x:c>
      <x:c r="C50" s="82" t="n">
        <x:v>-36.6</x:v>
      </x:c>
      <x:c r="D50" s="82" t="n">
        <x:v>-34.3</x:v>
      </x:c>
      <x:c r="E50" s="82" t="n">
        <x:v>-34.9</x:v>
      </x:c>
      <x:c r="F50" s="82" t="n">
        <x:v>-34.1</x:v>
      </x:c>
      <x:c r="G50" s="82" t="n">
        <x:v>-35.3</x:v>
      </x:c>
      <x:c r="H50" s="82" t="n">
        <x:v>-37.4</x:v>
      </x:c>
      <x:c r="I50" s="82" t="n">
        <x:v>-38.9</x:v>
      </x:c>
    </x:row>
    <x:row r="51">
      <x:c r="A51" s="72" t="n">
        <x:v>46240.96241898148</x:v>
      </x:c>
      <x:c r="B51" s="82" t="n">
        <x:v>-36</x:v>
      </x:c>
      <x:c r="C51" s="82" t="n">
        <x:v>-36.8</x:v>
      </x:c>
      <x:c r="D51" s="82" t="n">
        <x:v>-34.8</x:v>
      </x:c>
      <x:c r="E51" s="82" t="n">
        <x:v>-35.3</x:v>
      </x:c>
      <x:c r="F51" s="82" t="n">
        <x:v>-34</x:v>
      </x:c>
      <x:c r="G51" s="82" t="n">
        <x:v>-35.1</x:v>
      </x:c>
      <x:c r="H51" s="82" t="n">
        <x:v>-36.9</x:v>
      </x:c>
      <x:c r="I51" s="82" t="n">
        <x:v>-38.4</x:v>
      </x:c>
    </x:row>
    <x:row r="52">
      <x:c r="A52" s="72" t="n">
        <x:v>46240.965891203705</x:v>
      </x:c>
      <x:c r="B52" s="82" t="n">
        <x:v>-36</x:v>
      </x:c>
      <x:c r="C52" s="82" t="n">
        <x:v>-37</x:v>
      </x:c>
      <x:c r="D52" s="82" t="n">
        <x:v>-35.3</x:v>
      </x:c>
      <x:c r="E52" s="82" t="n">
        <x:v>-35.8</x:v>
      </x:c>
      <x:c r="F52" s="82" t="n">
        <x:v>-34</x:v>
      </x:c>
      <x:c r="G52" s="82" t="n">
        <x:v>-35</x:v>
      </x:c>
      <x:c r="H52" s="82" t="n">
        <x:v>-36.4</x:v>
      </x:c>
      <x:c r="I52" s="82" t="n">
        <x:v>-37.9</x:v>
      </x:c>
    </x:row>
    <x:row r="53">
      <x:c r="A53" s="73" t="n">
        <x:v>46240.969363425924</x:v>
      </x:c>
      <x:c r="B53" s="83" t="n">
        <x:v>-35.9</x:v>
      </x:c>
      <x:c r="C53" s="83" t="n">
        <x:v>-37</x:v>
      </x:c>
      <x:c r="D53" s="83"/>
      <x:c r="E53" s="83" t="n">
        <x:v>-36.3</x:v>
      </x:c>
      <x:c r="F53" s="83" t="n">
        <x:v>-34.2</x:v>
      </x:c>
      <x:c r="G53" s="83" t="n">
        <x:v>-35</x:v>
      </x:c>
      <x:c r="H53" s="83" t="n">
        <x:v>-36</x:v>
      </x:c>
      <x:c r="I53" s="83" t="n">
        <x:v>-37.4</x:v>
      </x:c>
    </x:row>
  </x:sheetData>
  <x:mergeCells>
    <x:mergeCell ref="A1:I1"/>
    <x:mergeCell ref="A2:I2"/>
  </x:mergeCells>
  <x:conditionalFormatting sqref="B5:I53">
    <x:cfRule type="expression" dxfId="10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497226ced2104224"/>
</x:worksheet>
</file>

<file path=xl/worksheets/sheet1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W2处理：土壤含水率随时间变化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排列。单位：%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33" t="str">
        <x:v>采集时间</x:v>
      </x:c>
      <x:c r="B4" s="134" t="str">
        <x:v>B1-W2-V1（P05）</x:v>
      </x:c>
      <x:c r="C4" s="134" t="str">
        <x:v>B1-W2-V2（P06）</x:v>
      </x:c>
      <x:c r="D4" s="134" t="str">
        <x:v>B2-W2-V1（P11）</x:v>
      </x:c>
      <x:c r="E4" s="134" t="str">
        <x:v>B2-W2-V2（P12）</x:v>
      </x:c>
      <x:c r="F4" s="134" t="str">
        <x:v>B3-W2-V1（P17）</x:v>
      </x:c>
      <x:c r="G4" s="134" t="str">
        <x:v>B3-W2-V2（P18）</x:v>
      </x:c>
      <x:c r="H4" s="134" t="str">
        <x:v>B4-W2-V1（P23）</x:v>
      </x:c>
      <x:c r="I4" s="135" t="str">
        <x:v>B4-W2-V2（P24）</x:v>
      </x:c>
    </x:row>
    <x:row r="5">
      <x:c r="A5" s="72" t="n">
        <x:v>46240.80269675926</x:v>
      </x:c>
      <x:c r="B5" s="82" t="n">
        <x:v>40.3</x:v>
      </x:c>
      <x:c r="C5" s="82" t="n">
        <x:v>41.6</x:v>
      </x:c>
      <x:c r="D5" s="82" t="n">
        <x:v>38.6</x:v>
      </x:c>
      <x:c r="E5" s="82" t="n">
        <x:v>39.3</x:v>
      </x:c>
      <x:c r="F5" s="82" t="n">
        <x:v>34</x:v>
      </x:c>
      <x:c r="G5" s="82" t="n">
        <x:v>34.6</x:v>
      </x:c>
      <x:c r="H5" s="82" t="n">
        <x:v>39.2</x:v>
      </x:c>
      <x:c r="I5" s="82" t="n">
        <x:v>32.5</x:v>
      </x:c>
    </x:row>
    <x:row r="6">
      <x:c r="A6" s="72" t="n">
        <x:v>46240.80616898148</x:v>
      </x:c>
      <x:c r="B6" s="82" t="n">
        <x:v>39.8</x:v>
      </x:c>
      <x:c r="C6" s="82" t="n">
        <x:v>41.3</x:v>
      </x:c>
      <x:c r="D6" s="82" t="n">
        <x:v>38.9</x:v>
      </x:c>
      <x:c r="E6" s="82" t="n">
        <x:v>39.6</x:v>
      </x:c>
      <x:c r="F6" s="82" t="n">
        <x:v>34.4</x:v>
      </x:c>
      <x:c r="G6" s="82" t="n">
        <x:v>35</x:v>
      </x:c>
      <x:c r="H6" s="82" t="n">
        <x:v>39</x:v>
      </x:c>
      <x:c r="I6" s="82" t="n">
        <x:v>32.2</x:v>
      </x:c>
    </x:row>
    <x:row r="7">
      <x:c r="A7" s="72" t="n">
        <x:v>46240.809641203705</x:v>
      </x:c>
      <x:c r="B7" s="82" t="n">
        <x:v>39.4</x:v>
      </x:c>
      <x:c r="C7" s="82" t="n">
        <x:v>40.8</x:v>
      </x:c>
      <x:c r="D7" s="82" t="n">
        <x:v>39</x:v>
      </x:c>
      <x:c r="E7" s="82" t="n">
        <x:v>39.9</x:v>
      </x:c>
      <x:c r="F7" s="82" t="n">
        <x:v>34.9</x:v>
      </x:c>
      <x:c r="G7" s="82" t="n">
        <x:v>35.4</x:v>
      </x:c>
      <x:c r="H7" s="82" t="n">
        <x:v>39</x:v>
      </x:c>
      <x:c r="I7" s="82" t="n">
        <x:v>32</x:v>
      </x:c>
    </x:row>
    <x:row r="8">
      <x:c r="A8" s="72" t="n">
        <x:v>46240.813113425924</x:v>
      </x:c>
      <x:c r="B8" s="82" t="n">
        <x:v>38.9</x:v>
      </x:c>
      <x:c r="C8" s="82" t="n">
        <x:v>40.4</x:v>
      </x:c>
      <x:c r="D8" s="82" t="n">
        <x:v>39</x:v>
      </x:c>
      <x:c r="E8" s="82" t="n">
        <x:v>40</x:v>
      </x:c>
      <x:c r="F8" s="82" t="n">
        <x:v>35.4</x:v>
      </x:c>
      <x:c r="G8" s="82" t="n">
        <x:v>35.9</x:v>
      </x:c>
      <x:c r="H8" s="82" t="n">
        <x:v>39.1</x:v>
      </x:c>
      <x:c r="I8" s="82" t="n">
        <x:v>32</x:v>
      </x:c>
    </x:row>
    <x:row r="9">
      <x:c r="A9" s="72" t="n">
        <x:v>46240.81658564815</x:v>
      </x:c>
      <x:c r="B9" s="82" t="n">
        <x:v>38.4</x:v>
      </x:c>
      <x:c r="C9" s="82" t="n">
        <x:v>39.9</x:v>
      </x:c>
      <x:c r="D9" s="82" t="n">
        <x:v>38.9</x:v>
      </x:c>
      <x:c r="E9" s="82" t="n">
        <x:v>40</x:v>
      </x:c>
      <x:c r="F9" s="82" t="n">
        <x:v>35.9</x:v>
      </x:c>
      <x:c r="G9" s="82" t="n">
        <x:v>36.4</x:v>
      </x:c>
      <x:c r="H9" s="82" t="n">
        <x:v>39.3</x:v>
      </x:c>
      <x:c r="I9" s="82" t="n">
        <x:v>32.1</x:v>
      </x:c>
    </x:row>
    <x:row r="10">
      <x:c r="A10" s="72" t="n">
        <x:v>46240.82005787037</x:v>
      </x:c>
      <x:c r="B10" s="82" t="n">
        <x:v>37.9</x:v>
      </x:c>
      <x:c r="C10" s="82" t="n">
        <x:v>39.4</x:v>
      </x:c>
      <x:c r="D10" s="82" t="n">
        <x:v>38.6</x:v>
      </x:c>
      <x:c r="E10" s="82" t="n">
        <x:v>39.9</x:v>
      </x:c>
      <x:c r="F10" s="82" t="n">
        <x:v>36.3</x:v>
      </x:c>
      <x:c r="G10" s="82" t="n">
        <x:v>36.9</x:v>
      </x:c>
      <x:c r="H10" s="82" t="n">
        <x:v>39.6</x:v>
      </x:c>
      <x:c r="I10" s="82" t="n">
        <x:v>32.3</x:v>
      </x:c>
    </x:row>
    <x:row r="11">
      <x:c r="A11" s="72" t="n">
        <x:v>46240.823530092595</x:v>
      </x:c>
      <x:c r="B11" s="82" t="n">
        <x:v>37.5</x:v>
      </x:c>
      <x:c r="C11" s="82" t="n">
        <x:v>38.9</x:v>
      </x:c>
      <x:c r="D11" s="82" t="n">
        <x:v>38.3</x:v>
      </x:c>
      <x:c r="E11" s="82" t="n">
        <x:v>39.6</x:v>
      </x:c>
      <x:c r="F11" s="82" t="n">
        <x:v>36.6</x:v>
      </x:c>
      <x:c r="G11" s="82" t="n">
        <x:v>37.3</x:v>
      </x:c>
      <x:c r="H11" s="82" t="n">
        <x:v>40</x:v>
      </x:c>
      <x:c r="I11" s="82" t="n">
        <x:v>32.6</x:v>
      </x:c>
    </x:row>
    <x:row r="12">
      <x:c r="A12" s="72" t="n">
        <x:v>46240.827002314814</x:v>
      </x:c>
      <x:c r="B12" s="82" t="n">
        <x:v>37.2</x:v>
      </x:c>
      <x:c r="C12" s="82" t="n">
        <x:v>38.5</x:v>
      </x:c>
      <x:c r="D12" s="82" t="n">
        <x:v>37.8</x:v>
      </x:c>
      <x:c r="E12" s="82" t="n">
        <x:v>39.3</x:v>
      </x:c>
      <x:c r="F12" s="82" t="n">
        <x:v>36.9</x:v>
      </x:c>
      <x:c r="G12" s="82" t="n">
        <x:v>37.6</x:v>
      </x:c>
      <x:c r="H12" s="82" t="n">
        <x:v>40.4</x:v>
      </x:c>
      <x:c r="I12" s="82" t="n">
        <x:v>33</x:v>
      </x:c>
    </x:row>
    <x:row r="13">
      <x:c r="A13" s="72" t="n">
        <x:v>46240.83047453704</x:v>
      </x:c>
      <x:c r="B13" s="82" t="n">
        <x:v>37.1</x:v>
      </x:c>
      <x:c r="C13" s="82" t="n">
        <x:v>38.2</x:v>
      </x:c>
      <x:c r="D13" s="82" t="n">
        <x:v>37.4</x:v>
      </x:c>
      <x:c r="E13" s="82" t="n">
        <x:v>38.8</x:v>
      </x:c>
      <x:c r="F13" s="82" t="n">
        <x:v>37</x:v>
      </x:c>
      <x:c r="G13" s="82" t="n">
        <x:v>37.9</x:v>
      </x:c>
      <x:c r="H13" s="82" t="n">
        <x:v>40.9</x:v>
      </x:c>
      <x:c r="I13" s="82" t="n">
        <x:v>33.4</x:v>
      </x:c>
    </x:row>
    <x:row r="14">
      <x:c r="A14" s="72" t="n">
        <x:v>46240.83394675926</x:v>
      </x:c>
      <x:c r="B14" s="82" t="n">
        <x:v>37</x:v>
      </x:c>
      <x:c r="C14" s="82" t="n">
        <x:v>38.1</x:v>
      </x:c>
      <x:c r="D14" s="82" t="n">
        <x:v>36.9</x:v>
      </x:c>
      <x:c r="E14" s="82" t="n">
        <x:v>38.4</x:v>
      </x:c>
      <x:c r="F14" s="82" t="n">
        <x:v>37</x:v>
      </x:c>
      <x:c r="G14" s="82" t="n">
        <x:v>38</x:v>
      </x:c>
      <x:c r="H14" s="82" t="n">
        <x:v>41.4</x:v>
      </x:c>
      <x:c r="I14" s="82" t="n">
        <x:v>33.9</x:v>
      </x:c>
    </x:row>
    <x:row r="15">
      <x:c r="A15" s="72" t="n">
        <x:v>46240.83741898148</x:v>
      </x:c>
      <x:c r="B15" s="82" t="n">
        <x:v>37.1</x:v>
      </x:c>
      <x:c r="C15" s="82" t="n">
        <x:v>38</x:v>
      </x:c>
      <x:c r="D15" s="82" t="n">
        <x:v>36.4</x:v>
      </x:c>
      <x:c r="E15" s="82" t="n">
        <x:v>37.9</x:v>
      </x:c>
      <x:c r="F15" s="82" t="n">
        <x:v>36.9</x:v>
      </x:c>
      <x:c r="G15" s="82" t="n">
        <x:v>38</x:v>
      </x:c>
      <x:c r="H15" s="82" t="n">
        <x:v>41.9</x:v>
      </x:c>
      <x:c r="I15" s="82" t="n">
        <x:v>34.4</x:v>
      </x:c>
    </x:row>
    <x:row r="16">
      <x:c r="A16" s="72" t="n">
        <x:v>46240.840891203705</x:v>
      </x:c>
      <x:c r="B16" s="82" t="n">
        <x:v>37.2</x:v>
      </x:c>
      <x:c r="C16" s="82" t="n">
        <x:v>38.1</x:v>
      </x:c>
      <x:c r="D16" s="82" t="n">
        <x:v>35.9</x:v>
      </x:c>
      <x:c r="E16" s="82" t="n">
        <x:v>37.4</x:v>
      </x:c>
      <x:c r="F16" s="82" t="n">
        <x:v>36.6</x:v>
      </x:c>
      <x:c r="G16" s="82" t="n">
        <x:v>37.9</x:v>
      </x:c>
      <x:c r="H16" s="82" t="n">
        <x:v>42.3</x:v>
      </x:c>
      <x:c r="I16" s="82" t="n">
        <x:v>34.9</x:v>
      </x:c>
    </x:row>
    <x:row r="17">
      <x:c r="A17" s="72" t="n">
        <x:v>46240.844363425924</x:v>
      </x:c>
      <x:c r="B17" s="82" t="n">
        <x:v>37.5</x:v>
      </x:c>
      <x:c r="C17" s="82" t="n">
        <x:v>38.2</x:v>
      </x:c>
      <x:c r="D17" s="82" t="n">
        <x:v>35.5</x:v>
      </x:c>
      <x:c r="E17" s="82" t="n">
        <x:v>36.9</x:v>
      </x:c>
      <x:c r="F17" s="82" t="n">
        <x:v>36.3</x:v>
      </x:c>
      <x:c r="G17" s="82" t="n">
        <x:v>37.6</x:v>
      </x:c>
      <x:c r="H17" s="82" t="n">
        <x:v>42.6</x:v>
      </x:c>
      <x:c r="I17" s="82" t="n">
        <x:v>35.3</x:v>
      </x:c>
    </x:row>
    <x:row r="18">
      <x:c r="A18" s="72" t="n">
        <x:v>46240.84783564815</x:v>
      </x:c>
      <x:c r="B18" s="82" t="n">
        <x:v>37.9</x:v>
      </x:c>
      <x:c r="C18" s="82" t="n">
        <x:v>38.5</x:v>
      </x:c>
      <x:c r="D18" s="82" t="n">
        <x:v>35.2</x:v>
      </x:c>
      <x:c r="E18" s="82" t="n">
        <x:v>36.5</x:v>
      </x:c>
      <x:c r="F18" s="82" t="n">
        <x:v>35.8</x:v>
      </x:c>
      <x:c r="G18" s="82" t="n">
        <x:v>37.3</x:v>
      </x:c>
      <x:c r="H18" s="82" t="n">
        <x:v>42.9</x:v>
      </x:c>
      <x:c r="I18" s="82" t="n">
        <x:v>35.6</x:v>
      </x:c>
    </x:row>
    <x:row r="19">
      <x:c r="A19" s="72" t="n">
        <x:v>46240.85130787037</x:v>
      </x:c>
      <x:c r="B19" s="82" t="n">
        <x:v>38.4</x:v>
      </x:c>
      <x:c r="C19" s="82" t="n">
        <x:v>38.9</x:v>
      </x:c>
      <x:c r="D19" s="82" t="n">
        <x:v>35.1</x:v>
      </x:c>
      <x:c r="E19" s="82" t="n">
        <x:v>36.2</x:v>
      </x:c>
      <x:c r="F19" s="82" t="n">
        <x:v>35.4</x:v>
      </x:c>
      <x:c r="G19" s="82" t="n">
        <x:v>36.8</x:v>
      </x:c>
      <x:c r="H19" s="82" t="n">
        <x:v>43</x:v>
      </x:c>
      <x:c r="I19" s="82" t="n">
        <x:v>35.9</x:v>
      </x:c>
    </x:row>
    <x:row r="20">
      <x:c r="A20" s="72" t="n">
        <x:v>46240.854780092595</x:v>
      </x:c>
      <x:c r="B20" s="82" t="n">
        <x:v>38.8</x:v>
      </x:c>
      <x:c r="C20" s="82" t="n">
        <x:v>39.4</x:v>
      </x:c>
      <x:c r="D20" s="82" t="n">
        <x:v>35</x:v>
      </x:c>
      <x:c r="E20" s="82" t="n">
        <x:v>36.1</x:v>
      </x:c>
      <x:c r="F20" s="82" t="n">
        <x:v>34.9</x:v>
      </x:c>
      <x:c r="G20" s="82" t="n">
        <x:v>36.4</x:v>
      </x:c>
      <x:c r="H20" s="82" t="n">
        <x:v>43</x:v>
      </x:c>
      <x:c r="I20" s="82" t="n">
        <x:v>36</x:v>
      </x:c>
    </x:row>
    <x:row r="21">
      <x:c r="A21" s="72" t="n">
        <x:v>46240.858252314814</x:v>
      </x:c>
      <x:c r="B21" s="82" t="n">
        <x:v>39.3</x:v>
      </x:c>
      <x:c r="C21" s="82" t="n">
        <x:v>39.8</x:v>
      </x:c>
      <x:c r="D21" s="82" t="n">
        <x:v>35.1</x:v>
      </x:c>
      <x:c r="E21" s="82" t="n">
        <x:v>36</x:v>
      </x:c>
      <x:c r="F21" s="82" t="n">
        <x:v>34.4</x:v>
      </x:c>
      <x:c r="G21" s="82" t="n">
        <x:v>35.9</x:v>
      </x:c>
      <x:c r="H21" s="82" t="n">
        <x:v>42.9</x:v>
      </x:c>
      <x:c r="I21" s="82" t="n">
        <x:v>36</x:v>
      </x:c>
    </x:row>
    <x:row r="22">
      <x:c r="A22" s="72" t="n">
        <x:v>46240.86172453704</x:v>
      </x:c>
      <x:c r="B22" s="82" t="n">
        <x:v>39.8</x:v>
      </x:c>
      <x:c r="C22" s="82" t="n">
        <x:v>40.3</x:v>
      </x:c>
      <x:c r="D22" s="82" t="n">
        <x:v>35.2</x:v>
      </x:c>
      <x:c r="E22" s="82" t="n">
        <x:v>36.1</x:v>
      </x:c>
      <x:c r="F22" s="82" t="n">
        <x:v>33.9</x:v>
      </x:c>
      <x:c r="G22" s="82" t="n">
        <x:v>35.4</x:v>
      </x:c>
      <x:c r="H22" s="82" t="n">
        <x:v>42.6</x:v>
      </x:c>
      <x:c r="I22" s="82" t="n">
        <x:v>35.9</x:v>
      </x:c>
    </x:row>
    <x:row r="23">
      <x:c r="A23" s="72" t="n">
        <x:v>46240.86519675926</x:v>
      </x:c>
      <x:c r="B23" s="82" t="n">
        <x:v>40.2</x:v>
      </x:c>
      <x:c r="C23" s="82" t="n">
        <x:v>40.8</x:v>
      </x:c>
      <x:c r="D23" s="82" t="n">
        <x:v>35.5</x:v>
      </x:c>
      <x:c r="E23" s="82" t="n">
        <x:v>36.2</x:v>
      </x:c>
      <x:c r="F23" s="82" t="n">
        <x:v>33.5</x:v>
      </x:c>
      <x:c r="G23" s="82" t="n">
        <x:v>34.9</x:v>
      </x:c>
      <x:c r="H23" s="82" t="n">
        <x:v>42.3</x:v>
      </x:c>
      <x:c r="I23" s="82" t="n">
        <x:v>35.6</x:v>
      </x:c>
    </x:row>
    <x:row r="24">
      <x:c r="A24" s="72" t="n">
        <x:v>46240.86866898148</x:v>
      </x:c>
      <x:c r="B24" s="82" t="n">
        <x:v>40.6</x:v>
      </x:c>
      <x:c r="C24" s="82" t="n">
        <x:v>41.2</x:v>
      </x:c>
      <x:c r="D24" s="82" t="n">
        <x:v>35.9</x:v>
      </x:c>
      <x:c r="E24" s="82" t="n">
        <x:v>36.5</x:v>
      </x:c>
      <x:c r="F24" s="82" t="n">
        <x:v>33.2</x:v>
      </x:c>
      <x:c r="G24" s="82" t="n">
        <x:v>34.5</x:v>
      </x:c>
      <x:c r="H24" s="82" t="n">
        <x:v>41.8</x:v>
      </x:c>
      <x:c r="I24" s="82" t="n">
        <x:v>35.3</x:v>
      </x:c>
    </x:row>
    <x:row r="25">
      <x:c r="A25" s="72" t="n">
        <x:v>46240.872141203705</x:v>
      </x:c>
      <x:c r="B25" s="82" t="n">
        <x:v>40.8</x:v>
      </x:c>
      <x:c r="C25" s="82" t="n">
        <x:v>41.6</x:v>
      </x:c>
      <x:c r="D25" s="82" t="n">
        <x:v>36.4</x:v>
      </x:c>
      <x:c r="E25" s="82" t="n">
        <x:v>36.9</x:v>
      </x:c>
      <x:c r="F25" s="82" t="n">
        <x:v>33.1</x:v>
      </x:c>
      <x:c r="G25" s="82" t="n">
        <x:v>34.2</x:v>
      </x:c>
      <x:c r="H25" s="82" t="n">
        <x:v>41.4</x:v>
      </x:c>
      <x:c r="I25" s="82" t="n">
        <x:v>34.8</x:v>
      </x:c>
    </x:row>
    <x:row r="26">
      <x:c r="A26" s="72" t="n">
        <x:v>46240.875613425924</x:v>
      </x:c>
      <x:c r="B26" s="82" t="n">
        <x:v>41</x:v>
      </x:c>
      <x:c r="C26" s="82" t="n">
        <x:v>41.8</x:v>
      </x:c>
      <x:c r="D26" s="82" t="n">
        <x:v>36.8</x:v>
      </x:c>
      <x:c r="E26" s="82" t="n">
        <x:v>37.4</x:v>
      </x:c>
      <x:c r="F26" s="82" t="n">
        <x:v>33</x:v>
      </x:c>
      <x:c r="G26" s="82" t="n">
        <x:v>34.1</x:v>
      </x:c>
      <x:c r="H26" s="82" t="n">
        <x:v>40.9</x:v>
      </x:c>
      <x:c r="I26" s="82" t="n">
        <x:v>34.4</x:v>
      </x:c>
    </x:row>
    <x:row r="27">
      <x:c r="A27" s="72" t="n">
        <x:v>46240.87908564815</x:v>
      </x:c>
      <x:c r="B27" s="82" t="n">
        <x:v>41</x:v>
      </x:c>
      <x:c r="C27" s="82" t="n">
        <x:v>42</x:v>
      </x:c>
      <x:c r="D27" s="82" t="n">
        <x:v>37.3</x:v>
      </x:c>
      <x:c r="E27" s="82" t="n">
        <x:v>37.8</x:v>
      </x:c>
      <x:c r="F27" s="82" t="n">
        <x:v>33.1</x:v>
      </x:c>
      <x:c r="G27" s="82" t="n">
        <x:v>34</x:v>
      </x:c>
      <x:c r="H27" s="82" t="n">
        <x:v>40.4</x:v>
      </x:c>
      <x:c r="I27" s="82" t="n">
        <x:v>33.9</x:v>
      </x:c>
    </x:row>
    <x:row r="28">
      <x:c r="A28" s="72" t="n">
        <x:v>46240.88255787037</x:v>
      </x:c>
      <x:c r="B28" s="82" t="n">
        <x:v>40.9</x:v>
      </x:c>
      <x:c r="C28" s="82" t="n">
        <x:v>42</x:v>
      </x:c>
      <x:c r="D28" s="82" t="n">
        <x:v>37.8</x:v>
      </x:c>
      <x:c r="E28" s="82" t="n">
        <x:v>38.3</x:v>
      </x:c>
      <x:c r="F28" s="82" t="n">
        <x:v>33.2</x:v>
      </x:c>
      <x:c r="G28" s="82" t="n">
        <x:v>34.1</x:v>
      </x:c>
      <x:c r="H28" s="82" t="n">
        <x:v>39.9</x:v>
      </x:c>
      <x:c r="I28" s="82" t="n">
        <x:v>33.4</x:v>
      </x:c>
    </x:row>
    <x:row r="29">
      <x:c r="A29" s="72" t="n">
        <x:v>46240.886030092595</x:v>
      </x:c>
      <x:c r="B29" s="82" t="n">
        <x:v>40.6</x:v>
      </x:c>
      <x:c r="C29" s="82" t="n">
        <x:v>41.9</x:v>
      </x:c>
      <x:c r="D29" s="82" t="n">
        <x:v>38.2</x:v>
      </x:c>
      <x:c r="E29" s="82" t="n">
        <x:v>38.8</x:v>
      </x:c>
      <x:c r="F29" s="82" t="n">
        <x:v>33.5</x:v>
      </x:c>
      <x:c r="G29" s="82" t="n">
        <x:v>34.2</x:v>
      </x:c>
      <x:c r="H29" s="82" t="n">
        <x:v>39.5</x:v>
      </x:c>
      <x:c r="I29" s="82" t="n">
        <x:v>32.9</x:v>
      </x:c>
    </x:row>
    <x:row r="30">
      <x:c r="A30" s="72" t="n">
        <x:v>46240.889502314814</x:v>
      </x:c>
      <x:c r="B30" s="82" t="n">
        <x:v>40.3</x:v>
      </x:c>
      <x:c r="C30" s="82" t="n">
        <x:v>41.6</x:v>
      </x:c>
      <x:c r="D30" s="82" t="n">
        <x:v>38.6</x:v>
      </x:c>
      <x:c r="E30" s="82" t="n">
        <x:v>39.2</x:v>
      </x:c>
      <x:c r="F30" s="82" t="n">
        <x:v>33.9</x:v>
      </x:c>
      <x:c r="G30" s="82" t="n">
        <x:v>34.5</x:v>
      </x:c>
      <x:c r="H30" s="82" t="n">
        <x:v>39.2</x:v>
      </x:c>
      <x:c r="I30" s="82" t="n">
        <x:v>32.5</x:v>
      </x:c>
    </x:row>
    <x:row r="31">
      <x:c r="A31" s="72" t="n">
        <x:v>46240.89297453704</x:v>
      </x:c>
      <x:c r="B31" s="82" t="n">
        <x:v>39.9</x:v>
      </x:c>
      <x:c r="C31" s="82" t="n">
        <x:v>41.3</x:v>
      </x:c>
      <x:c r="D31" s="82" t="n">
        <x:v>38.8</x:v>
      </x:c>
      <x:c r="E31" s="82" t="n">
        <x:v>39.6</x:v>
      </x:c>
      <x:c r="F31" s="82" t="n">
        <x:v>34.4</x:v>
      </x:c>
      <x:c r="G31" s="82" t="n">
        <x:v>34.9</x:v>
      </x:c>
      <x:c r="H31" s="82" t="n">
        <x:v>39.1</x:v>
      </x:c>
      <x:c r="I31" s="82" t="n">
        <x:v>32.2</x:v>
      </x:c>
    </x:row>
    <x:row r="32">
      <x:c r="A32" s="72" t="n">
        <x:v>46240.89644675926</x:v>
      </x:c>
      <x:c r="B32" s="82" t="n">
        <x:v>39.4</x:v>
      </x:c>
      <x:c r="C32" s="82" t="n">
        <x:v>40.9</x:v>
      </x:c>
      <x:c r="D32" s="82" t="n">
        <x:v>39</x:v>
      </x:c>
      <x:c r="E32" s="82" t="n">
        <x:v>39.8</x:v>
      </x:c>
      <x:c r="F32" s="82" t="n">
        <x:v>34.8</x:v>
      </x:c>
      <x:c r="G32" s="82" t="n">
        <x:v>35.4</x:v>
      </x:c>
      <x:c r="H32" s="82" t="n">
        <x:v>39</x:v>
      </x:c>
      <x:c r="I32" s="82" t="n">
        <x:v>32.1</x:v>
      </x:c>
    </x:row>
    <x:row r="33">
      <x:c r="A33" s="72" t="n">
        <x:v>46240.89991898148</x:v>
      </x:c>
      <x:c r="B33" s="82" t="n">
        <x:v>38.9</x:v>
      </x:c>
      <x:c r="C33" s="82" t="n">
        <x:v>40.4</x:v>
      </x:c>
      <x:c r="D33" s="82" t="n">
        <x:v>39</x:v>
      </x:c>
      <x:c r="E33" s="82" t="n">
        <x:v>40</x:v>
      </x:c>
      <x:c r="F33" s="82" t="n">
        <x:v>35.3</x:v>
      </x:c>
      <x:c r="G33" s="82" t="n">
        <x:v>35.8</x:v>
      </x:c>
      <x:c r="H33" s="82" t="n">
        <x:v>39.1</x:v>
      </x:c>
      <x:c r="I33" s="82" t="n">
        <x:v>32</x:v>
      </x:c>
    </x:row>
    <x:row r="34">
      <x:c r="A34" s="72" t="n">
        <x:v>46240.903391203705</x:v>
      </x:c>
      <x:c r="B34" s="82" t="n">
        <x:v>38.4</x:v>
      </x:c>
      <x:c r="C34" s="82" t="n">
        <x:v>39.9</x:v>
      </x:c>
      <x:c r="D34" s="82" t="n">
        <x:v>38.9</x:v>
      </x:c>
      <x:c r="E34" s="82" t="n">
        <x:v>40</x:v>
      </x:c>
      <x:c r="F34" s="82" t="n">
        <x:v>35.8</x:v>
      </x:c>
      <x:c r="G34" s="82" t="n">
        <x:v>36.3</x:v>
      </x:c>
      <x:c r="H34" s="82" t="n">
        <x:v>39.2</x:v>
      </x:c>
      <x:c r="I34" s="82" t="n">
        <x:v>32.1</x:v>
      </x:c>
    </x:row>
    <x:row r="35">
      <x:c r="A35" s="72" t="n">
        <x:v>46240.906863425924</x:v>
      </x:c>
      <x:c r="B35" s="82" t="n">
        <x:v>38</x:v>
      </x:c>
      <x:c r="C35" s="82" t="n">
        <x:v>39.4</x:v>
      </x:c>
      <x:c r="D35" s="82" t="n">
        <x:v>38.6</x:v>
      </x:c>
      <x:c r="E35" s="82" t="n">
        <x:v>39.9</x:v>
      </x:c>
      <x:c r="F35" s="82" t="n">
        <x:v>36.2</x:v>
      </x:c>
      <x:c r="G35" s="82" t="n">
        <x:v>36.8</x:v>
      </x:c>
      <x:c r="H35" s="82" t="n">
        <x:v>39.5</x:v>
      </x:c>
      <x:c r="I35" s="82" t="n">
        <x:v>32.2</x:v>
      </x:c>
    </x:row>
    <x:row r="36">
      <x:c r="A36" s="72" t="n">
        <x:v>46240.91033564815</x:v>
      </x:c>
      <x:c r="B36" s="82" t="n">
        <x:v>37.6</x:v>
      </x:c>
      <x:c r="C36" s="82" t="n">
        <x:v>39</x:v>
      </x:c>
      <x:c r="D36" s="82" t="n">
        <x:v>38.3</x:v>
      </x:c>
      <x:c r="E36" s="82" t="n">
        <x:v>39.6</x:v>
      </x:c>
      <x:c r="F36" s="82" t="n">
        <x:v>36.6</x:v>
      </x:c>
      <x:c r="G36" s="82" t="n">
        <x:v>37.2</x:v>
      </x:c>
      <x:c r="H36" s="82" t="n">
        <x:v>39.9</x:v>
      </x:c>
      <x:c r="I36" s="82" t="n">
        <x:v>32.5</x:v>
      </x:c>
    </x:row>
    <x:row r="37">
      <x:c r="A37" s="72" t="n">
        <x:v>46240.91380787037</x:v>
      </x:c>
      <x:c r="B37" s="82" t="n">
        <x:v>37.3</x:v>
      </x:c>
      <x:c r="C37" s="82" t="n">
        <x:v>38.6</x:v>
      </x:c>
      <x:c r="D37" s="82" t="n">
        <x:v>37.9</x:v>
      </x:c>
      <x:c r="E37" s="82" t="n">
        <x:v>39.3</x:v>
      </x:c>
      <x:c r="F37" s="82" t="n">
        <x:v>36.8</x:v>
      </x:c>
      <x:c r="G37" s="82" t="n">
        <x:v>37.6</x:v>
      </x:c>
      <x:c r="H37" s="82" t="n">
        <x:v>40.4</x:v>
      </x:c>
      <x:c r="I37" s="82" t="n">
        <x:v>32.9</x:v>
      </x:c>
    </x:row>
    <x:row r="38">
      <x:c r="A38" s="72" t="n">
        <x:v>46240.917280092595</x:v>
      </x:c>
      <x:c r="B38" s="82" t="n">
        <x:v>37.1</x:v>
      </x:c>
      <x:c r="C38" s="82" t="n">
        <x:v>38.3</x:v>
      </x:c>
      <x:c r="D38" s="82" t="n">
        <x:v>37.4</x:v>
      </x:c>
      <x:c r="E38" s="82" t="n">
        <x:v>38.9</x:v>
      </x:c>
      <x:c r="F38" s="82" t="n">
        <x:v>37</x:v>
      </x:c>
      <x:c r="G38" s="82" t="n">
        <x:v>37.8</x:v>
      </x:c>
      <x:c r="H38" s="82" t="n">
        <x:v>40.8</x:v>
      </x:c>
      <x:c r="I38" s="82" t="n">
        <x:v>33.4</x:v>
      </x:c>
    </x:row>
    <x:row r="39">
      <x:c r="A39" s="72" t="n">
        <x:v>46240.920752314814</x:v>
      </x:c>
      <x:c r="B39" s="82" t="n">
        <x:v>37</x:v>
      </x:c>
      <x:c r="C39" s="82" t="n">
        <x:v>38.1</x:v>
      </x:c>
      <x:c r="D39" s="82" t="n">
        <x:v>36.9</x:v>
      </x:c>
      <x:c r="E39" s="82" t="n">
        <x:v>38.4</x:v>
      </x:c>
      <x:c r="F39" s="82" t="n">
        <x:v>37</x:v>
      </x:c>
      <x:c r="G39" s="82" t="n">
        <x:v>38</x:v>
      </x:c>
      <x:c r="H39" s="82" t="n">
        <x:v>41.3</x:v>
      </x:c>
      <x:c r="I39" s="82" t="n">
        <x:v>33.8</x:v>
      </x:c>
    </x:row>
    <x:row r="40">
      <x:c r="A40" s="72" t="n">
        <x:v>46240.92422453704</x:v>
      </x:c>
      <x:c r="B40" s="82" t="n">
        <x:v>37</x:v>
      </x:c>
      <x:c r="C40" s="82" t="n">
        <x:v>38</x:v>
      </x:c>
      <x:c r="D40" s="82" t="n">
        <x:v>36.4</x:v>
      </x:c>
      <x:c r="E40" s="82" t="n">
        <x:v>37.9</x:v>
      </x:c>
      <x:c r="F40" s="82" t="n">
        <x:v>36.9</x:v>
      </x:c>
      <x:c r="G40" s="82" t="n">
        <x:v>38</x:v>
      </x:c>
      <x:c r="H40" s="82" t="n">
        <x:v>41.8</x:v>
      </x:c>
      <x:c r="I40" s="82" t="n">
        <x:v>34.3</x:v>
      </x:c>
    </x:row>
    <x:row r="41">
      <x:c r="A41" s="72" t="n">
        <x:v>46240.92769675926</x:v>
      </x:c>
      <x:c r="B41" s="82" t="n">
        <x:v>37.2</x:v>
      </x:c>
      <x:c r="C41" s="82" t="n">
        <x:v>38</x:v>
      </x:c>
      <x:c r="D41" s="82" t="n">
        <x:v>36</x:v>
      </x:c>
      <x:c r="E41" s="82" t="n">
        <x:v>37.4</x:v>
      </x:c>
      <x:c r="F41" s="82" t="n">
        <x:v>36.6</x:v>
      </x:c>
      <x:c r="G41" s="82" t="n">
        <x:v>37.9</x:v>
      </x:c>
      <x:c r="H41" s="82" t="n">
        <x:v>42.2</x:v>
      </x:c>
      <x:c r="I41" s="82" t="n">
        <x:v>34.8</x:v>
      </x:c>
    </x:row>
    <x:row r="42">
      <x:c r="A42" s="72" t="n">
        <x:v>46240.93116898148</x:v>
      </x:c>
      <x:c r="B42" s="82" t="n">
        <x:v>37.5</x:v>
      </x:c>
      <x:c r="C42" s="82" t="n">
        <x:v>38.2</x:v>
      </x:c>
      <x:c r="D42" s="82" t="n">
        <x:v>35.6</x:v>
      </x:c>
      <x:c r="E42" s="82" t="n">
        <x:v>37</x:v>
      </x:c>
      <x:c r="F42" s="82" t="n">
        <x:v>36.3</x:v>
      </x:c>
      <x:c r="G42" s="82" t="n">
        <x:v>37.6</x:v>
      </x:c>
      <x:c r="H42" s="82" t="n">
        <x:v>42.6</x:v>
      </x:c>
      <x:c r="I42" s="82" t="n">
        <x:v>35.2</x:v>
      </x:c>
    </x:row>
    <x:row r="43">
      <x:c r="A43" s="72" t="n">
        <x:v>46240.934641203705</x:v>
      </x:c>
      <x:c r="B43" s="82" t="n">
        <x:v>37.9</x:v>
      </x:c>
      <x:c r="C43" s="82" t="n">
        <x:v>38.5</x:v>
      </x:c>
      <x:c r="D43" s="82" t="n">
        <x:v>35.3</x:v>
      </x:c>
      <x:c r="E43" s="82" t="n">
        <x:v>36.6</x:v>
      </x:c>
      <x:c r="F43" s="82" t="n">
        <x:v>35.9</x:v>
      </x:c>
      <x:c r="G43" s="82" t="n">
        <x:v>37.3</x:v>
      </x:c>
      <x:c r="H43" s="82" t="n">
        <x:v>42.8</x:v>
      </x:c>
      <x:c r="I43" s="82" t="n">
        <x:v>35.6</x:v>
      </x:c>
    </x:row>
    <x:row r="44">
      <x:c r="A44" s="72" t="n">
        <x:v>46240.938113425924</x:v>
      </x:c>
      <x:c r="B44" s="82" t="n">
        <x:v>38.3</x:v>
      </x:c>
      <x:c r="C44" s="82" t="n">
        <x:v>38.9</x:v>
      </x:c>
      <x:c r="D44" s="82" t="n">
        <x:v>35.1</x:v>
      </x:c>
      <x:c r="E44" s="82" t="n">
        <x:v>36.3</x:v>
      </x:c>
      <x:c r="F44" s="82" t="n">
        <x:v>35.4</x:v>
      </x:c>
      <x:c r="G44" s="82" t="n">
        <x:v>36.9</x:v>
      </x:c>
      <x:c r="H44" s="82" t="n">
        <x:v>43</x:v>
      </x:c>
      <x:c r="I44" s="82" t="n">
        <x:v>35.8</x:v>
      </x:c>
    </x:row>
    <x:row r="45">
      <x:c r="A45" s="72" t="n">
        <x:v>46240.94158564815</x:v>
      </x:c>
      <x:c r="B45" s="82" t="n">
        <x:v>38.8</x:v>
      </x:c>
      <x:c r="C45" s="82" t="n">
        <x:v>39.3</x:v>
      </x:c>
      <x:c r="D45" s="82" t="n">
        <x:v>35</x:v>
      </x:c>
      <x:c r="E45" s="82" t="n">
        <x:v>36.1</x:v>
      </x:c>
      <x:c r="F45" s="82" t="n">
        <x:v>34.9</x:v>
      </x:c>
      <x:c r="G45" s="82" t="n">
        <x:v>36.4</x:v>
      </x:c>
      <x:c r="H45" s="82" t="n">
        <x:v>43</x:v>
      </x:c>
      <x:c r="I45" s="82" t="n">
        <x:v>36</x:v>
      </x:c>
    </x:row>
    <x:row r="46">
      <x:c r="A46" s="72" t="n">
        <x:v>46240.94505787037</x:v>
      </x:c>
      <x:c r="B46" s="82" t="n">
        <x:v>39.3</x:v>
      </x:c>
      <x:c r="C46" s="82" t="n">
        <x:v>39.8</x:v>
      </x:c>
      <x:c r="D46" s="82" t="n">
        <x:v>35</x:v>
      </x:c>
      <x:c r="E46" s="82" t="n">
        <x:v>36</x:v>
      </x:c>
      <x:c r="F46" s="82" t="n">
        <x:v>34.4</x:v>
      </x:c>
      <x:c r="G46" s="82" t="n">
        <x:v>35.9</x:v>
      </x:c>
      <x:c r="H46" s="82" t="n">
        <x:v>42.9</x:v>
      </x:c>
      <x:c r="I46" s="82" t="n">
        <x:v>36</x:v>
      </x:c>
    </x:row>
    <x:row r="47">
      <x:c r="A47" s="72" t="n">
        <x:v>46240.948530092595</x:v>
      </x:c>
      <x:c r="B47" s="82" t="n">
        <x:v>39.8</x:v>
      </x:c>
      <x:c r="C47" s="82" t="n">
        <x:v>40.3</x:v>
      </x:c>
      <x:c r="D47" s="82" t="n">
        <x:v>35.2</x:v>
      </x:c>
      <x:c r="E47" s="82" t="n">
        <x:v>36</x:v>
      </x:c>
      <x:c r="F47" s="82" t="n">
        <x:v>34</x:v>
      </x:c>
      <x:c r="G47" s="82" t="n">
        <x:v>35.4</x:v>
      </x:c>
      <x:c r="H47" s="82" t="n">
        <x:v>42.6</x:v>
      </x:c>
      <x:c r="I47" s="82" t="n">
        <x:v>35.9</x:v>
      </x:c>
    </x:row>
    <x:row r="48">
      <x:c r="A48" s="72" t="n">
        <x:v>46240.952002314814</x:v>
      </x:c>
      <x:c r="B48" s="82" t="n">
        <x:v>40.2</x:v>
      </x:c>
      <x:c r="C48" s="82" t="n">
        <x:v>40.8</x:v>
      </x:c>
      <x:c r="D48" s="82" t="n">
        <x:v>35.5</x:v>
      </x:c>
      <x:c r="E48" s="82" t="n">
        <x:v>36.2</x:v>
      </x:c>
      <x:c r="F48" s="82" t="n">
        <x:v>33.6</x:v>
      </x:c>
      <x:c r="G48" s="82" t="n">
        <x:v>35</x:v>
      </x:c>
      <x:c r="H48" s="82" t="n">
        <x:v>42.3</x:v>
      </x:c>
      <x:c r="I48" s="82" t="n">
        <x:v>35.6</x:v>
      </x:c>
    </x:row>
    <x:row r="49">
      <x:c r="A49" s="72" t="n">
        <x:v>46240.95547453704</x:v>
      </x:c>
      <x:c r="B49" s="82" t="n">
        <x:v>40.6</x:v>
      </x:c>
      <x:c r="C49" s="82" t="n">
        <x:v>41.2</x:v>
      </x:c>
      <x:c r="D49" s="82" t="n">
        <x:v>35.9</x:v>
      </x:c>
      <x:c r="E49" s="82" t="n">
        <x:v>36.5</x:v>
      </x:c>
      <x:c r="F49" s="82" t="n">
        <x:v>33.3</x:v>
      </x:c>
      <x:c r="G49" s="82" t="n">
        <x:v>34.6</x:v>
      </x:c>
      <x:c r="H49" s="82" t="n">
        <x:v>41.9</x:v>
      </x:c>
      <x:c r="I49" s="82" t="n">
        <x:v>35.3</x:v>
      </x:c>
    </x:row>
    <x:row r="50">
      <x:c r="A50" s="72" t="n">
        <x:v>46240.95894675926</x:v>
      </x:c>
      <x:c r="B50" s="82" t="n">
        <x:v>40.8</x:v>
      </x:c>
      <x:c r="C50" s="82" t="n">
        <x:v>41.6</x:v>
      </x:c>
      <x:c r="D50" s="82" t="n">
        <x:v>36.3</x:v>
      </x:c>
      <x:c r="E50" s="82" t="n">
        <x:v>36.9</x:v>
      </x:c>
      <x:c r="F50" s="82" t="n">
        <x:v>33.1</x:v>
      </x:c>
      <x:c r="G50" s="82" t="n">
        <x:v>34.3</x:v>
      </x:c>
      <x:c r="H50" s="82" t="n">
        <x:v>41.4</x:v>
      </x:c>
      <x:c r="I50" s="82" t="n">
        <x:v>34.9</x:v>
      </x:c>
    </x:row>
    <x:row r="51">
      <x:c r="A51" s="72" t="n">
        <x:v>46240.96241898148</x:v>
      </x:c>
      <x:c r="B51" s="82" t="n">
        <x:v>41</x:v>
      </x:c>
      <x:c r="C51" s="82" t="n">
        <x:v>41.8</x:v>
      </x:c>
      <x:c r="D51" s="82" t="n">
        <x:v>36.8</x:v>
      </x:c>
      <x:c r="E51" s="82" t="n">
        <x:v>37.3</x:v>
      </x:c>
      <x:c r="F51" s="82" t="n">
        <x:v>33</x:v>
      </x:c>
      <x:c r="G51" s="82" t="n">
        <x:v>34.1</x:v>
      </x:c>
      <x:c r="H51" s="82" t="n">
        <x:v>40.9</x:v>
      </x:c>
      <x:c r="I51" s="82" t="n">
        <x:v>34.4</x:v>
      </x:c>
    </x:row>
    <x:row r="52">
      <x:c r="A52" s="72" t="n">
        <x:v>46240.965891203705</x:v>
      </x:c>
      <x:c r="B52" s="82" t="n">
        <x:v>41</x:v>
      </x:c>
      <x:c r="C52" s="82" t="n">
        <x:v>42</x:v>
      </x:c>
      <x:c r="D52" s="82" t="n">
        <x:v>37.3</x:v>
      </x:c>
      <x:c r="E52" s="82" t="n">
        <x:v>37.8</x:v>
      </x:c>
      <x:c r="F52" s="82" t="n">
        <x:v>33</x:v>
      </x:c>
      <x:c r="G52" s="82" t="n">
        <x:v>34</x:v>
      </x:c>
      <x:c r="H52" s="82" t="n">
        <x:v>40.4</x:v>
      </x:c>
      <x:c r="I52" s="82" t="n">
        <x:v>33.9</x:v>
      </x:c>
    </x:row>
    <x:row r="53">
      <x:c r="A53" s="73" t="n">
        <x:v>46240.969363425924</x:v>
      </x:c>
      <x:c r="B53" s="83" t="n">
        <x:v>40.9</x:v>
      </x:c>
      <x:c r="C53" s="83" t="n">
        <x:v>42</x:v>
      </x:c>
      <x:c r="D53" s="83" t="n">
        <x:v>37.8</x:v>
      </x:c>
      <x:c r="E53" s="83" t="n">
        <x:v>38.3</x:v>
      </x:c>
      <x:c r="F53" s="83" t="n">
        <x:v>33.2</x:v>
      </x:c>
      <x:c r="G53" s="83" t="n">
        <x:v>34</x:v>
      </x:c>
      <x:c r="H53" s="83" t="n">
        <x:v>40</x:v>
      </x:c>
      <x:c r="I53" s="83" t="n">
        <x:v>33.4</x:v>
      </x:c>
    </x:row>
  </x:sheetData>
  <x:mergeCells>
    <x:mergeCell ref="A1:I1"/>
    <x:mergeCell ref="A2:I2"/>
  </x:mergeCells>
  <x:conditionalFormatting sqref="B5:I53">
    <x:cfRule type="expression" dxfId="11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ecb79d25b6cc4eec"/>
</x:worksheet>
</file>

<file path=xl/worksheets/sheet1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W2处理：土壤温度随时间变化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排列。单位：℃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33" t="str">
        <x:v>采集时间</x:v>
      </x:c>
      <x:c r="B4" s="134" t="str">
        <x:v>B1-W2-V1（P05）</x:v>
      </x:c>
      <x:c r="C4" s="134" t="str">
        <x:v>B1-W2-V2（P06）</x:v>
      </x:c>
      <x:c r="D4" s="134" t="str">
        <x:v>B2-W2-V1（P11）</x:v>
      </x:c>
      <x:c r="E4" s="134" t="str">
        <x:v>B2-W2-V2（P12）</x:v>
      </x:c>
      <x:c r="F4" s="134" t="str">
        <x:v>B3-W2-V1（P17）</x:v>
      </x:c>
      <x:c r="G4" s="134" t="str">
        <x:v>B3-W2-V2（P18）</x:v>
      </x:c>
      <x:c r="H4" s="134" t="str">
        <x:v>B4-W2-V1（P23）</x:v>
      </x:c>
      <x:c r="I4" s="135" t="str">
        <x:v>B4-W2-V2（P24）</x:v>
      </x:c>
    </x:row>
    <x:row r="5">
      <x:c r="A5" s="72" t="n">
        <x:v>46240.80269675926</x:v>
      </x:c>
      <x:c r="B5" s="82" t="n">
        <x:v>25.4</x:v>
      </x:c>
      <x:c r="C5" s="82" t="n">
        <x:v>25.5</x:v>
      </x:c>
      <x:c r="D5" s="82" t="n">
        <x:v>25.5</x:v>
      </x:c>
      <x:c r="E5" s="82" t="n">
        <x:v>25.4</x:v>
      </x:c>
      <x:c r="F5" s="82" t="n">
        <x:v>24.8</x:v>
      </x:c>
      <x:c r="G5" s="82" t="n">
        <x:v>24.7</x:v>
      </x:c>
      <x:c r="H5" s="82" t="n">
        <x:v>24.7</x:v>
      </x:c>
      <x:c r="I5" s="82" t="n">
        <x:v>24.7</x:v>
      </x:c>
    </x:row>
    <x:row r="6">
      <x:c r="A6" s="72" t="n">
        <x:v>46240.80616898148</x:v>
      </x:c>
      <x:c r="B6" s="82" t="n">
        <x:v>25.3</x:v>
      </x:c>
      <x:c r="C6" s="82" t="n">
        <x:v>25.4</x:v>
      </x:c>
      <x:c r="D6" s="82" t="n">
        <x:v>25.6</x:v>
      </x:c>
      <x:c r="E6" s="82" t="n">
        <x:v>25.5</x:v>
      </x:c>
      <x:c r="F6" s="82" t="n">
        <x:v>25</x:v>
      </x:c>
      <x:c r="G6" s="82" t="n">
        <x:v>24.8</x:v>
      </x:c>
      <x:c r="H6" s="82" t="n">
        <x:v>24.6</x:v>
      </x:c>
      <x:c r="I6" s="82" t="n">
        <x:v>24.7</x:v>
      </x:c>
    </x:row>
    <x:row r="7">
      <x:c r="A7" s="72" t="n">
        <x:v>46240.809641203705</x:v>
      </x:c>
      <x:c r="B7" s="82" t="n">
        <x:v>25.2</x:v>
      </x:c>
      <x:c r="C7" s="82" t="n">
        <x:v>25.3</x:v>
      </x:c>
      <x:c r="D7" s="82" t="n">
        <x:v>25.6</x:v>
      </x:c>
      <x:c r="E7" s="82" t="n">
        <x:v>25.6</x:v>
      </x:c>
      <x:c r="F7" s="82" t="n">
        <x:v>25.1</x:v>
      </x:c>
      <x:c r="G7" s="82" t="n">
        <x:v>25</x:v>
      </x:c>
      <x:c r="H7" s="82" t="n">
        <x:v>24.6</x:v>
      </x:c>
      <x:c r="I7" s="82" t="n">
        <x:v>24.6</x:v>
      </x:c>
    </x:row>
    <x:row r="8">
      <x:c r="A8" s="72" t="n">
        <x:v>46240.813113425924</x:v>
      </x:c>
      <x:c r="B8" s="82" t="n">
        <x:v>25.1</x:v>
      </x:c>
      <x:c r="C8" s="82" t="n">
        <x:v>25.2</x:v>
      </x:c>
      <x:c r="D8" s="82" t="n">
        <x:v>25.6</x:v>
      </x:c>
      <x:c r="E8" s="82" t="n">
        <x:v>25.6</x:v>
      </x:c>
      <x:c r="F8" s="82" t="n">
        <x:v>25.2</x:v>
      </x:c>
      <x:c r="G8" s="82" t="n">
        <x:v>25.1</x:v>
      </x:c>
      <x:c r="H8" s="82" t="n">
        <x:v>24.6</x:v>
      </x:c>
      <x:c r="I8" s="82" t="n">
        <x:v>24.6</x:v>
      </x:c>
    </x:row>
    <x:row r="9">
      <x:c r="A9" s="72" t="n">
        <x:v>46240.81658564815</x:v>
      </x:c>
      <x:c r="B9" s="82" t="n">
        <x:v>24.9</x:v>
      </x:c>
      <x:c r="C9" s="82" t="n">
        <x:v>25.1</x:v>
      </x:c>
      <x:c r="D9" s="82" t="n">
        <x:v>25.6</x:v>
      </x:c>
      <x:c r="E9" s="82" t="n">
        <x:v>25.6</x:v>
      </x:c>
      <x:c r="F9" s="82" t="n">
        <x:v>25.3</x:v>
      </x:c>
      <x:c r="G9" s="82" t="n">
        <x:v>25.2</x:v>
      </x:c>
      <x:c r="H9" s="82" t="n">
        <x:v>24.7</x:v>
      </x:c>
      <x:c r="I9" s="82" t="n">
        <x:v>24.6</x:v>
      </x:c>
    </x:row>
    <x:row r="10">
      <x:c r="A10" s="72" t="n">
        <x:v>46240.82005787037</x:v>
      </x:c>
      <x:c r="B10" s="82" t="n">
        <x:v>24.8</x:v>
      </x:c>
      <x:c r="C10" s="82" t="n">
        <x:v>24.9</x:v>
      </x:c>
      <x:c r="D10" s="82" t="n">
        <x:v>25.5</x:v>
      </x:c>
      <x:c r="E10" s="82" t="n">
        <x:v>25.6</x:v>
      </x:c>
      <x:c r="F10" s="82" t="n">
        <x:v>25.4</x:v>
      </x:c>
      <x:c r="G10" s="82" t="n">
        <x:v>25.3</x:v>
      </x:c>
      <x:c r="H10" s="82" t="n">
        <x:v>24.7</x:v>
      </x:c>
      <x:c r="I10" s="82" t="n">
        <x:v>24.7</x:v>
      </x:c>
    </x:row>
    <x:row r="11">
      <x:c r="A11" s="72" t="n">
        <x:v>46240.823530092595</x:v>
      </x:c>
      <x:c r="B11" s="82" t="n">
        <x:v>24.7</x:v>
      </x:c>
      <x:c r="C11" s="82" t="n">
        <x:v>24.8</x:v>
      </x:c>
      <x:c r="D11" s="82" t="n">
        <x:v>25.4</x:v>
      </x:c>
      <x:c r="E11" s="82" t="n">
        <x:v>25.5</x:v>
      </x:c>
      <x:c r="F11" s="82" t="n">
        <x:v>25.5</x:v>
      </x:c>
      <x:c r="G11" s="82" t="n">
        <x:v>25.4</x:v>
      </x:c>
      <x:c r="H11" s="82" t="n">
        <x:v>24.8</x:v>
      </x:c>
      <x:c r="I11" s="82" t="n">
        <x:v>24.7</x:v>
      </x:c>
    </x:row>
    <x:row r="12">
      <x:c r="A12" s="72" t="n">
        <x:v>46240.827002314814</x:v>
      </x:c>
      <x:c r="B12" s="82" t="n">
        <x:v>24.7</x:v>
      </x:c>
      <x:c r="C12" s="82" t="n">
        <x:v>24.7</x:v>
      </x:c>
      <x:c r="D12" s="82" t="n">
        <x:v>25.3</x:v>
      </x:c>
      <x:c r="E12" s="82" t="n">
        <x:v>25.4</x:v>
      </x:c>
      <x:c r="F12" s="82" t="n">
        <x:v>25.6</x:v>
      </x:c>
      <x:c r="G12" s="82" t="n">
        <x:v>25.5</x:v>
      </x:c>
      <x:c r="H12" s="82" t="n">
        <x:v>25</x:v>
      </x:c>
      <x:c r="I12" s="82" t="n">
        <x:v>24.8</x:v>
      </x:c>
    </x:row>
    <x:row r="13">
      <x:c r="A13" s="72" t="n">
        <x:v>46240.83047453704</x:v>
      </x:c>
      <x:c r="B13" s="82" t="n">
        <x:v>24.6</x:v>
      </x:c>
      <x:c r="C13" s="82" t="n">
        <x:v>24.7</x:v>
      </x:c>
      <x:c r="D13" s="82" t="n">
        <x:v>25.2</x:v>
      </x:c>
      <x:c r="E13" s="82" t="n">
        <x:v>25.3</x:v>
      </x:c>
      <x:c r="F13" s="82" t="n">
        <x:v>25.6</x:v>
      </x:c>
      <x:c r="G13" s="82" t="n">
        <x:v>25.6</x:v>
      </x:c>
      <x:c r="H13" s="82" t="n">
        <x:v>25.1</x:v>
      </x:c>
      <x:c r="I13" s="82" t="n">
        <x:v>25</x:v>
      </x:c>
    </x:row>
    <x:row r="14">
      <x:c r="A14" s="72" t="n">
        <x:v>46240.83394675926</x:v>
      </x:c>
      <x:c r="B14" s="82" t="n">
        <x:v>24.6</x:v>
      </x:c>
      <x:c r="C14" s="82" t="n">
        <x:v>24.6</x:v>
      </x:c>
      <x:c r="D14" s="82" t="n">
        <x:v>25.1</x:v>
      </x:c>
      <x:c r="E14" s="82" t="n">
        <x:v>25.2</x:v>
      </x:c>
      <x:c r="F14" s="82" t="n">
        <x:v>25.6</x:v>
      </x:c>
      <x:c r="G14" s="82" t="n">
        <x:v>25.6</x:v>
      </x:c>
      <x:c r="H14" s="82" t="n">
        <x:v>25.2</x:v>
      </x:c>
      <x:c r="I14" s="82" t="n">
        <x:v>25.1</x:v>
      </x:c>
    </x:row>
    <x:row r="15">
      <x:c r="A15" s="72" t="n">
        <x:v>46240.83741898148</x:v>
      </x:c>
      <x:c r="B15" s="82" t="n">
        <x:v>24.6</x:v>
      </x:c>
      <x:c r="C15" s="82" t="n">
        <x:v>24.6</x:v>
      </x:c>
      <x:c r="D15" s="82" t="n">
        <x:v>24.9</x:v>
      </x:c>
      <x:c r="E15" s="82" t="n">
        <x:v>25.1</x:v>
      </x:c>
      <x:c r="F15" s="82" t="n">
        <x:v>25.6</x:v>
      </x:c>
      <x:c r="G15" s="82" t="n">
        <x:v>25.6</x:v>
      </x:c>
      <x:c r="H15" s="82" t="n">
        <x:v>25.3</x:v>
      </x:c>
      <x:c r="I15" s="82" t="n">
        <x:v>25.2</x:v>
      </x:c>
    </x:row>
    <x:row r="16">
      <x:c r="A16" s="72" t="n">
        <x:v>46240.840891203705</x:v>
      </x:c>
      <x:c r="B16" s="82" t="n">
        <x:v>24.7</x:v>
      </x:c>
      <x:c r="C16" s="82" t="n">
        <x:v>24.6</x:v>
      </x:c>
      <x:c r="D16" s="82" t="n">
        <x:v>24.8</x:v>
      </x:c>
      <x:c r="E16" s="82" t="n">
        <x:v>24.9</x:v>
      </x:c>
      <x:c r="F16" s="82" t="n">
        <x:v>25.5</x:v>
      </x:c>
      <x:c r="G16" s="82" t="n">
        <x:v>25.6</x:v>
      </x:c>
      <x:c r="H16" s="82" t="n">
        <x:v>25.4</x:v>
      </x:c>
      <x:c r="I16" s="82" t="n">
        <x:v>25.3</x:v>
      </x:c>
    </x:row>
    <x:row r="17">
      <x:c r="A17" s="72" t="n">
        <x:v>46240.844363425924</x:v>
      </x:c>
      <x:c r="B17" s="82" t="n">
        <x:v>24.7</x:v>
      </x:c>
      <x:c r="C17" s="82" t="n">
        <x:v>24.7</x:v>
      </x:c>
      <x:c r="D17" s="82" t="n">
        <x:v>24.7</x:v>
      </x:c>
      <x:c r="E17" s="82" t="n">
        <x:v>24.8</x:v>
      </x:c>
      <x:c r="F17" s="82" t="n">
        <x:v>25.4</x:v>
      </x:c>
      <x:c r="G17" s="82" t="n">
        <x:v>25.5</x:v>
      </x:c>
      <x:c r="H17" s="82" t="n">
        <x:v>25.5</x:v>
      </x:c>
      <x:c r="I17" s="82" t="n">
        <x:v>25.4</x:v>
      </x:c>
    </x:row>
    <x:row r="18">
      <x:c r="A18" s="72" t="n">
        <x:v>46240.84783564815</x:v>
      </x:c>
      <x:c r="B18" s="82" t="n">
        <x:v>24.8</x:v>
      </x:c>
      <x:c r="C18" s="82" t="n">
        <x:v>24.7</x:v>
      </x:c>
      <x:c r="D18" s="82" t="n">
        <x:v>24.7</x:v>
      </x:c>
      <x:c r="E18" s="82" t="n">
        <x:v>24.7</x:v>
      </x:c>
      <x:c r="F18" s="82" t="n">
        <x:v>25.3</x:v>
      </x:c>
      <x:c r="G18" s="82" t="n">
        <x:v>25.4</x:v>
      </x:c>
      <x:c r="H18" s="82" t="n">
        <x:v>25.6</x:v>
      </x:c>
      <x:c r="I18" s="82" t="n">
        <x:v>25.5</x:v>
      </x:c>
    </x:row>
    <x:row r="19">
      <x:c r="A19" s="72" t="n">
        <x:v>46240.85130787037</x:v>
      </x:c>
      <x:c r="B19" s="82" t="n">
        <x:v>24.9</x:v>
      </x:c>
      <x:c r="C19" s="82" t="n">
        <x:v>24.8</x:v>
      </x:c>
      <x:c r="D19" s="82" t="n">
        <x:v>24.6</x:v>
      </x:c>
      <x:c r="E19" s="82" t="n">
        <x:v>24.7</x:v>
      </x:c>
      <x:c r="F19" s="82" t="n">
        <x:v>25.2</x:v>
      </x:c>
      <x:c r="G19" s="82" t="n">
        <x:v>25.3</x:v>
      </x:c>
      <x:c r="H19" s="82" t="n">
        <x:v>25.6</x:v>
      </x:c>
      <x:c r="I19" s="82" t="n">
        <x:v>25.6</x:v>
      </x:c>
    </x:row>
    <x:row r="20">
      <x:c r="A20" s="72" t="n">
        <x:v>46240.854780092595</x:v>
      </x:c>
      <x:c r="B20" s="82" t="n">
        <x:v>25.1</x:v>
      </x:c>
      <x:c r="C20" s="82" t="n">
        <x:v>24.9</x:v>
      </x:c>
      <x:c r="D20" s="82" t="n">
        <x:v>24.6</x:v>
      </x:c>
      <x:c r="E20" s="82" t="n">
        <x:v>24.6</x:v>
      </x:c>
      <x:c r="F20" s="82" t="n">
        <x:v>25.1</x:v>
      </x:c>
      <x:c r="G20" s="82" t="n">
        <x:v>25.2</x:v>
      </x:c>
      <x:c r="H20" s="82" t="n">
        <x:v>25.6</x:v>
      </x:c>
      <x:c r="I20" s="82" t="n">
        <x:v>25.6</x:v>
      </x:c>
    </x:row>
    <x:row r="21">
      <x:c r="A21" s="72" t="n">
        <x:v>46240.858252314814</x:v>
      </x:c>
      <x:c r="B21" s="82" t="n">
        <x:v>25.2</x:v>
      </x:c>
      <x:c r="C21" s="82" t="n">
        <x:v>25.1</x:v>
      </x:c>
      <x:c r="D21" s="82" t="n">
        <x:v>24.6</x:v>
      </x:c>
      <x:c r="E21" s="82" t="n">
        <x:v>24.6</x:v>
      </x:c>
      <x:c r="F21" s="82" t="n">
        <x:v>24.9</x:v>
      </x:c>
      <x:c r="G21" s="82" t="n">
        <x:v>25.1</x:v>
      </x:c>
      <x:c r="H21" s="82" t="n">
        <x:v>25.6</x:v>
      </x:c>
      <x:c r="I21" s="82" t="n">
        <x:v>25.6</x:v>
      </x:c>
    </x:row>
    <x:row r="22">
      <x:c r="A22" s="72" t="n">
        <x:v>46240.86172453704</x:v>
      </x:c>
      <x:c r="B22" s="82" t="n">
        <x:v>25.3</x:v>
      </x:c>
      <x:c r="C22" s="82" t="n">
        <x:v>25.2</x:v>
      </x:c>
      <x:c r="D22" s="82" t="n">
        <x:v>24.7</x:v>
      </x:c>
      <x:c r="E22" s="82" t="n">
        <x:v>24.6</x:v>
      </x:c>
      <x:c r="F22" s="82" t="n">
        <x:v>24.8</x:v>
      </x:c>
      <x:c r="G22" s="82" t="n">
        <x:v>24.9</x:v>
      </x:c>
      <x:c r="H22" s="82" t="n">
        <x:v>25.5</x:v>
      </x:c>
      <x:c r="I22" s="82" t="n">
        <x:v>25.6</x:v>
      </x:c>
    </x:row>
    <x:row r="23">
      <x:c r="A23" s="72" t="n">
        <x:v>46240.86519675926</x:v>
      </x:c>
      <x:c r="B23" s="82" t="n">
        <x:v>25.4</x:v>
      </x:c>
      <x:c r="C23" s="82" t="n">
        <x:v>25.3</x:v>
      </x:c>
      <x:c r="D23" s="82" t="n">
        <x:v>24.7</x:v>
      </x:c>
      <x:c r="E23" s="82" t="n">
        <x:v>24.7</x:v>
      </x:c>
      <x:c r="F23" s="82" t="n">
        <x:v>24.7</x:v>
      </x:c>
      <x:c r="G23" s="82" t="n">
        <x:v>24.8</x:v>
      </x:c>
      <x:c r="H23" s="82" t="n">
        <x:v>25.4</x:v>
      </x:c>
      <x:c r="I23" s="82" t="n">
        <x:v>25.5</x:v>
      </x:c>
    </x:row>
    <x:row r="24">
      <x:c r="A24" s="72" t="n">
        <x:v>46240.86866898148</x:v>
      </x:c>
      <x:c r="B24" s="82" t="n">
        <x:v>25.5</x:v>
      </x:c>
      <x:c r="C24" s="82" t="n">
        <x:v>25.4</x:v>
      </x:c>
      <x:c r="D24" s="82" t="n">
        <x:v>24.8</x:v>
      </x:c>
      <x:c r="E24" s="82" t="n">
        <x:v>24.7</x:v>
      </x:c>
      <x:c r="F24" s="82" t="n">
        <x:v>24.7</x:v>
      </x:c>
      <x:c r="G24" s="82" t="n">
        <x:v>24.7</x:v>
      </x:c>
      <x:c r="H24" s="82" t="n">
        <x:v>25.3</x:v>
      </x:c>
      <x:c r="I24" s="82" t="n">
        <x:v>25.4</x:v>
      </x:c>
    </x:row>
    <x:row r="25">
      <x:c r="A25" s="72" t="n">
        <x:v>46240.872141203705</x:v>
      </x:c>
      <x:c r="B25" s="82" t="n">
        <x:v>25.6</x:v>
      </x:c>
      <x:c r="C25" s="82" t="n">
        <x:v>25.5</x:v>
      </x:c>
      <x:c r="D25" s="82" t="n">
        <x:v>24.9</x:v>
      </x:c>
      <x:c r="E25" s="82" t="n">
        <x:v>24.8</x:v>
      </x:c>
      <x:c r="F25" s="82" t="n">
        <x:v>24.6</x:v>
      </x:c>
      <x:c r="G25" s="82" t="n">
        <x:v>24.7</x:v>
      </x:c>
      <x:c r="H25" s="82" t="n">
        <x:v>25.2</x:v>
      </x:c>
      <x:c r="I25" s="82" t="n">
        <x:v>25.3</x:v>
      </x:c>
    </x:row>
    <x:row r="26">
      <x:c r="A26" s="72" t="n">
        <x:v>46240.875613425924</x:v>
      </x:c>
      <x:c r="B26" s="82" t="n">
        <x:v>25.6</x:v>
      </x:c>
      <x:c r="C26" s="82" t="n">
        <x:v>25.6</x:v>
      </x:c>
      <x:c r="D26" s="82" t="n">
        <x:v>25.1</x:v>
      </x:c>
      <x:c r="E26" s="82" t="n">
        <x:v>24.9</x:v>
      </x:c>
      <x:c r="F26" s="82" t="n">
        <x:v>24.6</x:v>
      </x:c>
      <x:c r="G26" s="82" t="n">
        <x:v>24.6</x:v>
      </x:c>
      <x:c r="H26" s="82" t="n">
        <x:v>25.1</x:v>
      </x:c>
      <x:c r="I26" s="82" t="n">
        <x:v>25.2</x:v>
      </x:c>
    </x:row>
    <x:row r="27">
      <x:c r="A27" s="72" t="n">
        <x:v>46240.87908564815</x:v>
      </x:c>
      <x:c r="B27" s="82" t="n">
        <x:v>25.6</x:v>
      </x:c>
      <x:c r="C27" s="82" t="n">
        <x:v>25.6</x:v>
      </x:c>
      <x:c r="D27" s="82" t="n">
        <x:v>25.2</x:v>
      </x:c>
      <x:c r="E27" s="82" t="n">
        <x:v>25.1</x:v>
      </x:c>
      <x:c r="F27" s="82" t="n">
        <x:v>24.6</x:v>
      </x:c>
      <x:c r="G27" s="82" t="n">
        <x:v>24.6</x:v>
      </x:c>
      <x:c r="H27" s="82" t="n">
        <x:v>24.9</x:v>
      </x:c>
      <x:c r="I27" s="82" t="n">
        <x:v>25.1</x:v>
      </x:c>
    </x:row>
    <x:row r="28">
      <x:c r="A28" s="72" t="n">
        <x:v>46240.88255787037</x:v>
      </x:c>
      <x:c r="B28" s="82" t="n">
        <x:v>25.6</x:v>
      </x:c>
      <x:c r="C28" s="82" t="n">
        <x:v>25.6</x:v>
      </x:c>
      <x:c r="D28" s="82" t="n">
        <x:v>25.3</x:v>
      </x:c>
      <x:c r="E28" s="82" t="n">
        <x:v>25.2</x:v>
      </x:c>
      <x:c r="F28" s="82" t="n">
        <x:v>24.7</x:v>
      </x:c>
      <x:c r="G28" s="82" t="n">
        <x:v>24.6</x:v>
      </x:c>
      <x:c r="H28" s="82" t="n">
        <x:v>24.8</x:v>
      </x:c>
      <x:c r="I28" s="82" t="n">
        <x:v>24.9</x:v>
      </x:c>
    </x:row>
    <x:row r="29">
      <x:c r="A29" s="72" t="n">
        <x:v>46240.886030092595</x:v>
      </x:c>
      <x:c r="B29" s="82" t="n">
        <x:v>25.5</x:v>
      </x:c>
      <x:c r="C29" s="82" t="n">
        <x:v>25.6</x:v>
      </x:c>
      <x:c r="D29" s="82" t="n">
        <x:v>25.4</x:v>
      </x:c>
      <x:c r="E29" s="82" t="n">
        <x:v>25.3</x:v>
      </x:c>
      <x:c r="F29" s="82" t="n">
        <x:v>24.7</x:v>
      </x:c>
      <x:c r="G29" s="82" t="n">
        <x:v>24.7</x:v>
      </x:c>
      <x:c r="H29" s="82" t="n">
        <x:v>24.7</x:v>
      </x:c>
      <x:c r="I29" s="82" t="n">
        <x:v>24.8</x:v>
      </x:c>
    </x:row>
    <x:row r="30">
      <x:c r="A30" s="72" t="n">
        <x:v>46240.889502314814</x:v>
      </x:c>
      <x:c r="B30" s="82" t="n">
        <x:v>25.4</x:v>
      </x:c>
      <x:c r="C30" s="82" t="n">
        <x:v>25.5</x:v>
      </x:c>
      <x:c r="D30" s="82" t="n">
        <x:v>25.5</x:v>
      </x:c>
      <x:c r="E30" s="82" t="n">
        <x:v>25.4</x:v>
      </x:c>
      <x:c r="F30" s="82" t="n">
        <x:v>24.8</x:v>
      </x:c>
      <x:c r="G30" s="82" t="n">
        <x:v>24.7</x:v>
      </x:c>
      <x:c r="H30" s="82" t="n">
        <x:v>24.7</x:v>
      </x:c>
      <x:c r="I30" s="82" t="n">
        <x:v>24.7</x:v>
      </x:c>
    </x:row>
    <x:row r="31">
      <x:c r="A31" s="72" t="n">
        <x:v>46240.89297453704</x:v>
      </x:c>
      <x:c r="B31" s="82" t="n">
        <x:v>25.3</x:v>
      </x:c>
      <x:c r="C31" s="82" t="n">
        <x:v>25.4</x:v>
      </x:c>
      <x:c r="D31" s="82" t="n">
        <x:v>25.6</x:v>
      </x:c>
      <x:c r="E31" s="82" t="n">
        <x:v>25.5</x:v>
      </x:c>
      <x:c r="F31" s="82" t="n">
        <x:v>24.9</x:v>
      </x:c>
      <x:c r="G31" s="82" t="n">
        <x:v>24.8</x:v>
      </x:c>
      <x:c r="H31" s="82" t="n">
        <x:v>24.6</x:v>
      </x:c>
      <x:c r="I31" s="82" t="n">
        <x:v>24.7</x:v>
      </x:c>
    </x:row>
    <x:row r="32">
      <x:c r="A32" s="72" t="n">
        <x:v>46240.89644675926</x:v>
      </x:c>
      <x:c r="B32" s="82" t="n">
        <x:v>25.2</x:v>
      </x:c>
      <x:c r="C32" s="82" t="n">
        <x:v>25.3</x:v>
      </x:c>
      <x:c r="D32" s="82" t="n">
        <x:v>25.6</x:v>
      </x:c>
      <x:c r="E32" s="82" t="n">
        <x:v>25.6</x:v>
      </x:c>
      <x:c r="F32" s="82" t="n">
        <x:v>25.1</x:v>
      </x:c>
      <x:c r="G32" s="82" t="n">
        <x:v>24.9</x:v>
      </x:c>
      <x:c r="H32" s="82" t="n">
        <x:v>24.6</x:v>
      </x:c>
      <x:c r="I32" s="82" t="n">
        <x:v>24.6</x:v>
      </x:c>
    </x:row>
    <x:row r="33">
      <x:c r="A33" s="72" t="n">
        <x:v>46240.89991898148</x:v>
      </x:c>
      <x:c r="B33" s="82" t="n">
        <x:v>25.1</x:v>
      </x:c>
      <x:c r="C33" s="82" t="n">
        <x:v>25.2</x:v>
      </x:c>
      <x:c r="D33" s="82" t="n">
        <x:v>25.6</x:v>
      </x:c>
      <x:c r="E33" s="82" t="n">
        <x:v>25.6</x:v>
      </x:c>
      <x:c r="F33" s="82" t="n">
        <x:v>25.2</x:v>
      </x:c>
      <x:c r="G33" s="82" t="n">
        <x:v>25.1</x:v>
      </x:c>
      <x:c r="H33" s="82" t="n">
        <x:v>24.6</x:v>
      </x:c>
      <x:c r="I33" s="82" t="n">
        <x:v>24.6</x:v>
      </x:c>
    </x:row>
    <x:row r="34">
      <x:c r="A34" s="72" t="n">
        <x:v>46240.903391203705</x:v>
      </x:c>
      <x:c r="B34" s="82" t="n">
        <x:v>25</x:v>
      </x:c>
      <x:c r="C34" s="82" t="n">
        <x:v>25.1</x:v>
      </x:c>
      <x:c r="D34" s="82" t="n">
        <x:v>25.6</x:v>
      </x:c>
      <x:c r="E34" s="82" t="n">
        <x:v>25.6</x:v>
      </x:c>
      <x:c r="F34" s="82" t="n">
        <x:v>25.3</x:v>
      </x:c>
      <x:c r="G34" s="82" t="n">
        <x:v>25.2</x:v>
      </x:c>
      <x:c r="H34" s="82" t="n">
        <x:v>24.7</x:v>
      </x:c>
      <x:c r="I34" s="82" t="n">
        <x:v>24.6</x:v>
      </x:c>
    </x:row>
    <x:row r="35">
      <x:c r="A35" s="72" t="n">
        <x:v>46240.906863425924</x:v>
      </x:c>
      <x:c r="B35" s="82" t="n">
        <x:v>24.8</x:v>
      </x:c>
      <x:c r="C35" s="82" t="n">
        <x:v>25</x:v>
      </x:c>
      <x:c r="D35" s="82" t="n">
        <x:v>25.5</x:v>
      </x:c>
      <x:c r="E35" s="82" t="n">
        <x:v>25.6</x:v>
      </x:c>
      <x:c r="F35" s="82" t="n">
        <x:v>25.4</x:v>
      </x:c>
      <x:c r="G35" s="82" t="n">
        <x:v>25.3</x:v>
      </x:c>
      <x:c r="H35" s="82" t="n">
        <x:v>24.7</x:v>
      </x:c>
      <x:c r="I35" s="82" t="n">
        <x:v>24.7</x:v>
      </x:c>
    </x:row>
    <x:row r="36">
      <x:c r="A36" s="72" t="n">
        <x:v>46240.91033564815</x:v>
      </x:c>
      <x:c r="B36" s="82" t="n">
        <x:v>24.7</x:v>
      </x:c>
      <x:c r="C36" s="82" t="n">
        <x:v>24.8</x:v>
      </x:c>
      <x:c r="D36" s="82" t="n">
        <x:v>25.4</x:v>
      </x:c>
      <x:c r="E36" s="82" t="n">
        <x:v>25.5</x:v>
      </x:c>
      <x:c r="F36" s="82" t="n">
        <x:v>25.5</x:v>
      </x:c>
      <x:c r="G36" s="82" t="n">
        <x:v>25.4</x:v>
      </x:c>
      <x:c r="H36" s="82" t="n">
        <x:v>24.8</x:v>
      </x:c>
      <x:c r="I36" s="82" t="n">
        <x:v>24.7</x:v>
      </x:c>
    </x:row>
    <x:row r="37">
      <x:c r="A37" s="72" t="n">
        <x:v>46240.91380787037</x:v>
      </x:c>
      <x:c r="B37" s="82" t="n">
        <x:v>24.7</x:v>
      </x:c>
      <x:c r="C37" s="82" t="n">
        <x:v>24.7</x:v>
      </x:c>
      <x:c r="D37" s="82" t="n">
        <x:v>25.3</x:v>
      </x:c>
      <x:c r="E37" s="82" t="n">
        <x:v>25.4</x:v>
      </x:c>
      <x:c r="F37" s="82" t="n">
        <x:v>25.6</x:v>
      </x:c>
      <x:c r="G37" s="82" t="n">
        <x:v>25.5</x:v>
      </x:c>
      <x:c r="H37" s="82" t="n">
        <x:v>24.9</x:v>
      </x:c>
      <x:c r="I37" s="82" t="n">
        <x:v>24.8</x:v>
      </x:c>
    </x:row>
    <x:row r="38">
      <x:c r="A38" s="72" t="n">
        <x:v>46240.917280092595</x:v>
      </x:c>
      <x:c r="B38" s="82" t="n">
        <x:v>24.6</x:v>
      </x:c>
      <x:c r="C38" s="82" t="n">
        <x:v>24.7</x:v>
      </x:c>
      <x:c r="D38" s="82" t="n">
        <x:v>25.2</x:v>
      </x:c>
      <x:c r="E38" s="82" t="n">
        <x:v>25.3</x:v>
      </x:c>
      <x:c r="F38" s="82" t="n">
        <x:v>25.6</x:v>
      </x:c>
      <x:c r="G38" s="82" t="n">
        <x:v>25.6</x:v>
      </x:c>
      <x:c r="H38" s="82" t="n">
        <x:v>25.1</x:v>
      </x:c>
      <x:c r="I38" s="82" t="n">
        <x:v>24.9</x:v>
      </x:c>
    </x:row>
    <x:row r="39">
      <x:c r="A39" s="72" t="n">
        <x:v>46240.920752314814</x:v>
      </x:c>
      <x:c r="B39" s="82" t="n">
        <x:v>24.6</x:v>
      </x:c>
      <x:c r="C39" s="82" t="n">
        <x:v>24.6</x:v>
      </x:c>
      <x:c r="D39" s="82" t="n">
        <x:v>25.1</x:v>
      </x:c>
      <x:c r="E39" s="82" t="n">
        <x:v>25.2</x:v>
      </x:c>
      <x:c r="F39" s="82" t="n">
        <x:v>25.6</x:v>
      </x:c>
      <x:c r="G39" s="82" t="n">
        <x:v>25.6</x:v>
      </x:c>
      <x:c r="H39" s="82" t="n">
        <x:v>25.2</x:v>
      </x:c>
      <x:c r="I39" s="82" t="n">
        <x:v>25.1</x:v>
      </x:c>
    </x:row>
    <x:row r="40">
      <x:c r="A40" s="72" t="n">
        <x:v>46240.92422453704</x:v>
      </x:c>
      <x:c r="B40" s="82" t="n">
        <x:v>24.6</x:v>
      </x:c>
      <x:c r="C40" s="82" t="n">
        <x:v>24.6</x:v>
      </x:c>
      <x:c r="D40" s="82" t="n">
        <x:v>25</x:v>
      </x:c>
      <x:c r="E40" s="82" t="n">
        <x:v>25.1</x:v>
      </x:c>
      <x:c r="F40" s="82" t="n">
        <x:v>25.6</x:v>
      </x:c>
      <x:c r="G40" s="82" t="n">
        <x:v>25.6</x:v>
      </x:c>
      <x:c r="H40" s="82" t="n">
        <x:v>25.3</x:v>
      </x:c>
      <x:c r="I40" s="82" t="n">
        <x:v>25.2</x:v>
      </x:c>
    </x:row>
    <x:row r="41">
      <x:c r="A41" s="72" t="n">
        <x:v>46240.92769675926</x:v>
      </x:c>
      <x:c r="B41" s="82" t="n">
        <x:v>24.7</x:v>
      </x:c>
      <x:c r="C41" s="82" t="n">
        <x:v>24.6</x:v>
      </x:c>
      <x:c r="D41" s="82" t="n">
        <x:v>24.8</x:v>
      </x:c>
      <x:c r="E41" s="82" t="n">
        <x:v>25</x:v>
      </x:c>
      <x:c r="F41" s="82" t="n">
        <x:v>25.5</x:v>
      </x:c>
      <x:c r="G41" s="82" t="n">
        <x:v>25.6</x:v>
      </x:c>
      <x:c r="H41" s="82" t="n">
        <x:v>25.4</x:v>
      </x:c>
      <x:c r="I41" s="82" t="n">
        <x:v>25.3</x:v>
      </x:c>
    </x:row>
    <x:row r="42">
      <x:c r="A42" s="72" t="n">
        <x:v>46240.93116898148</x:v>
      </x:c>
      <x:c r="B42" s="82" t="n">
        <x:v>24.7</x:v>
      </x:c>
      <x:c r="C42" s="82" t="n">
        <x:v>24.7</x:v>
      </x:c>
      <x:c r="D42" s="82" t="n">
        <x:v>24.7</x:v>
      </x:c>
      <x:c r="E42" s="82" t="n">
        <x:v>24.8</x:v>
      </x:c>
      <x:c r="F42" s="82" t="n">
        <x:v>25.4</x:v>
      </x:c>
      <x:c r="G42" s="82" t="n">
        <x:v>25.5</x:v>
      </x:c>
      <x:c r="H42" s="82" t="n">
        <x:v>25.5</x:v>
      </x:c>
      <x:c r="I42" s="82" t="n">
        <x:v>25.4</x:v>
      </x:c>
    </x:row>
    <x:row r="43">
      <x:c r="A43" s="72" t="n">
        <x:v>46240.934641203705</x:v>
      </x:c>
      <x:c r="B43" s="82" t="n">
        <x:v>24.8</x:v>
      </x:c>
      <x:c r="C43" s="82" t="n">
        <x:v>24.7</x:v>
      </x:c>
      <x:c r="D43" s="82" t="n">
        <x:v>24.7</x:v>
      </x:c>
      <x:c r="E43" s="82" t="n">
        <x:v>24.7</x:v>
      </x:c>
      <x:c r="F43" s="82" t="n">
        <x:v>25.3</x:v>
      </x:c>
      <x:c r="G43" s="82" t="n">
        <x:v>25.4</x:v>
      </x:c>
      <x:c r="H43" s="82" t="n">
        <x:v>25.6</x:v>
      </x:c>
      <x:c r="I43" s="82" t="n">
        <x:v>25.5</x:v>
      </x:c>
    </x:row>
    <x:row r="44">
      <x:c r="A44" s="72" t="n">
        <x:v>46240.938113425924</x:v>
      </x:c>
      <x:c r="B44" s="82" t="n">
        <x:v>24.9</x:v>
      </x:c>
      <x:c r="C44" s="82" t="n">
        <x:v>24.8</x:v>
      </x:c>
      <x:c r="D44" s="82" t="n">
        <x:v>24.6</x:v>
      </x:c>
      <x:c r="E44" s="82" t="n">
        <x:v>24.7</x:v>
      </x:c>
      <x:c r="F44" s="82" t="n">
        <x:v>25.2</x:v>
      </x:c>
      <x:c r="G44" s="82" t="n">
        <x:v>25.3</x:v>
      </x:c>
      <x:c r="H44" s="82" t="n">
        <x:v>25.6</x:v>
      </x:c>
      <x:c r="I44" s="82" t="n">
        <x:v>25.6</x:v>
      </x:c>
    </x:row>
    <x:row r="45">
      <x:c r="A45" s="72" t="n">
        <x:v>46240.94158564815</x:v>
      </x:c>
      <x:c r="B45" s="82" t="n">
        <x:v>25</x:v>
      </x:c>
      <x:c r="C45" s="82" t="n">
        <x:v>24.9</x:v>
      </x:c>
      <x:c r="D45" s="82" t="n">
        <x:v>24.6</x:v>
      </x:c>
      <x:c r="E45" s="82" t="n">
        <x:v>24.6</x:v>
      </x:c>
      <x:c r="F45" s="82" t="n">
        <x:v>25.1</x:v>
      </x:c>
      <x:c r="G45" s="82" t="n">
        <x:v>25.2</x:v>
      </x:c>
      <x:c r="H45" s="82" t="n">
        <x:v>25.6</x:v>
      </x:c>
      <x:c r="I45" s="82" t="n">
        <x:v>25.6</x:v>
      </x:c>
    </x:row>
    <x:row r="46">
      <x:c r="A46" s="72" t="n">
        <x:v>46240.94505787037</x:v>
      </x:c>
      <x:c r="B46" s="82" t="n">
        <x:v>25.2</x:v>
      </x:c>
      <x:c r="C46" s="82" t="n">
        <x:v>25</x:v>
      </x:c>
      <x:c r="D46" s="82" t="n">
        <x:v>24.6</x:v>
      </x:c>
      <x:c r="E46" s="82" t="n">
        <x:v>24.6</x:v>
      </x:c>
      <x:c r="F46" s="82" t="n">
        <x:v>25</x:v>
      </x:c>
      <x:c r="G46" s="82" t="n">
        <x:v>25.1</x:v>
      </x:c>
      <x:c r="H46" s="82" t="n">
        <x:v>25.6</x:v>
      </x:c>
      <x:c r="I46" s="82" t="n">
        <x:v>25.6</x:v>
      </x:c>
    </x:row>
    <x:row r="47">
      <x:c r="A47" s="72" t="n">
        <x:v>46240.948530092595</x:v>
      </x:c>
      <x:c r="B47" s="82" t="n">
        <x:v>25.3</x:v>
      </x:c>
      <x:c r="C47" s="82" t="n">
        <x:v>25.2</x:v>
      </x:c>
      <x:c r="D47" s="82" t="n">
        <x:v>24.7</x:v>
      </x:c>
      <x:c r="E47" s="82" t="n">
        <x:v>24.6</x:v>
      </x:c>
      <x:c r="F47" s="82" t="n">
        <x:v>24.8</x:v>
      </x:c>
      <x:c r="G47" s="82" t="n">
        <x:v>25</x:v>
      </x:c>
      <x:c r="H47" s="82" t="n">
        <x:v>25.5</x:v>
      </x:c>
      <x:c r="I47" s="82" t="n">
        <x:v>25.6</x:v>
      </x:c>
    </x:row>
    <x:row r="48">
      <x:c r="A48" s="72" t="n">
        <x:v>46240.952002314814</x:v>
      </x:c>
      <x:c r="B48" s="82" t="n">
        <x:v>25.4</x:v>
      </x:c>
      <x:c r="C48" s="82" t="n">
        <x:v>25.3</x:v>
      </x:c>
      <x:c r="D48" s="82" t="n">
        <x:v>24.7</x:v>
      </x:c>
      <x:c r="E48" s="82" t="n">
        <x:v>24.7</x:v>
      </x:c>
      <x:c r="F48" s="82" t="n">
        <x:v>24.7</x:v>
      </x:c>
      <x:c r="G48" s="82" t="n">
        <x:v>24.8</x:v>
      </x:c>
      <x:c r="H48" s="82" t="n">
        <x:v>25.4</x:v>
      </x:c>
      <x:c r="I48" s="82" t="n">
        <x:v>25.5</x:v>
      </x:c>
    </x:row>
    <x:row r="49">
      <x:c r="A49" s="72" t="n">
        <x:v>46240.95547453704</x:v>
      </x:c>
      <x:c r="B49" s="82" t="n">
        <x:v>25.5</x:v>
      </x:c>
      <x:c r="C49" s="82" t="n">
        <x:v>25.4</x:v>
      </x:c>
      <x:c r="D49" s="82" t="n">
        <x:v>24.8</x:v>
      </x:c>
      <x:c r="E49" s="82" t="n">
        <x:v>24.7</x:v>
      </x:c>
      <x:c r="F49" s="82" t="n">
        <x:v>24.7</x:v>
      </x:c>
      <x:c r="G49" s="82" t="n">
        <x:v>24.7</x:v>
      </x:c>
      <x:c r="H49" s="82" t="n">
        <x:v>25.3</x:v>
      </x:c>
      <x:c r="I49" s="82" t="n">
        <x:v>25.4</x:v>
      </x:c>
    </x:row>
    <x:row r="50">
      <x:c r="A50" s="72" t="n">
        <x:v>46240.95894675926</x:v>
      </x:c>
      <x:c r="B50" s="82" t="n">
        <x:v>25.6</x:v>
      </x:c>
      <x:c r="C50" s="82" t="n">
        <x:v>25.5</x:v>
      </x:c>
      <x:c r="D50" s="82" t="n">
        <x:v>24.9</x:v>
      </x:c>
      <x:c r="E50" s="82" t="n">
        <x:v>24.8</x:v>
      </x:c>
      <x:c r="F50" s="82" t="n">
        <x:v>24.6</x:v>
      </x:c>
      <x:c r="G50" s="82" t="n">
        <x:v>24.7</x:v>
      </x:c>
      <x:c r="H50" s="82" t="n">
        <x:v>25.2</x:v>
      </x:c>
      <x:c r="I50" s="82" t="n">
        <x:v>25.3</x:v>
      </x:c>
    </x:row>
    <x:row r="51">
      <x:c r="A51" s="72" t="n">
        <x:v>46240.96241898148</x:v>
      </x:c>
      <x:c r="B51" s="82" t="n">
        <x:v>25.6</x:v>
      </x:c>
      <x:c r="C51" s="82" t="n">
        <x:v>25.6</x:v>
      </x:c>
      <x:c r="D51" s="82" t="n">
        <x:v>25</x:v>
      </x:c>
      <x:c r="E51" s="82" t="n">
        <x:v>24.9</x:v>
      </x:c>
      <x:c r="F51" s="82" t="n">
        <x:v>24.6</x:v>
      </x:c>
      <x:c r="G51" s="82" t="n">
        <x:v>24.6</x:v>
      </x:c>
      <x:c r="H51" s="82" t="n">
        <x:v>25.1</x:v>
      </x:c>
      <x:c r="I51" s="82" t="n">
        <x:v>25.2</x:v>
      </x:c>
    </x:row>
    <x:row r="52">
      <x:c r="A52" s="72" t="n">
        <x:v>46240.965891203705</x:v>
      </x:c>
      <x:c r="B52" s="82" t="n">
        <x:v>25.6</x:v>
      </x:c>
      <x:c r="C52" s="82" t="n">
        <x:v>25.6</x:v>
      </x:c>
      <x:c r="D52" s="82" t="n">
        <x:v>25.2</x:v>
      </x:c>
      <x:c r="E52" s="82" t="n">
        <x:v>25</x:v>
      </x:c>
      <x:c r="F52" s="82" t="n">
        <x:v>24.6</x:v>
      </x:c>
      <x:c r="G52" s="82" t="n">
        <x:v>24.6</x:v>
      </x:c>
      <x:c r="H52" s="82" t="n">
        <x:v>25</x:v>
      </x:c>
      <x:c r="I52" s="82" t="n">
        <x:v>25.1</x:v>
      </x:c>
    </x:row>
    <x:row r="53">
      <x:c r="A53" s="73" t="n">
        <x:v>46240.969363425924</x:v>
      </x:c>
      <x:c r="B53" s="83" t="n">
        <x:v>25.6</x:v>
      </x:c>
      <x:c r="C53" s="83" t="n">
        <x:v>25.6</x:v>
      </x:c>
      <x:c r="D53" s="83" t="n">
        <x:v>25.3</x:v>
      </x:c>
      <x:c r="E53" s="83" t="n">
        <x:v>25.2</x:v>
      </x:c>
      <x:c r="F53" s="83" t="n">
        <x:v>24.7</x:v>
      </x:c>
      <x:c r="G53" s="83" t="n">
        <x:v>24.6</x:v>
      </x:c>
      <x:c r="H53" s="83" t="n">
        <x:v>24.8</x:v>
      </x:c>
      <x:c r="I53" s="83" t="n">
        <x:v>25</x:v>
      </x:c>
    </x:row>
  </x:sheetData>
  <x:mergeCells>
    <x:mergeCell ref="A1:I1"/>
    <x:mergeCell ref="A2:I2"/>
  </x:mergeCells>
  <x:conditionalFormatting sqref="B5:I53">
    <x:cfRule type="expression" dxfId="12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7300f1d9aa7e4a54"/>
</x:worksheet>
</file>

<file path=xl/worksheets/sheet1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W2处理：土壤EC随时间变化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排列。单位：μS/cm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33" t="str">
        <x:v>采集时间</x:v>
      </x:c>
      <x:c r="B4" s="134" t="str">
        <x:v>B1-W2-V1（P05）</x:v>
      </x:c>
      <x:c r="C4" s="134" t="str">
        <x:v>B1-W2-V2（P06）</x:v>
      </x:c>
      <x:c r="D4" s="134" t="str">
        <x:v>B2-W2-V1（P11）</x:v>
      </x:c>
      <x:c r="E4" s="134" t="str">
        <x:v>B2-W2-V2（P12）</x:v>
      </x:c>
      <x:c r="F4" s="134" t="str">
        <x:v>B3-W2-V1（P17）</x:v>
      </x:c>
      <x:c r="G4" s="134" t="str">
        <x:v>B3-W2-V2（P18）</x:v>
      </x:c>
      <x:c r="H4" s="134" t="str">
        <x:v>B4-W2-V1（P23）</x:v>
      </x:c>
      <x:c r="I4" s="135" t="str">
        <x:v>B4-W2-V2（P24）</x:v>
      </x:c>
    </x:row>
    <x:row r="5">
      <x:c r="A5" s="72" t="n">
        <x:v>46240.80269675926</x:v>
      </x:c>
      <x:c r="B5" s="86" t="n">
        <x:v>862</x:v>
      </x:c>
      <x:c r="C5" s="86" t="n">
        <x:v>880</x:v>
      </x:c>
      <x:c r="D5" s="86" t="n">
        <x:v>941</x:v>
      </x:c>
      <x:c r="E5" s="86" t="n">
        <x:v>947</x:v>
      </x:c>
      <x:c r="F5" s="86" t="n">
        <x:v>966</x:v>
      </x:c>
      <x:c r="G5" s="86" t="n">
        <x:v>971</x:v>
      </x:c>
      <x:c r="H5" s="86" t="n">
        <x:v>1025</x:v>
      </x:c>
      <x:c r="I5" s="86" t="n">
        <x:v>1042</x:v>
      </x:c>
    </x:row>
    <x:row r="6">
      <x:c r="A6" s="72" t="n">
        <x:v>46240.80616898148</x:v>
      </x:c>
      <x:c r="B6" s="86" t="n">
        <x:v>855</x:v>
      </x:c>
      <x:c r="C6" s="86" t="n">
        <x:v>874</x:v>
      </x:c>
      <x:c r="D6" s="86" t="n">
        <x:v>945</x:v>
      </x:c>
      <x:c r="E6" s="86" t="n">
        <x:v>953</x:v>
      </x:c>
      <x:c r="F6" s="86" t="n">
        <x:v>974</x:v>
      </x:c>
      <x:c r="G6" s="86" t="n">
        <x:v>978</x:v>
      </x:c>
      <x:c r="H6" s="86" t="n">
        <x:v>1022</x:v>
      </x:c>
      <x:c r="I6" s="86" t="n">
        <x:v>1037</x:v>
      </x:c>
    </x:row>
    <x:row r="7">
      <x:c r="A7" s="72" t="n">
        <x:v>46240.809641203705</x:v>
      </x:c>
      <x:c r="B7" s="86" t="n">
        <x:v>846</x:v>
      </x:c>
      <x:c r="C7" s="86" t="n">
        <x:v>867</x:v>
      </x:c>
      <x:c r="D7" s="86" t="n">
        <x:v>947</x:v>
      </x:c>
      <x:c r="E7" s="86" t="n">
        <x:v>957</x:v>
      </x:c>
      <x:c r="F7" s="86" t="n">
        <x:v>983</x:v>
      </x:c>
      <x:c r="G7" s="86" t="n">
        <x:v>986</x:v>
      </x:c>
      <x:c r="H7" s="86" t="n">
        <x:v>1021</x:v>
      </x:c>
      <x:c r="I7" s="86" t="n">
        <x:v>1034</x:v>
      </x:c>
    </x:row>
    <x:row r="8">
      <x:c r="A8" s="72" t="n">
        <x:v>46240.813113425924</x:v>
      </x:c>
      <x:c r="B8" s="86" t="n">
        <x:v>838</x:v>
      </x:c>
      <x:c r="C8" s="86" t="n">
        <x:v>858</x:v>
      </x:c>
      <x:c r="D8" s="86" t="n">
        <x:v>947</x:v>
      </x:c>
      <x:c r="E8" s="86" t="n">
        <x:v>959</x:v>
      </x:c>
      <x:c r="F8" s="86" t="n">
        <x:v>991</x:v>
      </x:c>
      <x:c r="G8" s="86" t="n">
        <x:v>995</x:v>
      </x:c>
      <x:c r="H8" s="86" t="n">
        <x:v>1022</x:v>
      </x:c>
      <x:c r="I8" s="86" t="n">
        <x:v>1033</x:v>
      </x:c>
    </x:row>
    <x:row r="9">
      <x:c r="A9" s="72" t="n">
        <x:v>46240.81658564815</x:v>
      </x:c>
      <x:c r="B9" s="86" t="n">
        <x:v>829</x:v>
      </x:c>
      <x:c r="C9" s="86" t="n">
        <x:v>850</x:v>
      </x:c>
      <x:c r="D9" s="86" t="n">
        <x:v>944</x:v>
      </x:c>
      <x:c r="E9" s="86" t="n">
        <x:v>959</x:v>
      </x:c>
      <x:c r="F9" s="86" t="n">
        <x:v>999</x:v>
      </x:c>
      <x:c r="G9" s="86" t="n">
        <x:v>1003</x:v>
      </x:c>
      <x:c r="H9" s="86" t="n">
        <x:v>1026</x:v>
      </x:c>
      <x:c r="I9" s="86" t="n">
        <x:v>1034</x:v>
      </x:c>
    </x:row>
    <x:row r="10">
      <x:c r="A10" s="72" t="n">
        <x:v>46240.82005787037</x:v>
      </x:c>
      <x:c r="B10" s="86" t="n">
        <x:v>821</x:v>
      </x:c>
      <x:c r="C10" s="86" t="n">
        <x:v>841</x:v>
      </x:c>
      <x:c r="D10" s="86" t="n">
        <x:v>940</x:v>
      </x:c>
      <x:c r="E10" s="86" t="n">
        <x:v>956</x:v>
      </x:c>
      <x:c r="F10" s="86" t="n">
        <x:v>1007</x:v>
      </x:c>
      <x:c r="G10" s="86" t="n">
        <x:v>1011</x:v>
      </x:c>
      <x:c r="H10" s="86" t="n">
        <x:v>1031</x:v>
      </x:c>
      <x:c r="I10" s="86" t="n">
        <x:v>1038</x:v>
      </x:c>
    </x:row>
    <x:row r="11">
      <x:c r="A11" s="72" t="n">
        <x:v>46240.823530092595</x:v>
      </x:c>
      <x:c r="B11" s="86" t="n">
        <x:v>814</x:v>
      </x:c>
      <x:c r="C11" s="86" t="n">
        <x:v>833</x:v>
      </x:c>
      <x:c r="D11" s="86" t="n">
        <x:v>934</x:v>
      </x:c>
      <x:c r="E11" s="86" t="n">
        <x:v>952</x:v>
      </x:c>
      <x:c r="F11" s="86" t="n">
        <x:v>1013</x:v>
      </x:c>
      <x:c r="G11" s="86" t="n">
        <x:v>1019</x:v>
      </x:c>
      <x:c r="H11" s="86" t="n">
        <x:v>1038</x:v>
      </x:c>
      <x:c r="I11" s="86" t="n">
        <x:v>1043</x:v>
      </x:c>
    </x:row>
    <x:row r="12">
      <x:c r="A12" s="72" t="n">
        <x:v>46240.827002314814</x:v>
      </x:c>
      <x:c r="B12" s="86" t="n">
        <x:v>809</x:v>
      </x:c>
      <x:c r="C12" s="86" t="n">
        <x:v>826</x:v>
      </x:c>
      <x:c r="D12" s="86" t="n">
        <x:v>927</x:v>
      </x:c>
      <x:c r="E12" s="86" t="n">
        <x:v>946</x:v>
      </x:c>
      <x:c r="F12" s="86" t="n">
        <x:v>1017</x:v>
      </x:c>
      <x:c r="G12" s="86" t="n">
        <x:v>1025</x:v>
      </x:c>
      <x:c r="H12" s="86" t="n">
        <x:v>1046</x:v>
      </x:c>
      <x:c r="I12" s="86" t="n">
        <x:v>1050</x:v>
      </x:c>
    </x:row>
    <x:row r="13">
      <x:c r="A13" s="72" t="n">
        <x:v>46240.83047453704</x:v>
      </x:c>
      <x:c r="B13" s="86" t="n">
        <x:v>806</x:v>
      </x:c>
      <x:c r="C13" s="86" t="n">
        <x:v>821</x:v>
      </x:c>
      <x:c r="D13" s="86" t="n">
        <x:v>918</x:v>
      </x:c>
      <x:c r="E13" s="86" t="n">
        <x:v>939</x:v>
      </x:c>
      <x:c r="F13" s="86" t="n">
        <x:v>1019</x:v>
      </x:c>
      <x:c r="G13" s="86" t="n">
        <x:v>1029</x:v>
      </x:c>
      <x:c r="H13" s="86" t="n">
        <x:v>1055</x:v>
      </x:c>
      <x:c r="I13" s="86" t="n">
        <x:v>1058</x:v>
      </x:c>
    </x:row>
    <x:row r="14">
      <x:c r="A14" s="72" t="n">
        <x:v>46240.83394675926</x:v>
      </x:c>
      <x:c r="B14" s="86" t="n">
        <x:v>805</x:v>
      </x:c>
      <x:c r="C14" s="86" t="n">
        <x:v>818</x:v>
      </x:c>
      <x:c r="D14" s="86" t="n">
        <x:v>910</x:v>
      </x:c>
      <x:c r="E14" s="86" t="n">
        <x:v>930</x:v>
      </x:c>
      <x:c r="F14" s="86" t="n">
        <x:v>1019</x:v>
      </x:c>
      <x:c r="G14" s="86" t="n">
        <x:v>1031</x:v>
      </x:c>
      <x:c r="H14" s="86" t="n">
        <x:v>1063</x:v>
      </x:c>
      <x:c r="I14" s="86" t="n">
        <x:v>1067</x:v>
      </x:c>
    </x:row>
    <x:row r="15">
      <x:c r="A15" s="72" t="n">
        <x:v>46240.83741898148</x:v>
      </x:c>
      <x:c r="B15" s="86" t="n">
        <x:v>806</x:v>
      </x:c>
      <x:c r="C15" s="86" t="n">
        <x:v>817</x:v>
      </x:c>
      <x:c r="D15" s="86" t="n">
        <x:v>901</x:v>
      </x:c>
      <x:c r="E15" s="86" t="n">
        <x:v>922</x:v>
      </x:c>
      <x:c r="F15" s="86" t="n">
        <x:v>1016</x:v>
      </x:c>
      <x:c r="G15" s="86" t="n">
        <x:v>1031</x:v>
      </x:c>
      <x:c r="H15" s="86" t="n">
        <x:v>1071</x:v>
      </x:c>
      <x:c r="I15" s="86" t="n">
        <x:v>1075</x:v>
      </x:c>
    </x:row>
    <x:row r="16">
      <x:c r="A16" s="72" t="n">
        <x:v>46240.840891203705</x:v>
      </x:c>
      <x:c r="B16" s="86" t="n">
        <x:v>809</x:v>
      </x:c>
      <x:c r="C16" s="86" t="n">
        <x:v>818</x:v>
      </x:c>
      <x:c r="D16" s="86" t="n">
        <x:v>893</x:v>
      </x:c>
      <x:c r="E16" s="86" t="n">
        <x:v>913</x:v>
      </x:c>
      <x:c r="F16" s="86" t="n">
        <x:v>1012</x:v>
      </x:c>
      <x:c r="G16" s="86" t="n">
        <x:v>1028</x:v>
      </x:c>
      <x:c r="H16" s="86" t="n">
        <x:v>1079</x:v>
      </x:c>
      <x:c r="I16" s="86" t="n">
        <x:v>1083</x:v>
      </x:c>
    </x:row>
    <x:row r="17">
      <x:c r="A17" s="72" t="n">
        <x:v>46240.844363425924</x:v>
      </x:c>
      <x:c r="B17" s="86" t="n">
        <x:v>814</x:v>
      </x:c>
      <x:c r="C17" s="86" t="n">
        <x:v>821</x:v>
      </x:c>
      <x:c r="D17" s="86" t="n">
        <x:v>886</x:v>
      </x:c>
      <x:c r="E17" s="86" t="n">
        <x:v>905</x:v>
      </x:c>
      <x:c r="F17" s="86" t="n">
        <x:v>1006</x:v>
      </x:c>
      <x:c r="G17" s="86" t="n">
        <x:v>1024</x:v>
      </x:c>
      <x:c r="H17" s="86" t="n">
        <x:v>1085</x:v>
      </x:c>
      <x:c r="I17" s="86" t="n">
        <x:v>1091</x:v>
      </x:c>
    </x:row>
    <x:row r="18">
      <x:c r="A18" s="72" t="n">
        <x:v>46240.84783564815</x:v>
      </x:c>
      <x:c r="B18" s="86" t="n">
        <x:v>821</x:v>
      </x:c>
      <x:c r="C18" s="86" t="n">
        <x:v>826</x:v>
      </x:c>
      <x:c r="D18" s="86" t="n">
        <x:v>881</x:v>
      </x:c>
      <x:c r="E18" s="86" t="n">
        <x:v>898</x:v>
      </x:c>
      <x:c r="F18" s="86" t="n">
        <x:v>999</x:v>
      </x:c>
      <x:c r="G18" s="86" t="n">
        <x:v>1018</x:v>
      </x:c>
      <x:c r="H18" s="86" t="n">
        <x:v>1089</x:v>
      </x:c>
      <x:c r="I18" s="86" t="n">
        <x:v>1097</x:v>
      </x:c>
    </x:row>
    <x:row r="19">
      <x:c r="A19" s="72" t="n">
        <x:v>46240.85130787037</x:v>
      </x:c>
      <x:c r="B19" s="86" t="n">
        <x:v>829</x:v>
      </x:c>
      <x:c r="C19" s="86" t="n">
        <x:v>833</x:v>
      </x:c>
      <x:c r="D19" s="86" t="n">
        <x:v>878</x:v>
      </x:c>
      <x:c r="E19" s="86" t="n">
        <x:v>893</x:v>
      </x:c>
      <x:c r="F19" s="86" t="n">
        <x:v>990</x:v>
      </x:c>
      <x:c r="G19" s="86" t="n">
        <x:v>1011</x:v>
      </x:c>
      <x:c r="H19" s="86" t="n">
        <x:v>1091</x:v>
      </x:c>
      <x:c r="I19" s="86" t="n">
        <x:v>1101</x:v>
      </x:c>
    </x:row>
    <x:row r="20">
      <x:c r="A20" s="72" t="n">
        <x:v>46240.854780092595</x:v>
      </x:c>
      <x:c r="B20" s="86" t="n">
        <x:v>837</x:v>
      </x:c>
      <x:c r="C20" s="86" t="n">
        <x:v>841</x:v>
      </x:c>
      <x:c r="D20" s="86" t="n">
        <x:v>877</x:v>
      </x:c>
      <x:c r="E20" s="86" t="n">
        <x:v>890</x:v>
      </x:c>
      <x:c r="F20" s="86" t="n">
        <x:v>982</x:v>
      </x:c>
      <x:c r="G20" s="86" t="n">
        <x:v>1002</x:v>
      </x:c>
      <x:c r="H20" s="86" t="n">
        <x:v>1091</x:v>
      </x:c>
      <x:c r="I20" s="86" t="n">
        <x:v>1103</x:v>
      </x:c>
    </x:row>
    <x:row r="21">
      <x:c r="A21" s="72" t="n">
        <x:v>46240.858252314814</x:v>
      </x:c>
      <x:c r="B21" s="86" t="n">
        <x:v>846</x:v>
      </x:c>
      <x:c r="C21" s="86" t="n">
        <x:v>849</x:v>
      </x:c>
      <x:c r="D21" s="86" t="n">
        <x:v>878</x:v>
      </x:c>
      <x:c r="E21" s="86" t="n">
        <x:v>889</x:v>
      </x:c>
      <x:c r="F21" s="86" t="n">
        <x:v>973</x:v>
      </x:c>
      <x:c r="G21" s="86" t="n">
        <x:v>994</x:v>
      </x:c>
      <x:c r="H21" s="86" t="n">
        <x:v>1088</x:v>
      </x:c>
      <x:c r="I21" s="86" t="n">
        <x:v>1103</x:v>
      </x:c>
    </x:row>
    <x:row r="22">
      <x:c r="A22" s="72" t="n">
        <x:v>46240.86172453704</x:v>
      </x:c>
      <x:c r="B22" s="86" t="n">
        <x:v>854</x:v>
      </x:c>
      <x:c r="C22" s="86" t="n">
        <x:v>858</x:v>
      </x:c>
      <x:c r="D22" s="86" t="n">
        <x:v>881</x:v>
      </x:c>
      <x:c r="E22" s="86" t="n">
        <x:v>890</x:v>
      </x:c>
      <x:c r="F22" s="86" t="n">
        <x:v>965</x:v>
      </x:c>
      <x:c r="G22" s="86" t="n">
        <x:v>985</x:v>
      </x:c>
      <x:c r="H22" s="86" t="n">
        <x:v>1084</x:v>
      </x:c>
      <x:c r="I22" s="86" t="n">
        <x:v>1100</x:v>
      </x:c>
    </x:row>
    <x:row r="23">
      <x:c r="A23" s="72" t="n">
        <x:v>46240.86519675926</x:v>
      </x:c>
      <x:c r="B23" s="86" t="n">
        <x:v>862</x:v>
      </x:c>
      <x:c r="C23" s="86" t="n">
        <x:v>866</x:v>
      </x:c>
      <x:c r="D23" s="86" t="n">
        <x:v>886</x:v>
      </x:c>
      <x:c r="E23" s="86" t="n">
        <x:v>893</x:v>
      </x:c>
      <x:c r="F23" s="86" t="n">
        <x:v>958</x:v>
      </x:c>
      <x:c r="G23" s="86" t="n">
        <x:v>977</x:v>
      </x:c>
      <x:c r="H23" s="86" t="n">
        <x:v>1078</x:v>
      </x:c>
      <x:c r="I23" s="86" t="n">
        <x:v>1096</x:v>
      </x:c>
    </x:row>
    <x:row r="24">
      <x:c r="A24" s="72" t="n">
        <x:v>46240.86866898148</x:v>
      </x:c>
      <x:c r="B24" s="86" t="n">
        <x:v>868</x:v>
      </x:c>
      <x:c r="C24" s="86" t="n">
        <x:v>874</x:v>
      </x:c>
      <x:c r="D24" s="86" t="n">
        <x:v>893</x:v>
      </x:c>
      <x:c r="E24" s="86" t="n">
        <x:v>898</x:v>
      </x:c>
      <x:c r="F24" s="86" t="n">
        <x:v>953</x:v>
      </x:c>
      <x:c r="G24" s="86" t="n">
        <x:v>970</x:v>
      </x:c>
      <x:c r="H24" s="86" t="n">
        <x:v>1071</x:v>
      </x:c>
      <x:c r="I24" s="86" t="n">
        <x:v>1090</x:v>
      </x:c>
    </x:row>
    <x:row r="25">
      <x:c r="A25" s="72" t="n">
        <x:v>46240.872141203705</x:v>
      </x:c>
      <x:c r="B25" s="86" t="n">
        <x:v>872</x:v>
      </x:c>
      <x:c r="C25" s="86" t="n">
        <x:v>880</x:v>
      </x:c>
      <x:c r="D25" s="86" t="n">
        <x:v>901</x:v>
      </x:c>
      <x:c r="E25" s="86" t="n">
        <x:v>905</x:v>
      </x:c>
      <x:c r="F25" s="86" t="n">
        <x:v>950</x:v>
      </x:c>
      <x:c r="G25" s="86" t="n">
        <x:v>965</x:v>
      </x:c>
      <x:c r="H25" s="86" t="n">
        <x:v>1062</x:v>
      </x:c>
      <x:c r="I25" s="86" t="n">
        <x:v>1083</x:v>
      </x:c>
    </x:row>
    <x:row r="26">
      <x:c r="A26" s="72" t="n">
        <x:v>46240.875613425924</x:v>
      </x:c>
      <x:c r="B26" s="86" t="n">
        <x:v>875</x:v>
      </x:c>
      <x:c r="C26" s="86" t="n">
        <x:v>884</x:v>
      </x:c>
      <x:c r="D26" s="86" t="n">
        <x:v>909</x:v>
      </x:c>
      <x:c r="E26" s="86" t="n">
        <x:v>913</x:v>
      </x:c>
      <x:c r="F26" s="86" t="n">
        <x:v>949</x:v>
      </x:c>
      <x:c r="G26" s="86" t="n">
        <x:v>962</x:v>
      </x:c>
      <x:c r="H26" s="86" t="n">
        <x:v>1054</x:v>
      </x:c>
      <x:c r="I26" s="86" t="n">
        <x:v>1074</x:v>
      </x:c>
    </x:row>
    <x:row r="27">
      <x:c r="A27" s="72" t="n">
        <x:v>46240.87908564815</x:v>
      </x:c>
      <x:c r="B27" s="86" t="n">
        <x:v>875</x:v>
      </x:c>
      <x:c r="C27" s="86" t="n">
        <x:v>887</x:v>
      </x:c>
      <x:c r="D27" s="86" t="n">
        <x:v>918</x:v>
      </x:c>
      <x:c r="E27" s="86" t="n">
        <x:v>921</x:v>
      </x:c>
      <x:c r="F27" s="86" t="n">
        <x:v>950</x:v>
      </x:c>
      <x:c r="G27" s="86" t="n">
        <x:v>961</x:v>
      </x:c>
      <x:c r="H27" s="86" t="n">
        <x:v>1045</x:v>
      </x:c>
      <x:c r="I27" s="86" t="n">
        <x:v>1066</x:v>
      </x:c>
    </x:row>
    <x:row r="28">
      <x:c r="A28" s="72" t="n">
        <x:v>46240.88255787037</x:v>
      </x:c>
      <x:c r="B28" s="86" t="n">
        <x:v>873</x:v>
      </x:c>
      <x:c r="C28" s="86" t="n">
        <x:v>887</x:v>
      </x:c>
      <x:c r="D28" s="86" t="n">
        <x:v>926</x:v>
      </x:c>
      <x:c r="E28" s="86" t="n">
        <x:v>930</x:v>
      </x:c>
      <x:c r="F28" s="86" t="n">
        <x:v>953</x:v>
      </x:c>
      <x:c r="G28" s="86" t="n">
        <x:v>962</x:v>
      </x:c>
      <x:c r="H28" s="86" t="n">
        <x:v>1037</x:v>
      </x:c>
      <x:c r="I28" s="86" t="n">
        <x:v>1057</x:v>
      </x:c>
    </x:row>
    <x:row r="29">
      <x:c r="A29" s="72" t="n">
        <x:v>46240.886030092595</x:v>
      </x:c>
      <x:c r="B29" s="86" t="n">
        <x:v>869</x:v>
      </x:c>
      <x:c r="C29" s="86" t="n">
        <x:v>885</x:v>
      </x:c>
      <x:c r="D29" s="86" t="n">
        <x:v>934</x:v>
      </x:c>
      <x:c r="E29" s="86" t="n">
        <x:v>938</x:v>
      </x:c>
      <x:c r="F29" s="86" t="n">
        <x:v>958</x:v>
      </x:c>
      <x:c r="G29" s="86" t="n">
        <x:v>965</x:v>
      </x:c>
      <x:c r="H29" s="86" t="n">
        <x:v>1030</x:v>
      </x:c>
      <x:c r="I29" s="86" t="n">
        <x:v>1049</x:v>
      </x:c>
    </x:row>
    <x:row r="30">
      <x:c r="A30" s="72" t="n">
        <x:v>46240.889502314814</x:v>
      </x:c>
      <x:c r="B30" s="86" t="n">
        <x:v>863</x:v>
      </x:c>
      <x:c r="C30" s="86" t="n">
        <x:v>881</x:v>
      </x:c>
      <x:c r="D30" s="86" t="n">
        <x:v>940</x:v>
      </x:c>
      <x:c r="E30" s="86" t="n">
        <x:v>946</x:v>
      </x:c>
      <x:c r="F30" s="86" t="n">
        <x:v>965</x:v>
      </x:c>
      <x:c r="G30" s="86" t="n">
        <x:v>970</x:v>
      </x:c>
      <x:c r="H30" s="86" t="n">
        <x:v>1025</x:v>
      </x:c>
      <x:c r="I30" s="86" t="n">
        <x:v>1042</x:v>
      </x:c>
    </x:row>
    <x:row r="31">
      <x:c r="A31" s="72" t="n">
        <x:v>46240.89297453704</x:v>
      </x:c>
      <x:c r="B31" s="86" t="n">
        <x:v>856</x:v>
      </x:c>
      <x:c r="C31" s="86" t="n">
        <x:v>875</x:v>
      </x:c>
      <x:c r="D31" s="86" t="n">
        <x:v>944</x:v>
      </x:c>
      <x:c r="E31" s="86" t="n">
        <x:v>952</x:v>
      </x:c>
      <x:c r="F31" s="86" t="n">
        <x:v>973</x:v>
      </x:c>
      <x:c r="G31" s="86" t="n">
        <x:v>977</x:v>
      </x:c>
      <x:c r="H31" s="86" t="n">
        <x:v>1022</x:v>
      </x:c>
      <x:c r="I31" s="86" t="n">
        <x:v>1037</x:v>
      </x:c>
    </x:row>
    <x:row r="32">
      <x:c r="A32" s="72" t="n">
        <x:v>46240.89644675926</x:v>
      </x:c>
      <x:c r="B32" s="86" t="n">
        <x:v>848</x:v>
      </x:c>
      <x:c r="C32" s="86" t="n">
        <x:v>868</x:v>
      </x:c>
      <x:c r="D32" s="86" t="n">
        <x:v>947</x:v>
      </x:c>
      <x:c r="E32" s="86" t="n">
        <x:v>956</x:v>
      </x:c>
      <x:c r="F32" s="86" t="n">
        <x:v>981</x:v>
      </x:c>
      <x:c r="G32" s="86" t="n">
        <x:v>985</x:v>
      </x:c>
      <x:c r="H32" s="86" t="n">
        <x:v>1021</x:v>
      </x:c>
      <x:c r="I32" s="86" t="n">
        <x:v>1034</x:v>
      </x:c>
    </x:row>
    <x:row r="33">
      <x:c r="A33" s="72" t="n">
        <x:v>46240.89991898148</x:v>
      </x:c>
      <x:c r="B33" s="86" t="n">
        <x:v>839</x:v>
      </x:c>
      <x:c r="C33" s="86" t="n">
        <x:v>860</x:v>
      </x:c>
      <x:c r="D33" s="86" t="n">
        <x:v>947</x:v>
      </x:c>
      <x:c r="E33" s="86" t="n">
        <x:v>959</x:v>
      </x:c>
      <x:c r="F33" s="86" t="n">
        <x:v>990</x:v>
      </x:c>
      <x:c r="G33" s="86" t="n">
        <x:v>993</x:v>
      </x:c>
      <x:c r="H33" s="86" t="n">
        <x:v>1022</x:v>
      </x:c>
      <x:c r="I33" s="86" t="n">
        <x:v>1033</x:v>
      </x:c>
    </x:row>
    <x:row r="34">
      <x:c r="A34" s="72" t="n">
        <x:v>46240.903391203705</x:v>
      </x:c>
      <x:c r="B34" s="86" t="n">
        <x:v>830</x:v>
      </x:c>
      <x:c r="C34" s="86" t="n">
        <x:v>851</x:v>
      </x:c>
      <x:c r="D34" s="86" t="n">
        <x:v>945</x:v>
      </x:c>
      <x:c r="E34" s="86" t="n">
        <x:v>959</x:v>
      </x:c>
      <x:c r="F34" s="86" t="n">
        <x:v>998</x:v>
      </x:c>
      <x:c r="G34" s="86" t="n">
        <x:v>1002</x:v>
      </x:c>
      <x:c r="H34" s="86" t="n">
        <x:v>1025</x:v>
      </x:c>
      <x:c r="I34" s="86" t="n">
        <x:v>1034</x:v>
      </x:c>
    </x:row>
    <x:row r="35">
      <x:c r="A35" s="72" t="n">
        <x:v>46240.906863425924</x:v>
      </x:c>
      <x:c r="B35" s="86" t="n">
        <x:v>822</x:v>
      </x:c>
      <x:c r="C35" s="86" t="n">
        <x:v>842</x:v>
      </x:c>
      <x:c r="D35" s="86" t="n">
        <x:v>941</x:v>
      </x:c>
      <x:c r="E35" s="86" t="n">
        <x:v>957</x:v>
      </x:c>
      <x:c r="F35" s="86" t="n">
        <x:v>1006</x:v>
      </x:c>
      <x:c r="G35" s="86" t="n">
        <x:v>1010</x:v>
      </x:c>
      <x:c r="H35" s="86" t="n">
        <x:v>1030</x:v>
      </x:c>
      <x:c r="I35" s="86" t="n">
        <x:v>1037</x:v>
      </x:c>
    </x:row>
    <x:row r="36">
      <x:c r="A36" s="72" t="n">
        <x:v>46240.91033564815</x:v>
      </x:c>
      <x:c r="B36" s="86" t="n">
        <x:v>815</x:v>
      </x:c>
      <x:c r="C36" s="86" t="n">
        <x:v>834</x:v>
      </x:c>
      <x:c r="D36" s="86" t="n">
        <x:v>935</x:v>
      </x:c>
      <x:c r="E36" s="86" t="n">
        <x:v>953</x:v>
      </x:c>
      <x:c r="F36" s="86" t="n">
        <x:v>1012</x:v>
      </x:c>
      <x:c r="G36" s="86" t="n">
        <x:v>1018</x:v>
      </x:c>
      <x:c r="H36" s="86" t="n">
        <x:v>1037</x:v>
      </x:c>
      <x:c r="I36" s="86" t="n">
        <x:v>1042</x:v>
      </x:c>
    </x:row>
    <x:row r="37">
      <x:c r="A37" s="72" t="n">
        <x:v>46240.91380787037</x:v>
      </x:c>
      <x:c r="B37" s="86" t="n">
        <x:v>810</x:v>
      </x:c>
      <x:c r="C37" s="86" t="n">
        <x:v>827</x:v>
      </x:c>
      <x:c r="D37" s="86" t="n">
        <x:v>928</x:v>
      </x:c>
      <x:c r="E37" s="86" t="n">
        <x:v>947</x:v>
      </x:c>
      <x:c r="F37" s="86" t="n">
        <x:v>1016</x:v>
      </x:c>
      <x:c r="G37" s="86" t="n">
        <x:v>1024</x:v>
      </x:c>
      <x:c r="H37" s="86" t="n">
        <x:v>1045</x:v>
      </x:c>
      <x:c r="I37" s="86" t="n">
        <x:v>1049</x:v>
      </x:c>
    </x:row>
    <x:row r="38">
      <x:c r="A38" s="72" t="n">
        <x:v>46240.917280092595</x:v>
      </x:c>
      <x:c r="B38" s="86" t="n">
        <x:v>806</x:v>
      </x:c>
      <x:c r="C38" s="86" t="n">
        <x:v>822</x:v>
      </x:c>
      <x:c r="D38" s="86" t="n">
        <x:v>920</x:v>
      </x:c>
      <x:c r="E38" s="86" t="n">
        <x:v>940</x:v>
      </x:c>
      <x:c r="F38" s="86" t="n">
        <x:v>1019</x:v>
      </x:c>
      <x:c r="G38" s="86" t="n">
        <x:v>1028</x:v>
      </x:c>
      <x:c r="H38" s="86" t="n">
        <x:v>1053</x:v>
      </x:c>
      <x:c r="I38" s="86" t="n">
        <x:v>1057</x:v>
      </x:c>
    </x:row>
    <x:row r="39">
      <x:c r="A39" s="72" t="n">
        <x:v>46240.920752314814</x:v>
      </x:c>
      <x:c r="B39" s="86" t="n">
        <x:v>805</x:v>
      </x:c>
      <x:c r="C39" s="86" t="n">
        <x:v>818</x:v>
      </x:c>
      <x:c r="D39" s="86" t="n">
        <x:v>911</x:v>
      </x:c>
      <x:c r="E39" s="86" t="n">
        <x:v>932</x:v>
      </x:c>
      <x:c r="F39" s="86" t="n">
        <x:v>1019</x:v>
      </x:c>
      <x:c r="G39" s="86" t="n">
        <x:v>1031</x:v>
      </x:c>
      <x:c r="H39" s="86" t="n">
        <x:v>1062</x:v>
      </x:c>
      <x:c r="I39" s="86" t="n">
        <x:v>1065</x:v>
      </x:c>
    </x:row>
    <x:row r="40">
      <x:c r="A40" s="72" t="n">
        <x:v>46240.92422453704</x:v>
      </x:c>
      <x:c r="B40" s="86" t="n">
        <x:v>806</x:v>
      </x:c>
      <x:c r="C40" s="86" t="n">
        <x:v>817</x:v>
      </x:c>
      <x:c r="D40" s="86" t="n">
        <x:v>902</x:v>
      </x:c>
      <x:c r="E40" s="86" t="n">
        <x:v>923</x:v>
      </x:c>
      <x:c r="F40" s="86" t="n">
        <x:v>1017</x:v>
      </x:c>
      <x:c r="G40" s="86" t="n">
        <x:v>1031</x:v>
      </x:c>
      <x:c r="H40" s="86" t="n">
        <x:v>1070</x:v>
      </x:c>
      <x:c r="I40" s="86" t="n">
        <x:v>1074</x:v>
      </x:c>
    </x:row>
    <x:row r="41">
      <x:c r="A41" s="72" t="n">
        <x:v>46240.92769675926</x:v>
      </x:c>
      <x:c r="B41" s="86" t="n">
        <x:v>809</x:v>
      </x:c>
      <x:c r="C41" s="86" t="n">
        <x:v>818</x:v>
      </x:c>
      <x:c r="D41" s="86" t="n">
        <x:v>894</x:v>
      </x:c>
      <x:c r="E41" s="86" t="n">
        <x:v>914</x:v>
      </x:c>
      <x:c r="F41" s="86" t="n">
        <x:v>1013</x:v>
      </x:c>
      <x:c r="G41" s="86" t="n">
        <x:v>1029</x:v>
      </x:c>
      <x:c r="H41" s="86" t="n">
        <x:v>1078</x:v>
      </x:c>
      <x:c r="I41" s="86" t="n">
        <x:v>1082</x:v>
      </x:c>
    </x:row>
    <x:row r="42">
      <x:c r="A42" s="72" t="n">
        <x:v>46240.93116898148</x:v>
      </x:c>
      <x:c r="B42" s="86" t="n">
        <x:v>814</x:v>
      </x:c>
      <x:c r="C42" s="86" t="n">
        <x:v>821</x:v>
      </x:c>
      <x:c r="D42" s="86" t="n">
        <x:v>887</x:v>
      </x:c>
      <x:c r="E42" s="86" t="n">
        <x:v>906</x:v>
      </x:c>
      <x:c r="F42" s="86" t="n">
        <x:v>1007</x:v>
      </x:c>
      <x:c r="G42" s="86" t="n">
        <x:v>1025</x:v>
      </x:c>
      <x:c r="H42" s="86" t="n">
        <x:v>1084</x:v>
      </x:c>
      <x:c r="I42" s="86" t="n">
        <x:v>1090</x:v>
      </x:c>
    </x:row>
    <x:row r="43">
      <x:c r="A43" s="72" t="n">
        <x:v>46240.934641203705</x:v>
      </x:c>
      <x:c r="B43" s="86" t="n">
        <x:v>820</x:v>
      </x:c>
      <x:c r="C43" s="86" t="n">
        <x:v>826</x:v>
      </x:c>
      <x:c r="D43" s="86" t="n">
        <x:v>882</x:v>
      </x:c>
      <x:c r="E43" s="86" t="n">
        <x:v>899</x:v>
      </x:c>
      <x:c r="F43" s="86" t="n">
        <x:v>1000</x:v>
      </x:c>
      <x:c r="G43" s="86" t="n">
        <x:v>1019</x:v>
      </x:c>
      <x:c r="H43" s="86" t="n">
        <x:v>1088</x:v>
      </x:c>
      <x:c r="I43" s="86" t="n">
        <x:v>1096</x:v>
      </x:c>
    </x:row>
    <x:row r="44">
      <x:c r="A44" s="72" t="n">
        <x:v>46240.938113425924</x:v>
      </x:c>
      <x:c r="B44" s="86" t="n">
        <x:v>828</x:v>
      </x:c>
      <x:c r="C44" s="86" t="n">
        <x:v>832</x:v>
      </x:c>
      <x:c r="D44" s="86" t="n">
        <x:v>878</x:v>
      </x:c>
      <x:c r="E44" s="86" t="n">
        <x:v>894</x:v>
      </x:c>
      <x:c r="F44" s="86" t="n">
        <x:v>992</x:v>
      </x:c>
      <x:c r="G44" s="86" t="n">
        <x:v>1012</x:v>
      </x:c>
      <x:c r="H44" s="86" t="n">
        <x:v>1091</x:v>
      </x:c>
      <x:c r="I44" s="86" t="n">
        <x:v>1100</x:v>
      </x:c>
    </x:row>
    <x:row r="45">
      <x:c r="A45" s="72" t="n">
        <x:v>46240.94158564815</x:v>
      </x:c>
      <x:c r="B45" s="86" t="n">
        <x:v>836</x:v>
      </x:c>
      <x:c r="C45" s="86" t="n">
        <x:v>840</x:v>
      </x:c>
      <x:c r="D45" s="86" t="n">
        <x:v>877</x:v>
      </x:c>
      <x:c r="E45" s="86" t="n">
        <x:v>890</x:v>
      </x:c>
      <x:c r="F45" s="86" t="n">
        <x:v>983</x:v>
      </x:c>
      <x:c r="G45" s="86" t="n">
        <x:v>1004</x:v>
      </x:c>
      <x:c r="H45" s="86" t="n">
        <x:v>1091</x:v>
      </x:c>
      <x:c r="I45" s="86" t="n">
        <x:v>1103</x:v>
      </x:c>
    </x:row>
    <x:row r="46">
      <x:c r="A46" s="72" t="n">
        <x:v>46240.94505787037</x:v>
      </x:c>
      <x:c r="B46" s="86" t="n">
        <x:v>845</x:v>
      </x:c>
      <x:c r="C46" s="86" t="n">
        <x:v>848</x:v>
      </x:c>
      <x:c r="D46" s="86" t="n">
        <x:v>878</x:v>
      </x:c>
      <x:c r="E46" s="86" t="n">
        <x:v>889</x:v>
      </x:c>
      <x:c r="F46" s="86" t="n">
        <x:v>974</x:v>
      </x:c>
      <x:c r="G46" s="86" t="n">
        <x:v>995</x:v>
      </x:c>
      <x:c r="H46" s="86" t="n">
        <x:v>1089</x:v>
      </x:c>
      <x:c r="I46" s="86" t="n">
        <x:v>1103</x:v>
      </x:c>
    </x:row>
    <x:row r="47">
      <x:c r="A47" s="72" t="n">
        <x:v>46240.948530092595</x:v>
      </x:c>
      <x:c r="B47" s="86" t="n">
        <x:v>853</x:v>
      </x:c>
      <x:c r="C47" s="86" t="n">
        <x:v>857</x:v>
      </x:c>
      <x:c r="D47" s="86" t="n">
        <x:v>881</x:v>
      </x:c>
      <x:c r="E47" s="86" t="n">
        <x:v>890</x:v>
      </x:c>
      <x:c r="F47" s="86" t="n">
        <x:v>966</x:v>
      </x:c>
      <x:c r="G47" s="86" t="n">
        <x:v>986</x:v>
      </x:c>
      <x:c r="H47" s="86" t="n">
        <x:v>1085</x:v>
      </x:c>
      <x:c r="I47" s="86" t="n">
        <x:v>1101</x:v>
      </x:c>
    </x:row>
    <x:row r="48">
      <x:c r="A48" s="72" t="n">
        <x:v>46240.952002314814</x:v>
      </x:c>
      <x:c r="B48" s="86" t="n">
        <x:v>861</x:v>
      </x:c>
      <x:c r="C48" s="86" t="n">
        <x:v>865</x:v>
      </x:c>
      <x:c r="D48" s="86" t="n">
        <x:v>886</x:v>
      </x:c>
      <x:c r="E48" s="86" t="n">
        <x:v>893</x:v>
      </x:c>
      <x:c r="F48" s="86" t="n">
        <x:v>959</x:v>
      </x:c>
      <x:c r="G48" s="86" t="n">
        <x:v>978</x:v>
      </x:c>
      <x:c r="H48" s="86" t="n">
        <x:v>1079</x:v>
      </x:c>
      <x:c r="I48" s="86" t="n">
        <x:v>1097</x:v>
      </x:c>
    </x:row>
    <x:row r="49">
      <x:c r="A49" s="72" t="n">
        <x:v>46240.95547453704</x:v>
      </x:c>
      <x:c r="B49" s="86" t="n">
        <x:v>867</x:v>
      </x:c>
      <x:c r="C49" s="86" t="n">
        <x:v>873</x:v>
      </x:c>
      <x:c r="D49" s="86" t="n">
        <x:v>892</x:v>
      </x:c>
      <x:c r="E49" s="86" t="n">
        <x:v>898</x:v>
      </x:c>
      <x:c r="F49" s="86" t="n">
        <x:v>954</x:v>
      </x:c>
      <x:c r="G49" s="86" t="n">
        <x:v>971</x:v>
      </x:c>
      <x:c r="H49" s="86" t="n">
        <x:v>1072</x:v>
      </x:c>
      <x:c r="I49" s="86" t="n">
        <x:v>1091</x:v>
      </x:c>
    </x:row>
    <x:row r="50">
      <x:c r="A50" s="72" t="n">
        <x:v>46240.95894675926</x:v>
      </x:c>
      <x:c r="B50" s="86" t="n">
        <x:v>872</x:v>
      </x:c>
      <x:c r="C50" s="86" t="n">
        <x:v>879</x:v>
      </x:c>
      <x:c r="D50" s="86" t="n">
        <x:v>900</x:v>
      </x:c>
      <x:c r="E50" s="86" t="n">
        <x:v>904</x:v>
      </x:c>
      <x:c r="F50" s="86" t="n">
        <x:v>950</x:v>
      </x:c>
      <x:c r="G50" s="86" t="n">
        <x:v>966</x:v>
      </x:c>
      <x:c r="H50" s="86" t="n">
        <x:v>1064</x:v>
      </x:c>
      <x:c r="I50" s="86" t="n">
        <x:v>1084</x:v>
      </x:c>
    </x:row>
    <x:row r="51">
      <x:c r="A51" s="72" t="n">
        <x:v>46240.96241898148</x:v>
      </x:c>
      <x:c r="B51" s="86" t="n">
        <x:v>874</x:v>
      </x:c>
      <x:c r="C51" s="86" t="n">
        <x:v>884</x:v>
      </x:c>
      <x:c r="D51" s="86" t="n">
        <x:v>908</x:v>
      </x:c>
      <x:c r="E51" s="86" t="n">
        <x:v>912</x:v>
      </x:c>
      <x:c r="F51" s="86" t="n">
        <x:v>949</x:v>
      </x:c>
      <x:c r="G51" s="86" t="n">
        <x:v>962</x:v>
      </x:c>
      <x:c r="H51" s="86" t="n">
        <x:v>1055</x:v>
      </x:c>
      <x:c r="I51" s="86" t="n">
        <x:v>1076</x:v>
      </x:c>
    </x:row>
    <x:row r="52">
      <x:c r="A52" s="72" t="n">
        <x:v>46240.965891203705</x:v>
      </x:c>
      <x:c r="B52" s="86" t="n">
        <x:v>875</x:v>
      </x:c>
      <x:c r="C52" s="86" t="n">
        <x:v>886</x:v>
      </x:c>
      <x:c r="D52" s="86" t="n">
        <x:v>917</x:v>
      </x:c>
      <x:c r="E52" s="86" t="n">
        <x:v>920</x:v>
      </x:c>
      <x:c r="F52" s="86" t="n">
        <x:v>950</x:v>
      </x:c>
      <x:c r="G52" s="86" t="n">
        <x:v>961</x:v>
      </x:c>
      <x:c r="H52" s="86" t="n">
        <x:v>1046</x:v>
      </x:c>
      <x:c r="I52" s="86" t="n">
        <x:v>1067</x:v>
      </x:c>
    </x:row>
    <x:row r="53">
      <x:c r="A53" s="73" t="n">
        <x:v>46240.969363425924</x:v>
      </x:c>
      <x:c r="B53" s="87" t="n">
        <x:v>873</x:v>
      </x:c>
      <x:c r="C53" s="87" t="n">
        <x:v>887</x:v>
      </x:c>
      <x:c r="D53" s="87" t="n">
        <x:v>925</x:v>
      </x:c>
      <x:c r="E53" s="87" t="n">
        <x:v>929</x:v>
      </x:c>
      <x:c r="F53" s="87" t="n">
        <x:v>953</x:v>
      </x:c>
      <x:c r="G53" s="87" t="n">
        <x:v>962</x:v>
      </x:c>
      <x:c r="H53" s="87" t="n">
        <x:v>1038</x:v>
      </x:c>
      <x:c r="I53" s="87" t="n">
        <x:v>1058</x:v>
      </x:c>
    </x:row>
  </x:sheetData>
  <x:mergeCells>
    <x:mergeCell ref="A1:I1"/>
    <x:mergeCell ref="A2:I2"/>
  </x:mergeCells>
  <x:conditionalFormatting sqref="B5:I53">
    <x:cfRule type="expression" dxfId="13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18753346bc8c41a8"/>
</x:worksheet>
</file>

<file path=xl/worksheets/sheet1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W2处理：土壤pH随时间变化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78" t="str">
        <x:v>第一列为北京时间；后续8列按 B1-V1、B1-V2、B2-V1、B2-V2、B3-V1、B3-V2、B4-V1、B4-V2 排列。单位：无量纲</x:v>
      </x:c>
      <x:c r="B2" s="78"/>
      <x:c r="C2" s="78"/>
      <x:c r="D2" s="78"/>
      <x:c r="E2" s="78"/>
      <x:c r="F2" s="78"/>
      <x:c r="G2" s="78"/>
      <x:c r="H2" s="78"/>
      <x:c r="I2" s="78"/>
    </x:row>
    <x:row r="4">
      <x:c r="A4" s="133" t="str">
        <x:v>采集时间</x:v>
      </x:c>
      <x:c r="B4" s="134" t="str">
        <x:v>B1-W2-V1（P05）</x:v>
      </x:c>
      <x:c r="C4" s="134" t="str">
        <x:v>B1-W2-V2（P06）</x:v>
      </x:c>
      <x:c r="D4" s="134" t="str">
        <x:v>B2-W2-V1（P11）</x:v>
      </x:c>
      <x:c r="E4" s="134" t="str">
        <x:v>B2-W2-V2（P12）</x:v>
      </x:c>
      <x:c r="F4" s="134" t="str">
        <x:v>B3-W2-V1（P17）</x:v>
      </x:c>
      <x:c r="G4" s="134" t="str">
        <x:v>B3-W2-V2（P18）</x:v>
      </x:c>
      <x:c r="H4" s="134" t="str">
        <x:v>B4-W2-V1（P23）</x:v>
      </x:c>
      <x:c r="I4" s="135" t="str">
        <x:v>B4-W2-V2（P24）</x:v>
      </x:c>
    </x:row>
    <x:row r="5">
      <x:c r="A5" s="72" t="n">
        <x:v>46240.80269675926</x:v>
      </x:c>
      <x:c r="B5" s="90" t="n">
        <x:v>6.32</x:v>
      </x:c>
      <x:c r="C5" s="90" t="n">
        <x:v>6.37</x:v>
      </x:c>
      <x:c r="D5" s="90" t="n">
        <x:v>6.37</x:v>
      </x:c>
      <x:c r="E5" s="90" t="n">
        <x:v>6.42</x:v>
      </x:c>
      <x:c r="F5" s="90" t="n">
        <x:v>6.38</x:v>
      </x:c>
      <x:c r="G5" s="90" t="n">
        <x:v>6.43</x:v>
      </x:c>
      <x:c r="H5" s="90" t="n">
        <x:v>6.42</x:v>
      </x:c>
      <x:c r="I5" s="90" t="n">
        <x:v>6.48</x:v>
      </x:c>
    </x:row>
    <x:row r="6">
      <x:c r="A6" s="72" t="n">
        <x:v>46240.80616898148</x:v>
      </x:c>
      <x:c r="B6" s="90" t="n">
        <x:v>6.31</x:v>
      </x:c>
      <x:c r="C6" s="90" t="n">
        <x:v>6.37</x:v>
      </x:c>
      <x:c r="D6" s="90" t="n">
        <x:v>6.38</x:v>
      </x:c>
      <x:c r="E6" s="90" t="n">
        <x:v>6.42</x:v>
      </x:c>
      <x:c r="F6" s="90" t="n">
        <x:v>6.39</x:v>
      </x:c>
      <x:c r="G6" s="90" t="n">
        <x:v>6.43</x:v>
      </x:c>
      <x:c r="H6" s="90" t="n">
        <x:v>6.42</x:v>
      </x:c>
      <x:c r="I6" s="90" t="n">
        <x:v>6.47</x:v>
      </x:c>
    </x:row>
    <x:row r="7">
      <x:c r="A7" s="72" t="n">
        <x:v>46240.809641203705</x:v>
      </x:c>
      <x:c r="B7" s="90" t="n">
        <x:v>6.31</x:v>
      </x:c>
      <x:c r="C7" s="90" t="n">
        <x:v>6.36</x:v>
      </x:c>
      <x:c r="D7" s="90" t="n">
        <x:v>6.38</x:v>
      </x:c>
      <x:c r="E7" s="90" t="n">
        <x:v>6.43</x:v>
      </x:c>
      <x:c r="F7" s="90" t="n">
        <x:v>6.4</x:v>
      </x:c>
      <x:c r="G7" s="90" t="n">
        <x:v>6.44</x:v>
      </x:c>
      <x:c r="H7" s="90" t="n">
        <x:v>6.42</x:v>
      </x:c>
      <x:c r="I7" s="90" t="n">
        <x:v>6.47</x:v>
      </x:c>
    </x:row>
    <x:row r="8">
      <x:c r="A8" s="72" t="n">
        <x:v>46240.813113425924</x:v>
      </x:c>
      <x:c r="B8" s="90" t="n">
        <x:v>6.3</x:v>
      </x:c>
      <x:c r="C8" s="90" t="n">
        <x:v>6.36</x:v>
      </x:c>
      <x:c r="D8" s="90" t="n">
        <x:v>6.38</x:v>
      </x:c>
      <x:c r="E8" s="90" t="n">
        <x:v>6.43</x:v>
      </x:c>
      <x:c r="F8" s="90" t="n">
        <x:v>6.41</x:v>
      </x:c>
      <x:c r="G8" s="90" t="n">
        <x:v>6.45</x:v>
      </x:c>
      <x:c r="H8" s="90" t="n">
        <x:v>6.42</x:v>
      </x:c>
      <x:c r="I8" s="90" t="n">
        <x:v>6.47</x:v>
      </x:c>
    </x:row>
    <x:row r="9">
      <x:c r="A9" s="72" t="n">
        <x:v>46240.81658564815</x:v>
      </x:c>
      <x:c r="B9" s="90" t="n">
        <x:v>6.29</x:v>
      </x:c>
      <x:c r="C9" s="90" t="n">
        <x:v>6.35</x:v>
      </x:c>
      <x:c r="D9" s="90" t="n">
        <x:v>6.38</x:v>
      </x:c>
      <x:c r="E9" s="90" t="n">
        <x:v>6.43</x:v>
      </x:c>
      <x:c r="F9" s="90" t="n">
        <x:v>6.41</x:v>
      </x:c>
      <x:c r="G9" s="90" t="n">
        <x:v>6.46</x:v>
      </x:c>
      <x:c r="H9" s="90" t="n">
        <x:v>6.42</x:v>
      </x:c>
      <x:c r="I9" s="90" t="n">
        <x:v>6.47</x:v>
      </x:c>
    </x:row>
    <x:row r="10">
      <x:c r="A10" s="72" t="n">
        <x:v>46240.82005787037</x:v>
      </x:c>
      <x:c r="B10" s="90" t="n">
        <x:v>6.28</x:v>
      </x:c>
      <x:c r="C10" s="90" t="n">
        <x:v>6.34</x:v>
      </x:c>
      <x:c r="D10" s="90" t="n">
        <x:v>6.37</x:v>
      </x:c>
      <x:c r="E10" s="90" t="n">
        <x:v>6.43</x:v>
      </x:c>
      <x:c r="F10" s="90" t="n">
        <x:v>6.42</x:v>
      </x:c>
      <x:c r="G10" s="90" t="n">
        <x:v>6.46</x:v>
      </x:c>
      <x:c r="H10" s="90" t="n">
        <x:v>6.43</x:v>
      </x:c>
      <x:c r="I10" s="90" t="n">
        <x:v>6.47</x:v>
      </x:c>
    </x:row>
    <x:row r="11">
      <x:c r="A11" s="72" t="n">
        <x:v>46240.823530092595</x:v>
      </x:c>
      <x:c r="B11" s="90" t="n">
        <x:v>6.28</x:v>
      </x:c>
      <x:c r="C11" s="90" t="n">
        <x:v>6.33</x:v>
      </x:c>
      <x:c r="D11" s="90" t="n">
        <x:v>6.37</x:v>
      </x:c>
      <x:c r="E11" s="90" t="n">
        <x:v>6.42</x:v>
      </x:c>
      <x:c r="F11" s="90" t="n">
        <x:v>6.42</x:v>
      </x:c>
      <x:c r="G11" s="90" t="n">
        <x:v>6.47</x:v>
      </x:c>
      <x:c r="H11" s="90" t="n">
        <x:v>6.43</x:v>
      </x:c>
      <x:c r="I11" s="90" t="n">
        <x:v>6.48</x:v>
      </x:c>
    </x:row>
    <x:row r="12">
      <x:c r="A12" s="72" t="n">
        <x:v>46240.827002314814</x:v>
      </x:c>
      <x:c r="B12" s="90" t="n">
        <x:v>6.27</x:v>
      </x:c>
      <x:c r="C12" s="90" t="n">
        <x:v>6.33</x:v>
      </x:c>
      <x:c r="D12" s="90" t="n">
        <x:v>6.36</x:v>
      </x:c>
      <x:c r="E12" s="90" t="n">
        <x:v>6.42</x:v>
      </x:c>
      <x:c r="F12" s="90" t="n">
        <x:v>6.43</x:v>
      </x:c>
      <x:c r="G12" s="90" t="n">
        <x:v>6.47</x:v>
      </x:c>
      <x:c r="H12" s="90" t="n">
        <x:v>6.44</x:v>
      </x:c>
      <x:c r="I12" s="90" t="n">
        <x:v>6.48</x:v>
      </x:c>
    </x:row>
    <x:row r="13">
      <x:c r="A13" s="72" t="n">
        <x:v>46240.83047453704</x:v>
      </x:c>
      <x:c r="B13" s="90" t="n">
        <x:v>6.27</x:v>
      </x:c>
      <x:c r="C13" s="90" t="n">
        <x:v>6.32</x:v>
      </x:c>
      <x:c r="D13" s="90" t="n">
        <x:v>6.36</x:v>
      </x:c>
      <x:c r="E13" s="90" t="n">
        <x:v>6.41</x:v>
      </x:c>
      <x:c r="F13" s="90" t="n">
        <x:v>6.43</x:v>
      </x:c>
      <x:c r="G13" s="90" t="n">
        <x:v>6.48</x:v>
      </x:c>
      <x:c r="H13" s="90" t="n">
        <x:v>6.45</x:v>
      </x:c>
      <x:c r="I13" s="90" t="n">
        <x:v>6.49</x:v>
      </x:c>
    </x:row>
    <x:row r="14">
      <x:c r="A14" s="72" t="n">
        <x:v>46240.83394675926</x:v>
      </x:c>
      <x:c r="B14" s="90" t="n">
        <x:v>6.27</x:v>
      </x:c>
      <x:c r="C14" s="90" t="n">
        <x:v>6.32</x:v>
      </x:c>
      <x:c r="D14" s="90" t="n">
        <x:v>6.35</x:v>
      </x:c>
      <x:c r="E14" s="90" t="n">
        <x:v>6.41</x:v>
      </x:c>
      <x:c r="F14" s="90" t="n">
        <x:v>6.43</x:v>
      </x:c>
      <x:c r="G14" s="90" t="n">
        <x:v>6.48</x:v>
      </x:c>
      <x:c r="H14" s="90" t="n">
        <x:v>6.46</x:v>
      </x:c>
      <x:c r="I14" s="90" t="n">
        <x:v>6.5</x:v>
      </x:c>
    </x:row>
    <x:row r="15">
      <x:c r="A15" s="72" t="n">
        <x:v>46240.83741898148</x:v>
      </x:c>
      <x:c r="B15" s="90" t="n">
        <x:v>6.27</x:v>
      </x:c>
      <x:c r="C15" s="90" t="n">
        <x:v>6.32</x:v>
      </x:c>
      <x:c r="D15" s="90" t="n">
        <x:v>6.34</x:v>
      </x:c>
      <x:c r="E15" s="90" t="n">
        <x:v>6.4</x:v>
      </x:c>
      <x:c r="F15" s="90" t="n">
        <x:v>6.43</x:v>
      </x:c>
      <x:c r="G15" s="90" t="n">
        <x:v>6.48</x:v>
      </x:c>
      <x:c r="H15" s="90" t="n">
        <x:v>6.46</x:v>
      </x:c>
      <x:c r="I15" s="90" t="n">
        <x:v>6.51</x:v>
      </x:c>
    </x:row>
    <x:row r="16">
      <x:c r="A16" s="72" t="n">
        <x:v>46240.840891203705</x:v>
      </x:c>
      <x:c r="B16" s="90" t="n">
        <x:v>6.27</x:v>
      </x:c>
      <x:c r="C16" s="90" t="n">
        <x:v>6.32</x:v>
      </x:c>
      <x:c r="D16" s="90" t="n">
        <x:v>6.33</x:v>
      </x:c>
      <x:c r="E16" s="90" t="n">
        <x:v>6.39</x:v>
      </x:c>
      <x:c r="F16" s="90" t="n">
        <x:v>6.42</x:v>
      </x:c>
      <x:c r="G16" s="90" t="n">
        <x:v>6.48</x:v>
      </x:c>
      <x:c r="H16" s="90" t="n">
        <x:v>6.47</x:v>
      </x:c>
      <x:c r="I16" s="90" t="n">
        <x:v>6.51</x:v>
      </x:c>
    </x:row>
    <x:row r="17">
      <x:c r="A17" s="72" t="n">
        <x:v>46240.844363425924</x:v>
      </x:c>
      <x:c r="B17" s="90" t="n">
        <x:v>6.28</x:v>
      </x:c>
      <x:c r="C17" s="90" t="n">
        <x:v>6.32</x:v>
      </x:c>
      <x:c r="D17" s="90" t="n">
        <x:v>6.33</x:v>
      </x:c>
      <x:c r="E17" s="90" t="n">
        <x:v>6.38</x:v>
      </x:c>
      <x:c r="F17" s="90" t="n">
        <x:v>6.42</x:v>
      </x:c>
      <x:c r="G17" s="90" t="n">
        <x:v>6.47</x:v>
      </x:c>
      <x:c r="H17" s="90" t="n">
        <x:v>6.47</x:v>
      </x:c>
      <x:c r="I17" s="90" t="n">
        <x:v>6.52</x:v>
      </x:c>
    </x:row>
    <x:row r="18">
      <x:c r="A18" s="72" t="n">
        <x:v>46240.84783564815</x:v>
      </x:c>
      <x:c r="B18" s="90" t="n">
        <x:v>6.28</x:v>
      </x:c>
      <x:c r="C18" s="90" t="n">
        <x:v>6.33</x:v>
      </x:c>
      <x:c r="D18" s="90" t="n">
        <x:v>6.32</x:v>
      </x:c>
      <x:c r="E18" s="90" t="n">
        <x:v>6.38</x:v>
      </x:c>
      <x:c r="F18" s="90" t="n">
        <x:v>6.41</x:v>
      </x:c>
      <x:c r="G18" s="90" t="n">
        <x:v>6.47</x:v>
      </x:c>
      <x:c r="H18" s="90" t="n">
        <x:v>6.48</x:v>
      </x:c>
      <x:c r="I18" s="90" t="n">
        <x:v>6.52</x:v>
      </x:c>
    </x:row>
    <x:row r="19">
      <x:c r="A19" s="72" t="n">
        <x:v>46240.85130787037</x:v>
      </x:c>
      <x:c r="B19" s="90" t="n">
        <x:v>6.29</x:v>
      </x:c>
      <x:c r="C19" s="90" t="n">
        <x:v>6.33</x:v>
      </x:c>
      <x:c r="D19" s="90" t="n">
        <x:v>6.32</x:v>
      </x:c>
      <x:c r="E19" s="90" t="n">
        <x:v>6.37</x:v>
      </x:c>
      <x:c r="F19" s="90" t="n">
        <x:v>6.41</x:v>
      </x:c>
      <x:c r="G19" s="90" t="n">
        <x:v>6.46</x:v>
      </x:c>
      <x:c r="H19" s="90" t="n">
        <x:v>6.48</x:v>
      </x:c>
      <x:c r="I19" s="90" t="n">
        <x:v>6.53</x:v>
      </x:c>
    </x:row>
    <x:row r="20">
      <x:c r="A20" s="72" t="n">
        <x:v>46240.854780092595</x:v>
      </x:c>
      <x:c r="B20" s="90" t="n">
        <x:v>6.3</x:v>
      </x:c>
      <x:c r="C20" s="90" t="n">
        <x:v>6.34</x:v>
      </x:c>
      <x:c r="D20" s="90" t="n">
        <x:v>6.32</x:v>
      </x:c>
      <x:c r="E20" s="90" t="n">
        <x:v>6.37</x:v>
      </x:c>
      <x:c r="F20" s="90" t="n">
        <x:v>6.4</x:v>
      </x:c>
      <x:c r="G20" s="90" t="n">
        <x:v>6.46</x:v>
      </x:c>
      <x:c r="H20" s="90" t="n">
        <x:v>6.48</x:v>
      </x:c>
      <x:c r="I20" s="90" t="n">
        <x:v>6.53</x:v>
      </x:c>
    </x:row>
    <x:row r="21">
      <x:c r="A21" s="72" t="n">
        <x:v>46240.858252314814</x:v>
      </x:c>
      <x:c r="B21" s="90" t="n">
        <x:v>6.31</x:v>
      </x:c>
      <x:c r="C21" s="90" t="n">
        <x:v>6.35</x:v>
      </x:c>
      <x:c r="D21" s="90" t="n">
        <x:v>6.32</x:v>
      </x:c>
      <x:c r="E21" s="90" t="n">
        <x:v>6.37</x:v>
      </x:c>
      <x:c r="F21" s="90" t="n">
        <x:v>6.39</x:v>
      </x:c>
      <x:c r="G21" s="90" t="n">
        <x:v>6.45</x:v>
      </x:c>
      <x:c r="H21" s="90" t="n">
        <x:v>6.48</x:v>
      </x:c>
      <x:c r="I21" s="90" t="n">
        <x:v>6.53</x:v>
      </x:c>
    </x:row>
    <x:row r="22">
      <x:c r="A22" s="72" t="n">
        <x:v>46240.86172453704</x:v>
      </x:c>
      <x:c r="B22" s="90" t="n">
        <x:v>6.31</x:v>
      </x:c>
      <x:c r="C22" s="90" t="n">
        <x:v>6.36</x:v>
      </x:c>
      <x:c r="D22" s="90" t="n">
        <x:v>6.32</x:v>
      </x:c>
      <x:c r="E22" s="90" t="n">
        <x:v>6.37</x:v>
      </x:c>
      <x:c r="F22" s="90" t="n">
        <x:v>6.38</x:v>
      </x:c>
      <x:c r="G22" s="90" t="n">
        <x:v>6.44</x:v>
      </x:c>
      <x:c r="H22" s="90" t="n">
        <x:v>6.47</x:v>
      </x:c>
      <x:c r="I22" s="90" t="n">
        <x:v>6.53</x:v>
      </x:c>
    </x:row>
    <x:row r="23">
      <x:c r="A23" s="72" t="n">
        <x:v>46240.86519675926</x:v>
      </x:c>
      <x:c r="B23" s="90" t="n">
        <x:v>6.32</x:v>
      </x:c>
      <x:c r="C23" s="90" t="n">
        <x:v>6.36</x:v>
      </x:c>
      <x:c r="D23" s="90" t="n">
        <x:v>6.33</x:v>
      </x:c>
      <x:c r="E23" s="90" t="n">
        <x:v>6.37</x:v>
      </x:c>
      <x:c r="F23" s="90" t="n">
        <x:v>6.38</x:v>
      </x:c>
      <x:c r="G23" s="90" t="n">
        <x:v>6.43</x:v>
      </x:c>
      <x:c r="H23" s="90" t="n">
        <x:v>6.47</x:v>
      </x:c>
      <x:c r="I23" s="90" t="n">
        <x:v>6.52</x:v>
      </x:c>
    </x:row>
    <x:row r="24">
      <x:c r="A24" s="72" t="n">
        <x:v>46240.86866898148</x:v>
      </x:c>
      <x:c r="B24" s="90" t="n">
        <x:v>6.32</x:v>
      </x:c>
      <x:c r="C24" s="90" t="n">
        <x:v>6.37</x:v>
      </x:c>
      <x:c r="D24" s="90" t="n">
        <x:v>6.33</x:v>
      </x:c>
      <x:c r="E24" s="90" t="n">
        <x:v>6.38</x:v>
      </x:c>
      <x:c r="F24" s="90" t="n">
        <x:v>6.37</x:v>
      </x:c>
      <x:c r="G24" s="90" t="n">
        <x:v>6.43</x:v>
      </x:c>
      <x:c r="H24" s="90" t="n">
        <x:v>6.46</x:v>
      </x:c>
      <x:c r="I24" s="90" t="n">
        <x:v>6.52</x:v>
      </x:c>
    </x:row>
    <x:row r="25">
      <x:c r="A25" s="72" t="n">
        <x:v>46240.872141203705</x:v>
      </x:c>
      <x:c r="B25" s="90" t="n">
        <x:v>6.33</x:v>
      </x:c>
      <x:c r="C25" s="90" t="n">
        <x:v>6.37</x:v>
      </x:c>
      <x:c r="D25" s="90" t="n">
        <x:v>6.34</x:v>
      </x:c>
      <x:c r="E25" s="90" t="n">
        <x:v>6.38</x:v>
      </x:c>
      <x:c r="F25" s="90" t="n">
        <x:v>6.37</x:v>
      </x:c>
      <x:c r="G25" s="90" t="n">
        <x:v>6.42</x:v>
      </x:c>
      <x:c r="H25" s="90" t="n">
        <x:v>6.46</x:v>
      </x:c>
      <x:c r="I25" s="90" t="n">
        <x:v>6.51</x:v>
      </x:c>
    </x:row>
    <x:row r="26">
      <x:c r="A26" s="72" t="n">
        <x:v>46240.875613425924</x:v>
      </x:c>
      <x:c r="B26" s="90" t="n">
        <x:v>6.33</x:v>
      </x:c>
      <x:c r="C26" s="90" t="n">
        <x:v>6.38</x:v>
      </x:c>
      <x:c r="D26" s="90" t="n">
        <x:v>6.35</x:v>
      </x:c>
      <x:c r="E26" s="90" t="n">
        <x:v>6.39</x:v>
      </x:c>
      <x:c r="F26" s="90" t="n">
        <x:v>6.37</x:v>
      </x:c>
      <x:c r="G26" s="90" t="n">
        <x:v>6.42</x:v>
      </x:c>
      <x:c r="H26" s="90" t="n">
        <x:v>6.45</x:v>
      </x:c>
      <x:c r="I26" s="90" t="n">
        <x:v>6.51</x:v>
      </x:c>
    </x:row>
    <x:row r="27">
      <x:c r="A27" s="72" t="n">
        <x:v>46240.87908564815</x:v>
      </x:c>
      <x:c r="B27" s="90" t="n">
        <x:v>6.33</x:v>
      </x:c>
      <x:c r="C27" s="90" t="n">
        <x:v>6.38</x:v>
      </x:c>
      <x:c r="D27" s="90" t="n">
        <x:v>6.36</x:v>
      </x:c>
      <x:c r="E27" s="90" t="n">
        <x:v>6.4</x:v>
      </x:c>
      <x:c r="F27" s="90" t="n">
        <x:v>6.37</x:v>
      </x:c>
      <x:c r="G27" s="90" t="n">
        <x:v>6.42</x:v>
      </x:c>
      <x:c r="H27" s="90" t="n">
        <x:v>6.44</x:v>
      </x:c>
      <x:c r="I27" s="90" t="n">
        <x:v>6.5</x:v>
      </x:c>
    </x:row>
    <x:row r="28">
      <x:c r="A28" s="72" t="n">
        <x:v>46240.88255787037</x:v>
      </x:c>
      <x:c r="B28" s="90" t="n">
        <x:v>6.33</x:v>
      </x:c>
      <x:c r="C28" s="90" t="n">
        <x:v>6.38</x:v>
      </x:c>
      <x:c r="D28" s="90" t="n">
        <x:v>6.36</x:v>
      </x:c>
      <x:c r="E28" s="90" t="n">
        <x:v>6.41</x:v>
      </x:c>
      <x:c r="F28" s="90" t="n">
        <x:v>6.37</x:v>
      </x:c>
      <x:c r="G28" s="90" t="n">
        <x:v>6.42</x:v>
      </x:c>
      <x:c r="H28" s="90" t="n">
        <x:v>6.43</x:v>
      </x:c>
      <x:c r="I28" s="90" t="n">
        <x:v>6.49</x:v>
      </x:c>
    </x:row>
    <x:row r="29">
      <x:c r="A29" s="72" t="n">
        <x:v>46240.886030092595</x:v>
      </x:c>
      <x:c r="B29" s="90" t="n">
        <x:v>6.32</x:v>
      </x:c>
      <x:c r="C29" s="90" t="n">
        <x:v>6.38</x:v>
      </x:c>
      <x:c r="D29" s="90" t="n">
        <x:v>6.37</x:v>
      </x:c>
      <x:c r="E29" s="90" t="n">
        <x:v>6.41</x:v>
      </x:c>
      <x:c r="F29" s="90" t="n">
        <x:v>6.38</x:v>
      </x:c>
      <x:c r="G29" s="90" t="n">
        <x:v>6.42</x:v>
      </x:c>
      <x:c r="H29" s="90" t="n">
        <x:v>6.43</x:v>
      </x:c>
      <x:c r="I29" s="90" t="n">
        <x:v>6.48</x:v>
      </x:c>
    </x:row>
    <x:row r="30">
      <x:c r="A30" s="72" t="n">
        <x:v>46240.889502314814</x:v>
      </x:c>
      <x:c r="B30" s="90" t="n">
        <x:v>6.32</x:v>
      </x:c>
      <x:c r="C30" s="90" t="n">
        <x:v>6.37</x:v>
      </x:c>
      <x:c r="D30" s="90" t="n">
        <x:v>6.37</x:v>
      </x:c>
      <x:c r="E30" s="90" t="n">
        <x:v>6.42</x:v>
      </x:c>
      <x:c r="F30" s="90" t="n">
        <x:v>6.38</x:v>
      </x:c>
      <x:c r="G30" s="90" t="n">
        <x:v>6.43</x:v>
      </x:c>
      <x:c r="H30" s="90" t="n">
        <x:v>6.42</x:v>
      </x:c>
      <x:c r="I30" s="90" t="n">
        <x:v>6.48</x:v>
      </x:c>
    </x:row>
    <x:row r="31">
      <x:c r="A31" s="72" t="n">
        <x:v>46240.89297453704</x:v>
      </x:c>
      <x:c r="B31" s="90" t="n">
        <x:v>6.31</x:v>
      </x:c>
      <x:c r="C31" s="90" t="n">
        <x:v>6.37</x:v>
      </x:c>
      <x:c r="D31" s="90" t="n">
        <x:v>6.38</x:v>
      </x:c>
      <x:c r="E31" s="90" t="n">
        <x:v>6.42</x:v>
      </x:c>
      <x:c r="F31" s="90" t="n">
        <x:v>6.39</x:v>
      </x:c>
      <x:c r="G31" s="90" t="n">
        <x:v>6.43</x:v>
      </x:c>
      <x:c r="H31" s="90" t="n">
        <x:v>6.42</x:v>
      </x:c>
      <x:c r="I31" s="90" t="n">
        <x:v>6.47</x:v>
      </x:c>
    </x:row>
    <x:row r="32">
      <x:c r="A32" s="72" t="n">
        <x:v>46240.89644675926</x:v>
      </x:c>
      <x:c r="B32" s="90" t="n">
        <x:v>6.31</x:v>
      </x:c>
      <x:c r="C32" s="90" t="n">
        <x:v>6.36</x:v>
      </x:c>
      <x:c r="D32" s="90" t="n">
        <x:v>6.38</x:v>
      </x:c>
      <x:c r="E32" s="90" t="n">
        <x:v>6.43</x:v>
      </x:c>
      <x:c r="F32" s="90" t="n">
        <x:v>6.4</x:v>
      </x:c>
      <x:c r="G32" s="90" t="n">
        <x:v>6.44</x:v>
      </x:c>
      <x:c r="H32" s="90" t="n">
        <x:v>6.42</x:v>
      </x:c>
      <x:c r="I32" s="90" t="n">
        <x:v>6.47</x:v>
      </x:c>
    </x:row>
    <x:row r="33">
      <x:c r="A33" s="72" t="n">
        <x:v>46240.89991898148</x:v>
      </x:c>
      <x:c r="B33" s="90" t="n">
        <x:v>6.3</x:v>
      </x:c>
      <x:c r="C33" s="90" t="n">
        <x:v>6.36</x:v>
      </x:c>
      <x:c r="D33" s="90" t="n">
        <x:v>6.38</x:v>
      </x:c>
      <x:c r="E33" s="90" t="n">
        <x:v>6.43</x:v>
      </x:c>
      <x:c r="F33" s="90" t="n">
        <x:v>6.41</x:v>
      </x:c>
      <x:c r="G33" s="90" t="n">
        <x:v>6.45</x:v>
      </x:c>
      <x:c r="H33" s="90" t="n">
        <x:v>6.42</x:v>
      </x:c>
      <x:c r="I33" s="90" t="n">
        <x:v>6.47</x:v>
      </x:c>
    </x:row>
    <x:row r="34">
      <x:c r="A34" s="72" t="n">
        <x:v>46240.903391203705</x:v>
      </x:c>
      <x:c r="B34" s="90" t="n">
        <x:v>6.29</x:v>
      </x:c>
      <x:c r="C34" s="90" t="n">
        <x:v>6.35</x:v>
      </x:c>
      <x:c r="D34" s="90" t="n">
        <x:v>6.38</x:v>
      </x:c>
      <x:c r="E34" s="90" t="n">
        <x:v>6.43</x:v>
      </x:c>
      <x:c r="F34" s="90" t="n">
        <x:v>6.41</x:v>
      </x:c>
      <x:c r="G34" s="90" t="n">
        <x:v>6.46</x:v>
      </x:c>
      <x:c r="H34" s="90" t="n">
        <x:v>6.42</x:v>
      </x:c>
      <x:c r="I34" s="90" t="n">
        <x:v>6.47</x:v>
      </x:c>
    </x:row>
    <x:row r="35">
      <x:c r="A35" s="72" t="n">
        <x:v>46240.906863425924</x:v>
      </x:c>
      <x:c r="B35" s="90" t="n">
        <x:v>6.28</x:v>
      </x:c>
      <x:c r="C35" s="90" t="n">
        <x:v>6.34</x:v>
      </x:c>
      <x:c r="D35" s="90" t="n">
        <x:v>6.37</x:v>
      </x:c>
      <x:c r="E35" s="90" t="n">
        <x:v>6.43</x:v>
      </x:c>
      <x:c r="F35" s="90" t="n">
        <x:v>6.42</x:v>
      </x:c>
      <x:c r="G35" s="90" t="n">
        <x:v>6.46</x:v>
      </x:c>
      <x:c r="H35" s="90" t="n">
        <x:v>6.43</x:v>
      </x:c>
      <x:c r="I35" s="90" t="n">
        <x:v>6.47</x:v>
      </x:c>
    </x:row>
    <x:row r="36">
      <x:c r="A36" s="72" t="n">
        <x:v>46240.91033564815</x:v>
      </x:c>
      <x:c r="B36" s="90" t="n">
        <x:v>6.28</x:v>
      </x:c>
      <x:c r="C36" s="90" t="n">
        <x:v>6.33</x:v>
      </x:c>
      <x:c r="D36" s="90" t="n">
        <x:v>6.37</x:v>
      </x:c>
      <x:c r="E36" s="90" t="n">
        <x:v>6.42</x:v>
      </x:c>
      <x:c r="F36" s="90" t="n">
        <x:v>6.42</x:v>
      </x:c>
      <x:c r="G36" s="90" t="n">
        <x:v>6.47</x:v>
      </x:c>
      <x:c r="H36" s="90" t="n">
        <x:v>6.43</x:v>
      </x:c>
      <x:c r="I36" s="90" t="n">
        <x:v>6.48</x:v>
      </x:c>
    </x:row>
    <x:row r="37">
      <x:c r="A37" s="72" t="n">
        <x:v>46240.91380787037</x:v>
      </x:c>
      <x:c r="B37" s="90" t="n">
        <x:v>6.27</x:v>
      </x:c>
      <x:c r="C37" s="90" t="n">
        <x:v>6.33</x:v>
      </x:c>
      <x:c r="D37" s="90" t="n">
        <x:v>6.36</x:v>
      </x:c>
      <x:c r="E37" s="90" t="n">
        <x:v>6.42</x:v>
      </x:c>
      <x:c r="F37" s="90" t="n">
        <x:v>6.43</x:v>
      </x:c>
      <x:c r="G37" s="90" t="n">
        <x:v>6.47</x:v>
      </x:c>
      <x:c r="H37" s="90" t="n">
        <x:v>6.44</x:v>
      </x:c>
      <x:c r="I37" s="90" t="n">
        <x:v>6.48</x:v>
      </x:c>
    </x:row>
    <x:row r="38">
      <x:c r="A38" s="72" t="n">
        <x:v>46240.917280092595</x:v>
      </x:c>
      <x:c r="B38" s="90" t="n">
        <x:v>6.27</x:v>
      </x:c>
      <x:c r="C38" s="90" t="n">
        <x:v>6.32</x:v>
      </x:c>
      <x:c r="D38" s="90" t="n">
        <x:v>6.36</x:v>
      </x:c>
      <x:c r="E38" s="90" t="n">
        <x:v>6.41</x:v>
      </x:c>
      <x:c r="F38" s="90" t="n">
        <x:v>6.43</x:v>
      </x:c>
      <x:c r="G38" s="90" t="n">
        <x:v>6.48</x:v>
      </x:c>
      <x:c r="H38" s="90" t="n">
        <x:v>6.45</x:v>
      </x:c>
      <x:c r="I38" s="90" t="n">
        <x:v>6.49</x:v>
      </x:c>
    </x:row>
    <x:row r="39">
      <x:c r="A39" s="72" t="n">
        <x:v>46240.920752314814</x:v>
      </x:c>
      <x:c r="B39" s="90" t="n">
        <x:v>6.27</x:v>
      </x:c>
      <x:c r="C39" s="90" t="n">
        <x:v>6.32</x:v>
      </x:c>
      <x:c r="D39" s="90" t="n">
        <x:v>6.35</x:v>
      </x:c>
      <x:c r="E39" s="90" t="n">
        <x:v>6.41</x:v>
      </x:c>
      <x:c r="F39" s="90" t="n">
        <x:v>6.43</x:v>
      </x:c>
      <x:c r="G39" s="90" t="n">
        <x:v>6.48</x:v>
      </x:c>
      <x:c r="H39" s="90" t="n">
        <x:v>6.46</x:v>
      </x:c>
      <x:c r="I39" s="90" t="n">
        <x:v>6.5</x:v>
      </x:c>
    </x:row>
    <x:row r="40">
      <x:c r="A40" s="72" t="n">
        <x:v>46240.92422453704</x:v>
      </x:c>
      <x:c r="B40" s="90" t="n">
        <x:v>6.27</x:v>
      </x:c>
      <x:c r="C40" s="90" t="n">
        <x:v>6.32</x:v>
      </x:c>
      <x:c r="D40" s="90" t="n">
        <x:v>6.34</x:v>
      </x:c>
      <x:c r="E40" s="90" t="n">
        <x:v>6.4</x:v>
      </x:c>
      <x:c r="F40" s="90" t="n">
        <x:v>6.43</x:v>
      </x:c>
      <x:c r="G40" s="90" t="n">
        <x:v>6.48</x:v>
      </x:c>
      <x:c r="H40" s="90" t="n">
        <x:v>6.46</x:v>
      </x:c>
      <x:c r="I40" s="90" t="n">
        <x:v>6.51</x:v>
      </x:c>
    </x:row>
    <x:row r="41">
      <x:c r="A41" s="72" t="n">
        <x:v>46240.92769675926</x:v>
      </x:c>
      <x:c r="B41" s="90" t="n">
        <x:v>6.27</x:v>
      </x:c>
      <x:c r="C41" s="90" t="n">
        <x:v>6.32</x:v>
      </x:c>
      <x:c r="D41" s="90" t="n">
        <x:v>6.33</x:v>
      </x:c>
      <x:c r="E41" s="90" t="n">
        <x:v>6.39</x:v>
      </x:c>
      <x:c r="F41" s="90" t="n">
        <x:v>6.42</x:v>
      </x:c>
      <x:c r="G41" s="90" t="n">
        <x:v>6.48</x:v>
      </x:c>
      <x:c r="H41" s="90" t="n">
        <x:v>6.47</x:v>
      </x:c>
      <x:c r="I41" s="90" t="n">
        <x:v>6.51</x:v>
      </x:c>
    </x:row>
    <x:row r="42">
      <x:c r="A42" s="72" t="n">
        <x:v>46240.93116898148</x:v>
      </x:c>
      <x:c r="B42" s="90" t="n">
        <x:v>6.28</x:v>
      </x:c>
      <x:c r="C42" s="90" t="n">
        <x:v>6.32</x:v>
      </x:c>
      <x:c r="D42" s="90" t="n">
        <x:v>6.33</x:v>
      </x:c>
      <x:c r="E42" s="90" t="n">
        <x:v>6.38</x:v>
      </x:c>
      <x:c r="F42" s="90" t="n">
        <x:v>6.42</x:v>
      </x:c>
      <x:c r="G42" s="90" t="n">
        <x:v>6.47</x:v>
      </x:c>
      <x:c r="H42" s="90" t="n">
        <x:v>6.47</x:v>
      </x:c>
      <x:c r="I42" s="90" t="n">
        <x:v>6.52</x:v>
      </x:c>
    </x:row>
    <x:row r="43">
      <x:c r="A43" s="72" t="n">
        <x:v>46240.934641203705</x:v>
      </x:c>
      <x:c r="B43" s="90" t="n">
        <x:v>6.28</x:v>
      </x:c>
      <x:c r="C43" s="90" t="n">
        <x:v>6.33</x:v>
      </x:c>
      <x:c r="D43" s="90" t="n">
        <x:v>6.32</x:v>
      </x:c>
      <x:c r="E43" s="90" t="n">
        <x:v>6.38</x:v>
      </x:c>
      <x:c r="F43" s="90" t="n">
        <x:v>6.41</x:v>
      </x:c>
      <x:c r="G43" s="90" t="n">
        <x:v>6.47</x:v>
      </x:c>
      <x:c r="H43" s="90" t="n">
        <x:v>6.48</x:v>
      </x:c>
      <x:c r="I43" s="90" t="n">
        <x:v>6.52</x:v>
      </x:c>
    </x:row>
    <x:row r="44">
      <x:c r="A44" s="72" t="n">
        <x:v>46240.938113425924</x:v>
      </x:c>
      <x:c r="B44" s="90" t="n">
        <x:v>6.29</x:v>
      </x:c>
      <x:c r="C44" s="90" t="n">
        <x:v>6.33</x:v>
      </x:c>
      <x:c r="D44" s="90" t="n">
        <x:v>6.32</x:v>
      </x:c>
      <x:c r="E44" s="90" t="n">
        <x:v>6.37</x:v>
      </x:c>
      <x:c r="F44" s="90" t="n">
        <x:v>6.41</x:v>
      </x:c>
      <x:c r="G44" s="90" t="n">
        <x:v>6.46</x:v>
      </x:c>
      <x:c r="H44" s="90" t="n">
        <x:v>6.48</x:v>
      </x:c>
      <x:c r="I44" s="90" t="n">
        <x:v>6.53</x:v>
      </x:c>
    </x:row>
    <x:row r="45">
      <x:c r="A45" s="72" t="n">
        <x:v>46240.94158564815</x:v>
      </x:c>
      <x:c r="B45" s="90" t="n">
        <x:v>6.3</x:v>
      </x:c>
      <x:c r="C45" s="90" t="n">
        <x:v>6.34</x:v>
      </x:c>
      <x:c r="D45" s="90" t="n">
        <x:v>6.32</x:v>
      </x:c>
      <x:c r="E45" s="90" t="n">
        <x:v>6.37</x:v>
      </x:c>
      <x:c r="F45" s="90" t="n">
        <x:v>6.4</x:v>
      </x:c>
      <x:c r="G45" s="90" t="n">
        <x:v>6.46</x:v>
      </x:c>
      <x:c r="H45" s="90" t="n">
        <x:v>6.48</x:v>
      </x:c>
      <x:c r="I45" s="90" t="n">
        <x:v>6.53</x:v>
      </x:c>
    </x:row>
    <x:row r="46">
      <x:c r="A46" s="72" t="n">
        <x:v>46240.94505787037</x:v>
      </x:c>
      <x:c r="B46" s="90" t="n">
        <x:v>6.3</x:v>
      </x:c>
      <x:c r="C46" s="90" t="n">
        <x:v>6.35</x:v>
      </x:c>
      <x:c r="D46" s="90" t="n">
        <x:v>6.32</x:v>
      </x:c>
      <x:c r="E46" s="90" t="n">
        <x:v>6.37</x:v>
      </x:c>
      <x:c r="F46" s="90" t="n">
        <x:v>6.39</x:v>
      </x:c>
      <x:c r="G46" s="90" t="n">
        <x:v>6.45</x:v>
      </x:c>
      <x:c r="H46" s="90" t="n">
        <x:v>6.48</x:v>
      </x:c>
      <x:c r="I46" s="90" t="n">
        <x:v>6.53</x:v>
      </x:c>
    </x:row>
    <x:row r="47">
      <x:c r="A47" s="72" t="n">
        <x:v>46240.948530092595</x:v>
      </x:c>
      <x:c r="B47" s="90" t="n">
        <x:v>6.31</x:v>
      </x:c>
      <x:c r="C47" s="90" t="n">
        <x:v>6.35</x:v>
      </x:c>
      <x:c r="D47" s="90" t="n">
        <x:v>6.32</x:v>
      </x:c>
      <x:c r="E47" s="90" t="n">
        <x:v>6.37</x:v>
      </x:c>
      <x:c r="F47" s="90" t="n">
        <x:v>6.38</x:v>
      </x:c>
      <x:c r="G47" s="90" t="n">
        <x:v>6.44</x:v>
      </x:c>
      <x:c r="H47" s="90" t="n">
        <x:v>6.47</x:v>
      </x:c>
      <x:c r="I47" s="90" t="n">
        <x:v>6.53</x:v>
      </x:c>
    </x:row>
    <x:row r="48">
      <x:c r="A48" s="72" t="n">
        <x:v>46240.952002314814</x:v>
      </x:c>
      <x:c r="B48" s="90" t="n">
        <x:v>6.32</x:v>
      </x:c>
      <x:c r="C48" s="90" t="n">
        <x:v>6.36</x:v>
      </x:c>
      <x:c r="D48" s="90" t="n">
        <x:v>6.33</x:v>
      </x:c>
      <x:c r="E48" s="90" t="n">
        <x:v>6.37</x:v>
      </x:c>
      <x:c r="F48" s="90" t="n">
        <x:v>6.38</x:v>
      </x:c>
      <x:c r="G48" s="90" t="n">
        <x:v>6.43</x:v>
      </x:c>
      <x:c r="H48" s="90" t="n">
        <x:v>6.47</x:v>
      </x:c>
      <x:c r="I48" s="90" t="n">
        <x:v>6.52</x:v>
      </x:c>
    </x:row>
    <x:row r="49">
      <x:c r="A49" s="72" t="n">
        <x:v>46240.95547453704</x:v>
      </x:c>
      <x:c r="B49" s="90" t="n">
        <x:v>6.32</x:v>
      </x:c>
      <x:c r="C49" s="90" t="n">
        <x:v>6.37</x:v>
      </x:c>
      <x:c r="D49" s="90" t="n">
        <x:v>6.33</x:v>
      </x:c>
      <x:c r="E49" s="90" t="n">
        <x:v>6.38</x:v>
      </x:c>
      <x:c r="F49" s="90" t="n">
        <x:v>6.37</x:v>
      </x:c>
      <x:c r="G49" s="90" t="n">
        <x:v>6.43</x:v>
      </x:c>
      <x:c r="H49" s="90" t="n">
        <x:v>6.46</x:v>
      </x:c>
      <x:c r="I49" s="90" t="n">
        <x:v>6.52</x:v>
      </x:c>
    </x:row>
    <x:row r="50">
      <x:c r="A50" s="72" t="n">
        <x:v>46240.95894675926</x:v>
      </x:c>
      <x:c r="B50" s="90" t="n">
        <x:v>6.33</x:v>
      </x:c>
      <x:c r="C50" s="90" t="n">
        <x:v>6.37</x:v>
      </x:c>
      <x:c r="D50" s="90" t="n">
        <x:v>6.34</x:v>
      </x:c>
      <x:c r="E50" s="90" t="n">
        <x:v>6.38</x:v>
      </x:c>
      <x:c r="F50" s="90" t="n">
        <x:v>6.37</x:v>
      </x:c>
      <x:c r="G50" s="90" t="n">
        <x:v>6.42</x:v>
      </x:c>
      <x:c r="H50" s="90" t="n">
        <x:v>6.46</x:v>
      </x:c>
      <x:c r="I50" s="90" t="n">
        <x:v>6.51</x:v>
      </x:c>
    </x:row>
    <x:row r="51">
      <x:c r="A51" s="72" t="n">
        <x:v>46240.96241898148</x:v>
      </x:c>
      <x:c r="B51" s="90" t="n">
        <x:v>6.33</x:v>
      </x:c>
      <x:c r="C51" s="90" t="n">
        <x:v>6.38</x:v>
      </x:c>
      <x:c r="D51" s="90" t="n">
        <x:v>6.35</x:v>
      </x:c>
      <x:c r="E51" s="90" t="n">
        <x:v>6.39</x:v>
      </x:c>
      <x:c r="F51" s="90" t="n">
        <x:v>6.37</x:v>
      </x:c>
      <x:c r="G51" s="90" t="n">
        <x:v>6.42</x:v>
      </x:c>
      <x:c r="H51" s="90" t="n">
        <x:v>6.45</x:v>
      </x:c>
      <x:c r="I51" s="90" t="n">
        <x:v>6.51</x:v>
      </x:c>
    </x:row>
    <x:row r="52">
      <x:c r="A52" s="72" t="n">
        <x:v>46240.965891203705</x:v>
      </x:c>
      <x:c r="B52" s="90" t="n">
        <x:v>6.33</x:v>
      </x:c>
      <x:c r="C52" s="90" t="n">
        <x:v>6.38</x:v>
      </x:c>
      <x:c r="D52" s="90" t="n">
        <x:v>6.35</x:v>
      </x:c>
      <x:c r="E52" s="90" t="n">
        <x:v>6.4</x:v>
      </x:c>
      <x:c r="F52" s="90" t="n">
        <x:v>6.37</x:v>
      </x:c>
      <x:c r="G52" s="90" t="n">
        <x:v>6.42</x:v>
      </x:c>
      <x:c r="H52" s="90" t="n">
        <x:v>6.44</x:v>
      </x:c>
      <x:c r="I52" s="90" t="n">
        <x:v>6.5</x:v>
      </x:c>
    </x:row>
    <x:row r="53">
      <x:c r="A53" s="73" t="n">
        <x:v>46240.969363425924</x:v>
      </x:c>
      <x:c r="B53" s="91" t="n">
        <x:v>6.33</x:v>
      </x:c>
      <x:c r="C53" s="91" t="n">
        <x:v>6.38</x:v>
      </x:c>
      <x:c r="D53" s="91" t="n">
        <x:v>6.36</x:v>
      </x:c>
      <x:c r="E53" s="91" t="n">
        <x:v>6.4</x:v>
      </x:c>
      <x:c r="F53" s="91" t="n">
        <x:v>6.37</x:v>
      </x:c>
      <x:c r="G53" s="91" t="n">
        <x:v>6.42</x:v>
      </x:c>
      <x:c r="H53" s="91" t="n">
        <x:v>6.43</x:v>
      </x:c>
      <x:c r="I53" s="91" t="n">
        <x:v>6.49</x:v>
      </x:c>
    </x:row>
  </x:sheetData>
  <x:mergeCells>
    <x:mergeCell ref="A1:I1"/>
    <x:mergeCell ref="A2:I2"/>
  </x:mergeCells>
  <x:conditionalFormatting sqref="B5:I53">
    <x:cfRule type="expression" dxfId="14" priority="1">
      <x:formula>ISBLANK(B5)</x:formula>
    </x:cfRule>
  </x:conditionalFormatting>
  <x:pageMargins left="0.7" right="0.7" top="0.75" bottom="0.75" header="0.3" footer="0.3"/>
  <x:drawing xmlns:r="http://schemas.openxmlformats.org/officeDocument/2006/relationships" r:id="Reb6f935c117c4b6c"/>
</x:worksheet>
</file>

<file path=xl/worksheets/sheet1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12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5" t="str">
        <x:v>按采集时间、W处理与品种计算的处理统计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6" customHeight="1">
      <x:c r="A3" s="18" t="str">
        <x:v>采集时间</x:v>
      </x:c>
      <x:c r="B3" s="47" t="str">
        <x:v>指标</x:v>
      </x:c>
      <x:c r="C3" s="47" t="str">
        <x:v>水分处理</x:v>
      </x:c>
      <x:c r="D3" s="47" t="str">
        <x:v>品种</x:v>
      </x:c>
      <x:c r="E3" s="47" t="str">
        <x:v>有效重复数 n</x:v>
      </x:c>
      <x:c r="F3" s="47" t="str">
        <x:v>均值</x:v>
      </x:c>
      <x:c r="G3" s="47" t="str">
        <x:v>标准差</x:v>
      </x:c>
      <x:c r="H3" s="47" t="str">
        <x:v>最小值</x:v>
      </x:c>
      <x:c r="I3" s="47" t="str">
        <x:v>最大值</x:v>
      </x:c>
      <x:c r="J3" s="19" t="str">
        <x:v>单位</x:v>
      </x:c>
    </x:row>
    <x:row r="4">
      <x:c r="A4" s="72" t="n">
        <x:v>46240.80269675926</x:v>
      </x:c>
      <x:c r="B4" s="32" t="str">
        <x:v>水位</x:v>
      </x:c>
      <x:c r="C4" s="32" t="str">
        <x:v>W0</x:v>
      </x:c>
      <x:c r="D4" s="32" t="str">
        <x:v>V1</x:v>
      </x:c>
      <x:c r="E4" s="86" t="n">
        <x:f>COUNT('10_W0_水位'!B5,'10_W0_水位'!D5,'10_W0_水位'!F5,'10_W0_水位'!H5)</x:f>
        <x:v>4</x:v>
      </x:c>
      <x:c r="F4" s="90" t="n">
        <x:f>IF(E4=0,"",AVERAGE('10_W0_水位'!B5,'10_W0_水位'!D5,'10_W0_水位'!F5,'10_W0_水位'!H5))</x:f>
        <x:v>34.225</x:v>
      </x:c>
      <x:c r="G4" s="90" t="n">
        <x:f>IF(E4&lt;2,"",STDEV.S('10_W0_水位'!B5,'10_W0_水位'!D5,'10_W0_水位'!F5,'10_W0_水位'!H5))</x:f>
        <x:v>5.197675762620572</x:v>
      </x:c>
      <x:c r="H4" s="90" t="n">
        <x:f>IF(E4=0,"",MIN('10_W0_水位'!B5,'10_W0_水位'!D5,'10_W0_水位'!F5,'10_W0_水位'!H5))</x:f>
        <x:v>29.4</x:v>
      </x:c>
      <x:c r="I4" s="90" t="n">
        <x:f>IF(E4=0,"",MAX('10_W0_水位'!B5,'10_W0_水位'!D5,'10_W0_水位'!F5,'10_W0_水位'!H5))</x:f>
        <x:v>41.6</x:v>
      </x:c>
      <x:c r="J4" s="32" t="str">
        <x:v>mm</x:v>
      </x:c>
    </x:row>
    <x:row r="5">
      <x:c r="A5" s="72" t="n">
        <x:v>46240.80269675926</x:v>
      </x:c>
      <x:c r="B5" s="32" t="str">
        <x:v>水位</x:v>
      </x:c>
      <x:c r="C5" s="32" t="str">
        <x:v>W0</x:v>
      </x:c>
      <x:c r="D5" s="32" t="str">
        <x:v>V2</x:v>
      </x:c>
      <x:c r="E5" s="86" t="n">
        <x:f>COUNT('10_W0_水位'!C5,'10_W0_水位'!E5,'10_W0_水位'!G5,'10_W0_水位'!I5)</x:f>
        <x:v>4</x:v>
      </x:c>
      <x:c r="F5" s="90" t="n">
        <x:f>IF(E5=0,"",AVERAGE('10_W0_水位'!C5,'10_W0_水位'!E5,'10_W0_水位'!G5,'10_W0_水位'!I5))</x:f>
        <x:v>31.225</x:v>
      </x:c>
      <x:c r="G5" s="90" t="n">
        <x:f>IF(E5&lt;2,"",STDEV.S('10_W0_水位'!C5,'10_W0_水位'!E5,'10_W0_水位'!G5,'10_W0_水位'!I5))</x:f>
        <x:v>5.413794110110457</x:v>
      </x:c>
      <x:c r="H5" s="90" t="n">
        <x:f>IF(E5=0,"",MIN('10_W0_水位'!C5,'10_W0_水位'!E5,'10_W0_水位'!G5,'10_W0_水位'!I5))</x:f>
        <x:v>23.2</x:v>
      </x:c>
      <x:c r="I5" s="90" t="n">
        <x:f>IF(E5=0,"",MAX('10_W0_水位'!C5,'10_W0_水位'!E5,'10_W0_水位'!G5,'10_W0_水位'!I5))</x:f>
        <x:v>35</x:v>
      </x:c>
      <x:c r="J5" s="32" t="str">
        <x:v>mm</x:v>
      </x:c>
    </x:row>
    <x:row r="6">
      <x:c r="A6" s="72" t="n">
        <x:v>46240.80616898148</x:v>
      </x:c>
      <x:c r="B6" s="32" t="str">
        <x:v>水位</x:v>
      </x:c>
      <x:c r="C6" s="32" t="str">
        <x:v>W0</x:v>
      </x:c>
      <x:c r="D6" s="32" t="str">
        <x:v>V1</x:v>
      </x:c>
      <x:c r="E6" s="86" t="n">
        <x:f>COUNT('10_W0_水位'!B6,'10_W0_水位'!D6,'10_W0_水位'!F6,'10_W0_水位'!H6)</x:f>
        <x:v>4</x:v>
      </x:c>
      <x:c r="F6" s="90" t="n">
        <x:f>IF(E6=0,"",AVERAGE('10_W0_水位'!B6,'10_W0_水位'!D6,'10_W0_水位'!F6,'10_W0_水位'!H6))</x:f>
        <x:v>34.25</x:v>
      </x:c>
      <x:c r="G6" s="90" t="n">
        <x:f>IF(E6&lt;2,"",STDEV.S('10_W0_水位'!B6,'10_W0_水位'!D6,'10_W0_水位'!F6,'10_W0_水位'!H6))</x:f>
        <x:v>5.218237250259899</x:v>
      </x:c>
      <x:c r="H6" s="90" t="n">
        <x:f>IF(E6=0,"",MIN('10_W0_水位'!B6,'10_W0_水位'!D6,'10_W0_水位'!F6,'10_W0_水位'!H6))</x:f>
        <x:v>28.3</x:v>
      </x:c>
      <x:c r="I6" s="90" t="n">
        <x:f>IF(E6=0,"",MAX('10_W0_水位'!B6,'10_W0_水位'!D6,'10_W0_水位'!F6,'10_W0_水位'!H6))</x:f>
        <x:v>41</x:v>
      </x:c>
      <x:c r="J6" s="32" t="str">
        <x:v>mm</x:v>
      </x:c>
    </x:row>
    <x:row r="7">
      <x:c r="A7" s="72" t="n">
        <x:v>46240.80616898148</x:v>
      </x:c>
      <x:c r="B7" s="32" t="str">
        <x:v>水位</x:v>
      </x:c>
      <x:c r="C7" s="32" t="str">
        <x:v>W0</x:v>
      </x:c>
      <x:c r="D7" s="32" t="str">
        <x:v>V2</x:v>
      </x:c>
      <x:c r="E7" s="86" t="n">
        <x:f>COUNT('10_W0_水位'!C6,'10_W0_水位'!E6,'10_W0_水位'!G6,'10_W0_水位'!I6)</x:f>
        <x:v>4</x:v>
      </x:c>
      <x:c r="F7" s="90" t="n">
        <x:f>IF(E7=0,"",AVERAGE('10_W0_水位'!C6,'10_W0_水位'!E6,'10_W0_水位'!G6,'10_W0_水位'!I6))</x:f>
        <x:v>31.225</x:v>
      </x:c>
      <x:c r="G7" s="90" t="n">
        <x:f>IF(E7&lt;2,"",STDEV.S('10_W0_水位'!C6,'10_W0_水位'!E6,'10_W0_水位'!G6,'10_W0_水位'!I6))</x:f>
        <x:v>5.3118578043217</x:v>
      </x:c>
      <x:c r="H7" s="90" t="n">
        <x:f>IF(E7=0,"",MIN('10_W0_水位'!C6,'10_W0_水位'!E6,'10_W0_水位'!G6,'10_W0_水位'!I6))</x:f>
        <x:v>23.7</x:v>
      </x:c>
      <x:c r="I7" s="90" t="n">
        <x:f>IF(E7=0,"",MAX('10_W0_水位'!C6,'10_W0_水位'!E6,'10_W0_水位'!G6,'10_W0_水位'!I6))</x:f>
        <x:v>36.2</x:v>
      </x:c>
      <x:c r="J7" s="32" t="str">
        <x:v>mm</x:v>
      </x:c>
    </x:row>
    <x:row r="8">
      <x:c r="A8" s="72" t="n">
        <x:v>46240.809641203705</x:v>
      </x:c>
      <x:c r="B8" s="32" t="str">
        <x:v>水位</x:v>
      </x:c>
      <x:c r="C8" s="32" t="str">
        <x:v>W0</x:v>
      </x:c>
      <x:c r="D8" s="32" t="str">
        <x:v>V1</x:v>
      </x:c>
      <x:c r="E8" s="86" t="n">
        <x:f>COUNT('10_W0_水位'!B7,'10_W0_水位'!D7,'10_W0_水位'!F7,'10_W0_水位'!H7)</x:f>
        <x:v>4</x:v>
      </x:c>
      <x:c r="F8" s="90" t="n">
        <x:f>IF(E8=0,"",AVERAGE('10_W0_水位'!B7,'10_W0_水位'!D7,'10_W0_水位'!F7,'10_W0_水位'!H7))</x:f>
        <x:v>34.275</x:v>
      </x:c>
      <x:c r="G8" s="90" t="n">
        <x:f>IF(E8&lt;2,"",STDEV.S('10_W0_水位'!B7,'10_W0_水位'!D7,'10_W0_水位'!F7,'10_W0_水位'!H7))</x:f>
        <x:v>5.262049664025102</x:v>
      </x:c>
      <x:c r="H8" s="90" t="n">
        <x:f>IF(E8=0,"",MIN('10_W0_水位'!B7,'10_W0_水位'!D7,'10_W0_水位'!F7,'10_W0_水位'!H7))</x:f>
        <x:v>27.4</x:v>
      </x:c>
      <x:c r="I8" s="90" t="n">
        <x:f>IF(E8=0,"",MAX('10_W0_水位'!B7,'10_W0_水位'!D7,'10_W0_水位'!F7,'10_W0_水位'!H7))</x:f>
        <x:v>40.2</x:v>
      </x:c>
      <x:c r="J8" s="32" t="str">
        <x:v>mm</x:v>
      </x:c>
    </x:row>
    <x:row r="9">
      <x:c r="A9" s="72" t="n">
        <x:v>46240.809641203705</x:v>
      </x:c>
      <x:c r="B9" s="32" t="str">
        <x:v>水位</x:v>
      </x:c>
      <x:c r="C9" s="32" t="str">
        <x:v>W0</x:v>
      </x:c>
      <x:c r="D9" s="32" t="str">
        <x:v>V2</x:v>
      </x:c>
      <x:c r="E9" s="86" t="n">
        <x:f>COUNT('10_W0_水位'!C7,'10_W0_水位'!E7,'10_W0_水位'!G7,'10_W0_水位'!I7)</x:f>
        <x:v>4</x:v>
      </x:c>
      <x:c r="F9" s="90" t="n">
        <x:f>IF(E9=0,"",AVERAGE('10_W0_水位'!C7,'10_W0_水位'!E7,'10_W0_水位'!G7,'10_W0_水位'!I7))</x:f>
        <x:v>31.25</x:v>
      </x:c>
      <x:c r="G9" s="90" t="n">
        <x:f>IF(E9&lt;2,"",STDEV.S('10_W0_水位'!C7,'10_W0_水位'!E7,'10_W0_水位'!G7,'10_W0_水位'!I7))</x:f>
        <x:v>5.294336596779618</x:v>
      </x:c>
      <x:c r="H9" s="90" t="n">
        <x:f>IF(E9=0,"",MIN('10_W0_水位'!C7,'10_W0_水位'!E7,'10_W0_水位'!G7,'10_W0_水位'!I7))</x:f>
        <x:v>24.4</x:v>
      </x:c>
      <x:c r="I9" s="90" t="n">
        <x:f>IF(E9=0,"",MAX('10_W0_水位'!C7,'10_W0_水位'!E7,'10_W0_水位'!G7,'10_W0_水位'!I7))</x:f>
        <x:v>37.3</x:v>
      </x:c>
      <x:c r="J9" s="32" t="str">
        <x:v>mm</x:v>
      </x:c>
    </x:row>
    <x:row r="10">
      <x:c r="A10" s="72" t="n">
        <x:v>46240.813113425924</x:v>
      </x:c>
      <x:c r="B10" s="32" t="str">
        <x:v>水位</x:v>
      </x:c>
      <x:c r="C10" s="32" t="str">
        <x:v>W0</x:v>
      </x:c>
      <x:c r="D10" s="32" t="str">
        <x:v>V1</x:v>
      </x:c>
      <x:c r="E10" s="86" t="n">
        <x:f>COUNT('10_W0_水位'!B8,'10_W0_水位'!D8,'10_W0_水位'!F8,'10_W0_水位'!H8)</x:f>
        <x:v>4</x:v>
      </x:c>
      <x:c r="F10" s="90" t="n">
        <x:f>IF(E10=0,"",AVERAGE('10_W0_水位'!B8,'10_W0_水位'!D8,'10_W0_水位'!F8,'10_W0_水位'!H8))</x:f>
        <x:v>34.25</x:v>
      </x:c>
      <x:c r="G10" s="90" t="n">
        <x:f>IF(E10&lt;2,"",STDEV.S('10_W0_水位'!B8,'10_W0_水位'!D8,'10_W0_水位'!F8,'10_W0_水位'!H8))</x:f>
        <x:v>5.353192194071371</x:v>
      </x:c>
      <x:c r="H10" s="90" t="n">
        <x:f>IF(E10=0,"",MIN('10_W0_水位'!B8,'10_W0_水位'!D8,'10_W0_水位'!F8,'10_W0_水位'!H8))</x:f>
        <x:v>26.6</x:v>
      </x:c>
      <x:c r="I10" s="90" t="n">
        <x:f>IF(E10=0,"",MAX('10_W0_水位'!B8,'10_W0_水位'!D8,'10_W0_水位'!F8,'10_W0_水位'!H8))</x:f>
        <x:v>39.1</x:v>
      </x:c>
      <x:c r="J10" s="32" t="str">
        <x:v>mm</x:v>
      </x:c>
    </x:row>
    <x:row r="11">
      <x:c r="A11" s="72" t="n">
        <x:v>46240.813113425924</x:v>
      </x:c>
      <x:c r="B11" s="32" t="str">
        <x:v>水位</x:v>
      </x:c>
      <x:c r="C11" s="32" t="str">
        <x:v>W0</x:v>
      </x:c>
      <x:c r="D11" s="32" t="str">
        <x:v>V2</x:v>
      </x:c>
      <x:c r="E11" s="86" t="n">
        <x:f>COUNT('10_W0_水位'!C8,'10_W0_水位'!E8,'10_W0_水位'!G8,'10_W0_水位'!I8)</x:f>
        <x:v>4</x:v>
      </x:c>
      <x:c r="F11" s="90" t="n">
        <x:f>IF(E11=0,"",AVERAGE('10_W0_水位'!C8,'10_W0_水位'!E8,'10_W0_水位'!G8,'10_W0_水位'!I8))</x:f>
        <x:v>31.275</x:v>
      </x:c>
      <x:c r="G11" s="90" t="n">
        <x:f>IF(E11&lt;2,"",STDEV.S('10_W0_水位'!C8,'10_W0_水位'!E8,'10_W0_水位'!G8,'10_W0_水位'!I8))</x:f>
        <x:v>5.223903393695817</x:v>
      </x:c>
      <x:c r="H11" s="90" t="n">
        <x:f>IF(E11=0,"",MIN('10_W0_水位'!C8,'10_W0_水位'!E8,'10_W0_水位'!G8,'10_W0_水位'!I8))</x:f>
        <x:v>25.4</x:v>
      </x:c>
      <x:c r="I11" s="90" t="n">
        <x:f>IF(E11=0,"",MAX('10_W0_水位'!C8,'10_W0_水位'!E8,'10_W0_水位'!G8,'10_W0_水位'!I8))</x:f>
        <x:v>38.1</x:v>
      </x:c>
      <x:c r="J11" s="32" t="str">
        <x:v>mm</x:v>
      </x:c>
    </x:row>
    <x:row r="12">
      <x:c r="A12" s="72" t="n">
        <x:v>46240.81658564815</x:v>
      </x:c>
      <x:c r="B12" s="32" t="str">
        <x:v>水位</x:v>
      </x:c>
      <x:c r="C12" s="32" t="str">
        <x:v>W0</x:v>
      </x:c>
      <x:c r="D12" s="32" t="str">
        <x:v>V1</x:v>
      </x:c>
      <x:c r="E12" s="86" t="n">
        <x:f>COUNT('10_W0_水位'!B9,'10_W0_水位'!D9,'10_W0_水位'!F9,'10_W0_水位'!H9)</x:f>
        <x:v>4</x:v>
      </x:c>
      <x:c r="F12" s="90" t="n">
        <x:f>IF(E12=0,"",AVERAGE('10_W0_水位'!B9,'10_W0_水位'!D9,'10_W0_水位'!F9,'10_W0_水位'!H9))</x:f>
        <x:v>34.224999999999994</x:v>
      </x:c>
      <x:c r="G12" s="90" t="n">
        <x:f>IF(E12&lt;2,"",STDEV.S('10_W0_水位'!B9,'10_W0_水位'!D9,'10_W0_水位'!F9,'10_W0_水位'!H9))</x:f>
        <x:v>5.406400527769531</x:v>
      </x:c>
      <x:c r="H12" s="90" t="n">
        <x:f>IF(E12=0,"",MIN('10_W0_水位'!B9,'10_W0_水位'!D9,'10_W0_水位'!F9,'10_W0_水位'!H9))</x:f>
        <x:v>26.2</x:v>
      </x:c>
      <x:c r="I12" s="90" t="n">
        <x:f>IF(E12=0,"",MAX('10_W0_水位'!B9,'10_W0_水位'!D9,'10_W0_水位'!F9,'10_W0_水位'!H9))</x:f>
        <x:v>37.9</x:v>
      </x:c>
      <x:c r="J12" s="32" t="str">
        <x:v>mm</x:v>
      </x:c>
    </x:row>
    <x:row r="13">
      <x:c r="A13" s="72" t="n">
        <x:v>46240.81658564815</x:v>
      </x:c>
      <x:c r="B13" s="32" t="str">
        <x:v>水位</x:v>
      </x:c>
      <x:c r="C13" s="32" t="str">
        <x:v>W0</x:v>
      </x:c>
      <x:c r="D13" s="32" t="str">
        <x:v>V2</x:v>
      </x:c>
      <x:c r="E13" s="86" t="n">
        <x:f>COUNT('10_W0_水位'!C9,'10_W0_水位'!E9,'10_W0_水位'!G9,'10_W0_水位'!I9)</x:f>
        <x:v>4</x:v>
      </x:c>
      <x:c r="F13" s="90" t="n">
        <x:f>IF(E13=0,"",AVERAGE('10_W0_水位'!C9,'10_W0_水位'!E9,'10_W0_水位'!G9,'10_W0_水位'!I9))</x:f>
        <x:v>31.25</x:v>
      </x:c>
      <x:c r="G13" s="90" t="n">
        <x:f>IF(E13&lt;2,"",STDEV.S('10_W0_水位'!C9,'10_W0_水位'!E9,'10_W0_水位'!G9,'10_W0_水位'!I9))</x:f>
        <x:v>5.201602317235206</x:v>
      </x:c>
      <x:c r="H13" s="90" t="n">
        <x:f>IF(E13=0,"",MIN('10_W0_水位'!C9,'10_W0_水位'!E9,'10_W0_水位'!G9,'10_W0_水位'!I9))</x:f>
        <x:v>26.6</x:v>
      </x:c>
      <x:c r="I13" s="90" t="n">
        <x:f>IF(E13=0,"",MAX('10_W0_水位'!C9,'10_W0_水位'!E9,'10_W0_水位'!G9,'10_W0_水位'!I9))</x:f>
        <x:v>38.7</x:v>
      </x:c>
      <x:c r="J13" s="32" t="str">
        <x:v>mm</x:v>
      </x:c>
    </x:row>
    <x:row r="14">
      <x:c r="A14" s="72" t="n">
        <x:v>46240.82005787037</x:v>
      </x:c>
      <x:c r="B14" s="32" t="str">
        <x:v>水位</x:v>
      </x:c>
      <x:c r="C14" s="32" t="str">
        <x:v>W0</x:v>
      </x:c>
      <x:c r="D14" s="32" t="str">
        <x:v>V1</x:v>
      </x:c>
      <x:c r="E14" s="86" t="n">
        <x:f>COUNT('10_W0_水位'!B10,'10_W0_水位'!D10,'10_W0_水位'!F10,'10_W0_水位'!H10)</x:f>
        <x:v>4</x:v>
      </x:c>
      <x:c r="F14" s="90" t="n">
        <x:f>IF(E14=0,"",AVERAGE('10_W0_水位'!B10,'10_W0_水位'!D10,'10_W0_水位'!F10,'10_W0_水位'!H10))</x:f>
        <x:v>34.175</x:v>
      </x:c>
      <x:c r="G14" s="90" t="n">
        <x:f>IF(E14&lt;2,"",STDEV.S('10_W0_水位'!B10,'10_W0_水位'!D10,'10_W0_水位'!F10,'10_W0_水位'!H10))</x:f>
        <x:v>5.5126369975418</x:v>
      </x:c>
      <x:c r="H14" s="90" t="n">
        <x:f>IF(E14=0,"",MIN('10_W0_水位'!B10,'10_W0_水位'!D10,'10_W0_水位'!F10,'10_W0_水位'!H10))</x:f>
        <x:v>26</x:v>
      </x:c>
      <x:c r="I14" s="90" t="n">
        <x:f>IF(E14=0,"",MAX('10_W0_水位'!B10,'10_W0_水位'!D10,'10_W0_水位'!F10,'10_W0_水位'!H10))</x:f>
        <x:v>38</x:v>
      </x:c>
      <x:c r="J14" s="32" t="str">
        <x:v>mm</x:v>
      </x:c>
    </x:row>
    <x:row r="15">
      <x:c r="A15" s="72" t="n">
        <x:v>46240.82005787037</x:v>
      </x:c>
      <x:c r="B15" s="32" t="str">
        <x:v>水位</x:v>
      </x:c>
      <x:c r="C15" s="32" t="str">
        <x:v>W0</x:v>
      </x:c>
      <x:c r="D15" s="32" t="str">
        <x:v>V2</x:v>
      </x:c>
      <x:c r="E15" s="86" t="n">
        <x:f>COUNT('10_W0_水位'!C10,'10_W0_水位'!E10,'10_W0_水位'!G10,'10_W0_水位'!I10)</x:f>
        <x:v>4</x:v>
      </x:c>
      <x:c r="F15" s="90" t="n">
        <x:f>IF(E15=0,"",AVERAGE('10_W0_水位'!C10,'10_W0_水位'!E10,'10_W0_水位'!G10,'10_W0_水位'!I10))</x:f>
        <x:v>31.224999999999998</x:v>
      </x:c>
      <x:c r="G15" s="90" t="n">
        <x:f>IF(E15&lt;2,"",STDEV.S('10_W0_水位'!C10,'10_W0_水位'!E10,'10_W0_水位'!G10,'10_W0_水位'!I10))</x:f>
        <x:v>5.218157401484423</x:v>
      </x:c>
      <x:c r="H15" s="90" t="n">
        <x:f>IF(E15=0,"",MIN('10_W0_水位'!C10,'10_W0_水位'!E10,'10_W0_水位'!G10,'10_W0_水位'!I10))</x:f>
        <x:v>27.8</x:v>
      </x:c>
      <x:c r="I15" s="90" t="n">
        <x:f>IF(E15=0,"",MAX('10_W0_水位'!C10,'10_W0_水位'!E10,'10_W0_水位'!G10,'10_W0_水位'!I10))</x:f>
        <x:v>39</x:v>
      </x:c>
      <x:c r="J15" s="32" t="str">
        <x:v>mm</x:v>
      </x:c>
    </x:row>
    <x:row r="16">
      <x:c r="A16" s="72" t="n">
        <x:v>46240.823530092595</x:v>
      </x:c>
      <x:c r="B16" s="32" t="str">
        <x:v>水位</x:v>
      </x:c>
      <x:c r="C16" s="32" t="str">
        <x:v>W0</x:v>
      </x:c>
      <x:c r="D16" s="32" t="str">
        <x:v>V1</x:v>
      </x:c>
      <x:c r="E16" s="86" t="n">
        <x:f>COUNT('10_W0_水位'!B11,'10_W0_水位'!D11,'10_W0_水位'!F11,'10_W0_水位'!H11)</x:f>
        <x:v>4</x:v>
      </x:c>
      <x:c r="F16" s="90" t="n">
        <x:f>IF(E16=0,"",AVERAGE('10_W0_水位'!B11,'10_W0_水位'!D11,'10_W0_水位'!F11,'10_W0_水位'!H11))</x:f>
        <x:v>34.099999999999994</x:v>
      </x:c>
      <x:c r="G16" s="90" t="n">
        <x:f>IF(E16&lt;2,"",STDEV.S('10_W0_水位'!B11,'10_W0_水位'!D11,'10_W0_水位'!F11,'10_W0_水位'!H11))</x:f>
        <x:v>5.54857339022083</x:v>
      </x:c>
      <x:c r="H16" s="90" t="n">
        <x:f>IF(E16=0,"",MIN('10_W0_水位'!B11,'10_W0_水位'!D11,'10_W0_水位'!F11,'10_W0_水位'!H11))</x:f>
        <x:v>26.2</x:v>
      </x:c>
      <x:c r="I16" s="90" t="n">
        <x:f>IF(E16=0,"",MAX('10_W0_水位'!B11,'10_W0_水位'!D11,'10_W0_水位'!F11,'10_W0_水位'!H11))</x:f>
        <x:v>39.2</x:v>
      </x:c>
      <x:c r="J16" s="32" t="str">
        <x:v>mm</x:v>
      </x:c>
    </x:row>
    <x:row r="17">
      <x:c r="A17" s="72" t="n">
        <x:v>46240.823530092595</x:v>
      </x:c>
      <x:c r="B17" s="32" t="str">
        <x:v>水位</x:v>
      </x:c>
      <x:c r="C17" s="32" t="str">
        <x:v>W0</x:v>
      </x:c>
      <x:c r="D17" s="32" t="str">
        <x:v>V2</x:v>
      </x:c>
      <x:c r="E17" s="86" t="n">
        <x:f>COUNT('10_W0_水位'!C11,'10_W0_水位'!E11,'10_W0_水位'!G11,'10_W0_水位'!I11)</x:f>
        <x:v>4</x:v>
      </x:c>
      <x:c r="F17" s="90" t="n">
        <x:f>IF(E17=0,"",AVERAGE('10_W0_水位'!C11,'10_W0_水位'!E11,'10_W0_水位'!G11,'10_W0_水位'!I11))</x:f>
        <x:v>31.175</x:v>
      </x:c>
      <x:c r="G17" s="90" t="n">
        <x:f>IF(E17&lt;2,"",STDEV.S('10_W0_水位'!C11,'10_W0_水位'!E11,'10_W0_水位'!G11,'10_W0_水位'!I11))</x:f>
        <x:v>5.2525390685521485</x:v>
      </x:c>
      <x:c r="H17" s="90" t="n">
        <x:f>IF(E17=0,"",MIN('10_W0_水位'!C11,'10_W0_水位'!E11,'10_W0_水位'!G11,'10_W0_水位'!I11))</x:f>
        <x:v>27.7</x:v>
      </x:c>
      <x:c r="I17" s="90" t="n">
        <x:f>IF(E17=0,"",MAX('10_W0_水位'!C11,'10_W0_水位'!E11,'10_W0_水位'!G11,'10_W0_水位'!I11))</x:f>
        <x:v>39</x:v>
      </x:c>
      <x:c r="J17" s="32" t="str">
        <x:v>mm</x:v>
      </x:c>
    </x:row>
    <x:row r="18">
      <x:c r="A18" s="72" t="n">
        <x:v>46240.827002314814</x:v>
      </x:c>
      <x:c r="B18" s="32" t="str">
        <x:v>水位</x:v>
      </x:c>
      <x:c r="C18" s="32" t="str">
        <x:v>W0</x:v>
      </x:c>
      <x:c r="D18" s="32" t="str">
        <x:v>V1</x:v>
      </x:c>
      <x:c r="E18" s="86" t="n">
        <x:f>COUNT('10_W0_水位'!B12,'10_W0_水位'!D12,'10_W0_水位'!F12,'10_W0_水位'!H12)</x:f>
        <x:v>4</x:v>
      </x:c>
      <x:c r="F18" s="90" t="n">
        <x:f>IF(E18=0,"",AVERAGE('10_W0_水位'!B12,'10_W0_水位'!D12,'10_W0_水位'!F12,'10_W0_水位'!H12))</x:f>
        <x:v>34.05</x:v>
      </x:c>
      <x:c r="G18" s="90" t="n">
        <x:f>IF(E18&lt;2,"",STDEV.S('10_W0_水位'!B12,'10_W0_水位'!D12,'10_W0_水位'!F12,'10_W0_水位'!H12))</x:f>
        <x:v>5.642989751305004</x:v>
      </x:c>
      <x:c r="H18" s="90" t="n">
        <x:f>IF(E18=0,"",MIN('10_W0_水位'!B12,'10_W0_水位'!D12,'10_W0_水位'!F12,'10_W0_水位'!H12))</x:f>
        <x:v>26.6</x:v>
      </x:c>
      <x:c r="I18" s="90" t="n">
        <x:f>IF(E18=0,"",MAX('10_W0_水位'!B12,'10_W0_水位'!D12,'10_W0_水位'!F12,'10_W0_水位'!H12))</x:f>
        <x:v>40.3</x:v>
      </x:c>
      <x:c r="J18" s="32" t="str">
        <x:v>mm</x:v>
      </x:c>
    </x:row>
    <x:row r="19">
      <x:c r="A19" s="72" t="n">
        <x:v>46240.827002314814</x:v>
      </x:c>
      <x:c r="B19" s="32" t="str">
        <x:v>水位</x:v>
      </x:c>
      <x:c r="C19" s="32" t="str">
        <x:v>W0</x:v>
      </x:c>
      <x:c r="D19" s="32" t="str">
        <x:v>V2</x:v>
      </x:c>
      <x:c r="E19" s="86" t="n">
        <x:f>COUNT('10_W0_水位'!C12,'10_W0_水位'!E12,'10_W0_水位'!G12,'10_W0_水位'!I12)</x:f>
        <x:v>4</x:v>
      </x:c>
      <x:c r="F19" s="90" t="n">
        <x:f>IF(E19=0,"",AVERAGE('10_W0_水位'!C12,'10_W0_水位'!E12,'10_W0_水位'!G12,'10_W0_水位'!I12))</x:f>
        <x:v>31.099999999999998</x:v>
      </x:c>
      <x:c r="G19" s="90" t="n">
        <x:f>IF(E19&lt;2,"",STDEV.S('10_W0_水位'!C12,'10_W0_水位'!E12,'10_W0_水位'!G12,'10_W0_水位'!I12))</x:f>
        <x:v>5.252301083017489</x:v>
      </x:c>
      <x:c r="H19" s="90" t="n">
        <x:f>IF(E19=0,"",MIN('10_W0_水位'!C12,'10_W0_水位'!E12,'10_W0_水位'!G12,'10_W0_水位'!I12))</x:f>
        <x:v>26.4</x:v>
      </x:c>
      <x:c r="I19" s="90" t="n">
        <x:f>IF(E19=0,"",MAX('10_W0_水位'!C12,'10_W0_水位'!E12,'10_W0_水位'!G12,'10_W0_水位'!I12))</x:f>
        <x:v>38.6</x:v>
      </x:c>
      <x:c r="J19" s="32" t="str">
        <x:v>mm</x:v>
      </x:c>
    </x:row>
    <x:row r="20">
      <x:c r="A20" s="72" t="n">
        <x:v>46240.83047453704</x:v>
      </x:c>
      <x:c r="B20" s="32" t="str">
        <x:v>水位</x:v>
      </x:c>
      <x:c r="C20" s="32" t="str">
        <x:v>W0</x:v>
      </x:c>
      <x:c r="D20" s="32" t="str">
        <x:v>V1</x:v>
      </x:c>
      <x:c r="E20" s="86" t="n">
        <x:f>COUNT('10_W0_水位'!B13,'10_W0_水位'!D13,'10_W0_水位'!F13,'10_W0_水位'!H13)</x:f>
        <x:v>4</x:v>
      </x:c>
      <x:c r="F20" s="90" t="n">
        <x:f>IF(E20=0,"",AVERAGE('10_W0_水位'!B13,'10_W0_水位'!D13,'10_W0_水位'!F13,'10_W0_水位'!H13))</x:f>
        <x:v>34</x:v>
      </x:c>
      <x:c r="G20" s="90" t="n">
        <x:f>IF(E20&lt;2,"",STDEV.S('10_W0_水位'!B13,'10_W0_水位'!D13,'10_W0_水位'!F13,'10_W0_水位'!H13))</x:f>
        <x:v>5.648008498577176</x:v>
      </x:c>
      <x:c r="H20" s="90" t="n">
        <x:f>IF(E20=0,"",MIN('10_W0_水位'!B13,'10_W0_水位'!D13,'10_W0_水位'!F13,'10_W0_水位'!H13))</x:f>
        <x:v>27.3</x:v>
      </x:c>
      <x:c r="I20" s="90" t="n">
        <x:f>IF(E20=0,"",MAX('10_W0_水位'!B13,'10_W0_水位'!D13,'10_W0_水位'!F13,'10_W0_水位'!H13))</x:f>
        <x:v>41.1</x:v>
      </x:c>
      <x:c r="J20" s="32" t="str">
        <x:v>mm</x:v>
      </x:c>
    </x:row>
    <x:row r="21">
      <x:c r="A21" s="72" t="n">
        <x:v>46240.83047453704</x:v>
      </x:c>
      <x:c r="B21" s="32" t="str">
        <x:v>水位</x:v>
      </x:c>
      <x:c r="C21" s="32" t="str">
        <x:v>W0</x:v>
      </x:c>
      <x:c r="D21" s="32" t="str">
        <x:v>V2</x:v>
      </x:c>
      <x:c r="E21" s="86" t="n">
        <x:f>COUNT('10_W0_水位'!C13,'10_W0_水位'!E13,'10_W0_水位'!G13,'10_W0_水位'!I13)</x:f>
        <x:v>4</x:v>
      </x:c>
      <x:c r="F21" s="90" t="n">
        <x:f>IF(E21=0,"",AVERAGE('10_W0_水位'!C13,'10_W0_水位'!E13,'10_W0_水位'!G13,'10_W0_水位'!I13))</x:f>
        <x:v>31.05</x:v>
      </x:c>
      <x:c r="G21" s="90" t="n">
        <x:f>IF(E21&lt;2,"",STDEV.S('10_W0_水位'!C13,'10_W0_水位'!E13,'10_W0_水位'!G13,'10_W0_水位'!I13))</x:f>
        <x:v>5.276678248039512</x:v>
      </x:c>
      <x:c r="H21" s="90" t="n">
        <x:f>IF(E21=0,"",MIN('10_W0_水位'!C13,'10_W0_水位'!E13,'10_W0_水位'!G13,'10_W0_水位'!I13))</x:f>
        <x:v>25.3</x:v>
      </x:c>
      <x:c r="I21" s="90" t="n">
        <x:f>IF(E21=0,"",MAX('10_W0_水位'!C13,'10_W0_水位'!E13,'10_W0_水位'!G13,'10_W0_水位'!I13))</x:f>
        <x:v>38</x:v>
      </x:c>
      <x:c r="J21" s="32" t="str">
        <x:v>mm</x:v>
      </x:c>
    </x:row>
    <x:row r="22">
      <x:c r="A22" s="72" t="n">
        <x:v>46240.83394675926</x:v>
      </x:c>
      <x:c r="B22" s="32" t="str">
        <x:v>水位</x:v>
      </x:c>
      <x:c r="C22" s="32" t="str">
        <x:v>W0</x:v>
      </x:c>
      <x:c r="D22" s="32" t="str">
        <x:v>V1</x:v>
      </x:c>
      <x:c r="E22" s="86" t="n">
        <x:f>COUNT('10_W0_水位'!B14,'10_W0_水位'!D14,'10_W0_水位'!F14,'10_W0_水位'!H14)</x:f>
        <x:v>4</x:v>
      </x:c>
      <x:c r="F22" s="90" t="n">
        <x:f>IF(E22=0,"",AVERAGE('10_W0_水位'!B14,'10_W0_水位'!D14,'10_W0_水位'!F14,'10_W0_水位'!H14))</x:f>
        <x:v>33.925</x:v>
      </x:c>
      <x:c r="G22" s="90" t="n">
        <x:f>IF(E22&lt;2,"",STDEV.S('10_W0_水位'!B14,'10_W0_水位'!D14,'10_W0_水位'!F14,'10_W0_水位'!H14))</x:f>
        <x:v>5.613302652331039</x:v>
      </x:c>
      <x:c r="H22" s="90" t="n">
        <x:f>IF(E22=0,"",MIN('10_W0_水位'!B14,'10_W0_水位'!D14,'10_W0_水位'!F14,'10_W0_水位'!H14))</x:f>
        <x:v>28.3</x:v>
      </x:c>
      <x:c r="I22" s="90" t="n">
        <x:f>IF(E22=0,"",MAX('10_W0_水位'!B14,'10_W0_水位'!D14,'10_W0_水位'!F14,'10_W0_水位'!H14))</x:f>
        <x:v>41.7</x:v>
      </x:c>
      <x:c r="J22" s="32" t="str">
        <x:v>mm</x:v>
      </x:c>
    </x:row>
    <x:row r="23">
      <x:c r="A23" s="72" t="n">
        <x:v>46240.83394675926</x:v>
      </x:c>
      <x:c r="B23" s="32" t="str">
        <x:v>水位</x:v>
      </x:c>
      <x:c r="C23" s="32" t="str">
        <x:v>W0</x:v>
      </x:c>
      <x:c r="D23" s="32" t="str">
        <x:v>V2</x:v>
      </x:c>
      <x:c r="E23" s="86" t="n">
        <x:f>COUNT('10_W0_水位'!C14,'10_W0_水位'!E14,'10_W0_水位'!G14,'10_W0_水位'!I14)</x:f>
        <x:v>4</x:v>
      </x:c>
      <x:c r="F23" s="90" t="n">
        <x:f>IF(E23=0,"",AVERAGE('10_W0_水位'!C14,'10_W0_水位'!E14,'10_W0_水位'!G14,'10_W0_水位'!I14))</x:f>
        <x:v>31</x:v>
      </x:c>
      <x:c r="G23" s="90" t="n">
        <x:f>IF(E23&lt;2,"",STDEV.S('10_W0_水位'!C14,'10_W0_水位'!E14,'10_W0_水位'!G14,'10_W0_水位'!I14))</x:f>
        <x:v>5.282045058497705</x:v>
      </x:c>
      <x:c r="H23" s="90" t="n">
        <x:f>IF(E23=0,"",MIN('10_W0_水位'!C14,'10_W0_水位'!E14,'10_W0_水位'!G14,'10_W0_水位'!I14))</x:f>
        <x:v>24.4</x:v>
      </x:c>
      <x:c r="I23" s="90" t="n">
        <x:f>IF(E23=0,"",MAX('10_W0_水位'!C14,'10_W0_水位'!E14,'10_W0_水位'!G14,'10_W0_水位'!I14))</x:f>
        <x:v>37.2</x:v>
      </x:c>
      <x:c r="J23" s="32" t="str">
        <x:v>mm</x:v>
      </x:c>
    </x:row>
    <x:row r="24">
      <x:c r="A24" s="72" t="n">
        <x:v>46240.83741898148</x:v>
      </x:c>
      <x:c r="B24" s="32" t="str">
        <x:v>水位</x:v>
      </x:c>
      <x:c r="C24" s="32" t="str">
        <x:v>W0</x:v>
      </x:c>
      <x:c r="D24" s="32" t="str">
        <x:v>V1</x:v>
      </x:c>
      <x:c r="E24" s="86" t="n">
        <x:f>COUNT('10_W0_水位'!B15,'10_W0_水位'!D15,'10_W0_水位'!F15,'10_W0_水位'!H15)</x:f>
        <x:v>4</x:v>
      </x:c>
      <x:c r="F24" s="90" t="n">
        <x:f>IF(E24=0,"",AVERAGE('10_W0_水位'!B15,'10_W0_水位'!D15,'10_W0_水位'!F15,'10_W0_水位'!H15))</x:f>
        <x:v>33.875</x:v>
      </x:c>
      <x:c r="G24" s="90" t="n">
        <x:f>IF(E24&lt;2,"",STDEV.S('10_W0_水位'!B15,'10_W0_水位'!D15,'10_W0_水位'!F15,'10_W0_水位'!H15))</x:f>
        <x:v>5.560200835701291</x:v>
      </x:c>
      <x:c r="H24" s="90" t="n">
        <x:f>IF(E24=0,"",MIN('10_W0_水位'!B15,'10_W0_水位'!D15,'10_W0_水位'!F15,'10_W0_水位'!H15))</x:f>
        <x:v>29.4</x:v>
      </x:c>
      <x:c r="I24" s="90" t="n">
        <x:f>IF(E24=0,"",MAX('10_W0_水位'!B15,'10_W0_水位'!D15,'10_W0_水位'!F15,'10_W0_水位'!H15))</x:f>
        <x:v>42</x:v>
      </x:c>
      <x:c r="J24" s="32" t="str">
        <x:v>mm</x:v>
      </x:c>
    </x:row>
    <x:row r="25">
      <x:c r="A25" s="72" t="n">
        <x:v>46240.83741898148</x:v>
      </x:c>
      <x:c r="B25" s="32" t="str">
        <x:v>水位</x:v>
      </x:c>
      <x:c r="C25" s="32" t="str">
        <x:v>W0</x:v>
      </x:c>
      <x:c r="D25" s="32" t="str">
        <x:v>V2</x:v>
      </x:c>
      <x:c r="E25" s="86" t="n">
        <x:f>COUNT('10_W0_水位'!C15,'10_W0_水位'!E15,'10_W0_水位'!G15,'10_W0_水位'!I15)</x:f>
        <x:v>4</x:v>
      </x:c>
      <x:c r="F25" s="90" t="n">
        <x:f>IF(E25=0,"",AVERAGE('10_W0_水位'!C15,'10_W0_水位'!E15,'10_W0_水位'!G15,'10_W0_水位'!I15))</x:f>
        <x:v>30.925</x:v>
      </x:c>
      <x:c r="G25" s="90" t="n">
        <x:f>IF(E25&lt;2,"",STDEV.S('10_W0_水位'!C15,'10_W0_水位'!E15,'10_W0_水位'!G15,'10_W0_水位'!I15))</x:f>
        <x:v>5.282912706705144</x:v>
      </x:c>
      <x:c r="H25" s="90" t="n">
        <x:f>IF(E25=0,"",MIN('10_W0_水位'!C15,'10_W0_水位'!E15,'10_W0_水位'!G15,'10_W0_水位'!I15))</x:f>
        <x:v>23.6</x:v>
      </x:c>
      <x:c r="I25" s="90" t="n">
        <x:f>IF(E25=0,"",MAX('10_W0_水位'!C15,'10_W0_水位'!E15,'10_W0_水位'!G15,'10_W0_水位'!I15))</x:f>
        <x:v>36.1</x:v>
      </x:c>
      <x:c r="J25" s="32" t="str">
        <x:v>mm</x:v>
      </x:c>
    </x:row>
    <x:row r="26">
      <x:c r="A26" s="72" t="n">
        <x:v>46240.840891203705</x:v>
      </x:c>
      <x:c r="B26" s="32" t="str">
        <x:v>水位</x:v>
      </x:c>
      <x:c r="C26" s="32" t="str">
        <x:v>W0</x:v>
      </x:c>
      <x:c r="D26" s="32" t="str">
        <x:v>V1</x:v>
      </x:c>
      <x:c r="E26" s="86" t="n">
        <x:f>COUNT('10_W0_水位'!B16,'10_W0_水位'!D16,'10_W0_水位'!F16,'10_W0_水位'!H16)</x:f>
        <x:v>4</x:v>
      </x:c>
      <x:c r="F26" s="90" t="n">
        <x:f>IF(E26=0,"",AVERAGE('10_W0_水位'!B16,'10_W0_水位'!D16,'10_W0_水位'!F16,'10_W0_水位'!H16))</x:f>
        <x:v>33.825</x:v>
      </x:c>
      <x:c r="G26" s="90" t="n">
        <x:f>IF(E26&lt;2,"",STDEV.S('10_W0_水位'!B16,'10_W0_水位'!D16,'10_W0_水位'!F16,'10_W0_水位'!H16))</x:f>
        <x:v>5.487182033308779</x:v>
      </x:c>
      <x:c r="H26" s="90" t="n">
        <x:f>IF(E26=0,"",MIN('10_W0_水位'!B16,'10_W0_水位'!D16,'10_W0_水位'!F16,'10_W0_水位'!H16))</x:f>
        <x:v>30.6</x:v>
      </x:c>
      <x:c r="I26" s="90" t="n">
        <x:f>IF(E26=0,"",MAX('10_W0_水位'!B16,'10_W0_水位'!D16,'10_W0_水位'!F16,'10_W0_水位'!H16))</x:f>
        <x:v>42</x:v>
      </x:c>
      <x:c r="J26" s="32" t="str">
        <x:v>mm</x:v>
      </x:c>
    </x:row>
    <x:row r="27">
      <x:c r="A27" s="72" t="n">
        <x:v>46240.840891203705</x:v>
      </x:c>
      <x:c r="B27" s="32" t="str">
        <x:v>水位</x:v>
      </x:c>
      <x:c r="C27" s="32" t="str">
        <x:v>W0</x:v>
      </x:c>
      <x:c r="D27" s="32" t="str">
        <x:v>V2</x:v>
      </x:c>
      <x:c r="E27" s="86" t="n">
        <x:f>COUNT('10_W0_水位'!C16,'10_W0_水位'!E16,'10_W0_水位'!G16,'10_W0_水位'!I16)</x:f>
        <x:v>4</x:v>
      </x:c>
      <x:c r="F27" s="90" t="n">
        <x:f>IF(E27=0,"",AVERAGE('10_W0_水位'!C16,'10_W0_水位'!E16,'10_W0_水位'!G16,'10_W0_水位'!I16))</x:f>
        <x:v>30.875</x:v>
      </x:c>
      <x:c r="G27" s="90" t="n">
        <x:f>IF(E27&lt;2,"",STDEV.S('10_W0_水位'!C16,'10_W0_水位'!E16,'10_W0_水位'!G16,'10_W0_水位'!I16))</x:f>
        <x:v>5.226455140277522</x:v>
      </x:c>
      <x:c r="H27" s="90" t="n">
        <x:f>IF(E27=0,"",MIN('10_W0_水位'!C16,'10_W0_水位'!E16,'10_W0_水位'!G16,'10_W0_水位'!I16))</x:f>
        <x:v>23.2</x:v>
      </x:c>
      <x:c r="I27" s="90" t="n">
        <x:f>IF(E27=0,"",MAX('10_W0_水位'!C16,'10_W0_水位'!E16,'10_W0_水位'!G16,'10_W0_水位'!I16))</x:f>
        <x:v>34.9</x:v>
      </x:c>
      <x:c r="J27" s="32" t="str">
        <x:v>mm</x:v>
      </x:c>
    </x:row>
    <x:row r="28">
      <x:c r="A28" s="72" t="n">
        <x:v>46240.844363425924</x:v>
      </x:c>
      <x:c r="B28" s="32" t="str">
        <x:v>水位</x:v>
      </x:c>
      <x:c r="C28" s="32" t="str">
        <x:v>W0</x:v>
      </x:c>
      <x:c r="D28" s="32" t="str">
        <x:v>V1</x:v>
      </x:c>
      <x:c r="E28" s="86" t="n">
        <x:f>COUNT('10_W0_水位'!B17,'10_W0_水位'!D17,'10_W0_水位'!F17,'10_W0_水位'!H17)</x:f>
        <x:v>4</x:v>
      </x:c>
      <x:c r="F28" s="90" t="n">
        <x:f>IF(E28=0,"",AVERAGE('10_W0_水位'!B17,'10_W0_水位'!D17,'10_W0_水位'!F17,'10_W0_水位'!H17))</x:f>
        <x:v>33.775</x:v>
      </x:c>
      <x:c r="G28" s="90" t="n">
        <x:f>IF(E28&lt;2,"",STDEV.S('10_W0_水位'!B17,'10_W0_水位'!D17,'10_W0_水位'!F17,'10_W0_水位'!H17))</x:f>
        <x:v>5.365553714824471</x:v>
      </x:c>
      <x:c r="H28" s="90" t="n">
        <x:f>IF(E28=0,"",MIN('10_W0_水位'!B17,'10_W0_水位'!D17,'10_W0_水位'!F17,'10_W0_水位'!H17))</x:f>
        <x:v>29.4</x:v>
      </x:c>
      <x:c r="I28" s="90" t="n">
        <x:f>IF(E28=0,"",MAX('10_W0_水位'!B17,'10_W0_水位'!D17,'10_W0_水位'!F17,'10_W0_水位'!H17))</x:f>
        <x:v>41.6</x:v>
      </x:c>
      <x:c r="J28" s="32" t="str">
        <x:v>mm</x:v>
      </x:c>
    </x:row>
    <x:row r="29">
      <x:c r="A29" s="72" t="n">
        <x:v>46240.844363425924</x:v>
      </x:c>
      <x:c r="B29" s="32" t="str">
        <x:v>水位</x:v>
      </x:c>
      <x:c r="C29" s="32" t="str">
        <x:v>W0</x:v>
      </x:c>
      <x:c r="D29" s="32" t="str">
        <x:v>V2</x:v>
      </x:c>
      <x:c r="E29" s="86" t="n">
        <x:f>COUNT('10_W0_水位'!C17,'10_W0_水位'!E17,'10_W0_水位'!G17,'10_W0_水位'!I17)</x:f>
        <x:v>4</x:v>
      </x:c>
      <x:c r="F29" s="90" t="n">
        <x:f>IF(E29=0,"",AVERAGE('10_W0_水位'!C17,'10_W0_水位'!E17,'10_W0_水位'!G17,'10_W0_水位'!I17))</x:f>
        <x:v>30.825000000000003</x:v>
      </x:c>
      <x:c r="G29" s="90" t="n">
        <x:f>IF(E29&lt;2,"",STDEV.S('10_W0_水位'!C17,'10_W0_水位'!E17,'10_W0_水位'!G17,'10_W0_水位'!I17))</x:f>
        <x:v>5.225817320445356</x:v>
      </x:c>
      <x:c r="H29" s="90" t="n">
        <x:f>IF(E29=0,"",MIN('10_W0_水位'!C17,'10_W0_水位'!E17,'10_W0_水位'!G17,'10_W0_水位'!I17))</x:f>
        <x:v>23</x:v>
      </x:c>
      <x:c r="I29" s="90" t="n">
        <x:f>IF(E29=0,"",MAX('10_W0_水位'!C17,'10_W0_水位'!E17,'10_W0_水位'!G17,'10_W0_水位'!I17))</x:f>
        <x:v>33.7</x:v>
      </x:c>
      <x:c r="J29" s="32" t="str">
        <x:v>mm</x:v>
      </x:c>
    </x:row>
    <x:row r="30">
      <x:c r="A30" s="72" t="n">
        <x:v>46240.84783564815</x:v>
      </x:c>
      <x:c r="B30" s="32" t="str">
        <x:v>水位</x:v>
      </x:c>
      <x:c r="C30" s="32" t="str">
        <x:v>W0</x:v>
      </x:c>
      <x:c r="D30" s="32" t="str">
        <x:v>V1</x:v>
      </x:c>
      <x:c r="E30" s="86" t="n">
        <x:f>COUNT('10_W0_水位'!B18,'10_W0_水位'!D18,'10_W0_水位'!F18,'10_W0_水位'!H18)</x:f>
        <x:v>4</x:v>
      </x:c>
      <x:c r="F30" s="90" t="n">
        <x:f>IF(E30=0,"",AVERAGE('10_W0_水位'!B18,'10_W0_水位'!D18,'10_W0_水位'!F18,'10_W0_水位'!H18))</x:f>
        <x:v>33.75</x:v>
      </x:c>
      <x:c r="G30" s="90" t="n">
        <x:f>IF(E30&lt;2,"",STDEV.S('10_W0_水位'!B18,'10_W0_水位'!D18,'10_W0_水位'!F18,'10_W0_水位'!H18))</x:f>
        <x:v>5.291817583149794</x:v>
      </x:c>
      <x:c r="H30" s="90" t="n">
        <x:f>IF(E30=0,"",MIN('10_W0_水位'!B18,'10_W0_水位'!D18,'10_W0_水位'!F18,'10_W0_水位'!H18))</x:f>
        <x:v>28.3</x:v>
      </x:c>
      <x:c r="I30" s="90" t="n">
        <x:f>IF(E30=0,"",MAX('10_W0_水位'!B18,'10_W0_水位'!D18,'10_W0_水位'!F18,'10_W0_水位'!H18))</x:f>
        <x:v>41</x:v>
      </x:c>
      <x:c r="J30" s="32" t="str">
        <x:v>mm</x:v>
      </x:c>
    </x:row>
    <x:row r="31">
      <x:c r="A31" s="72" t="n">
        <x:v>46240.84783564815</x:v>
      </x:c>
      <x:c r="B31" s="32" t="str">
        <x:v>水位</x:v>
      </x:c>
      <x:c r="C31" s="32" t="str">
        <x:v>W0</x:v>
      </x:c>
      <x:c r="D31" s="32" t="str">
        <x:v>V2</x:v>
      </x:c>
      <x:c r="E31" s="86" t="n">
        <x:f>COUNT('10_W0_水位'!C18,'10_W0_水位'!E18,'10_W0_水位'!G18,'10_W0_水位'!I18)</x:f>
        <x:v>4</x:v>
      </x:c>
      <x:c r="F31" s="90" t="n">
        <x:f>IF(E31=0,"",AVERAGE('10_W0_水位'!C18,'10_W0_水位'!E18,'10_W0_水位'!G18,'10_W0_水位'!I18))</x:f>
        <x:v>30.775</x:v>
      </x:c>
      <x:c r="G31" s="90" t="n">
        <x:f>IF(E31&lt;2,"",STDEV.S('10_W0_水位'!C18,'10_W0_水位'!E18,'10_W0_水位'!G18,'10_W0_水位'!I18))</x:f>
        <x:v>5.175825216008232</x:v>
      </x:c>
      <x:c r="H31" s="90" t="n">
        <x:f>IF(E31=0,"",MIN('10_W0_水位'!C18,'10_W0_水位'!E18,'10_W0_水位'!G18,'10_W0_水位'!I18))</x:f>
        <x:v>23.2</x:v>
      </x:c>
      <x:c r="I31" s="90" t="n">
        <x:f>IF(E31=0,"",MAX('10_W0_水位'!C18,'10_W0_水位'!E18,'10_W0_水位'!G18,'10_W0_水位'!I18))</x:f>
        <x:v>34.9</x:v>
      </x:c>
      <x:c r="J31" s="32" t="str">
        <x:v>mm</x:v>
      </x:c>
    </x:row>
    <x:row r="32">
      <x:c r="A32" s="72" t="n">
        <x:v>46240.85130787037</x:v>
      </x:c>
      <x:c r="B32" s="32" t="str">
        <x:v>水位</x:v>
      </x:c>
      <x:c r="C32" s="32" t="str">
        <x:v>W0</x:v>
      </x:c>
      <x:c r="D32" s="32" t="str">
        <x:v>V1</x:v>
      </x:c>
      <x:c r="E32" s="86" t="n">
        <x:f>COUNT('10_W0_水位'!B19,'10_W0_水位'!D19,'10_W0_水位'!F19,'10_W0_水位'!H19)</x:f>
        <x:v>4</x:v>
      </x:c>
      <x:c r="F32" s="90" t="n">
        <x:f>IF(E32=0,"",AVERAGE('10_W0_水位'!B19,'10_W0_水位'!D19,'10_W0_水位'!F19,'10_W0_水位'!H19))</x:f>
        <x:v>33.75</x:v>
      </x:c>
      <x:c r="G32" s="90" t="n">
        <x:f>IF(E32&lt;2,"",STDEV.S('10_W0_水位'!B19,'10_W0_水位'!D19,'10_W0_水位'!F19,'10_W0_水位'!H19))</x:f>
        <x:v>5.236092690801671</x:v>
      </x:c>
      <x:c r="H32" s="90" t="n">
        <x:f>IF(E32=0,"",MIN('10_W0_水位'!B19,'10_W0_水位'!D19,'10_W0_水位'!F19,'10_W0_水位'!H19))</x:f>
        <x:v>27.4</x:v>
      </x:c>
      <x:c r="I32" s="90" t="n">
        <x:f>IF(E32=0,"",MAX('10_W0_水位'!B19,'10_W0_水位'!D19,'10_W0_水位'!F19,'10_W0_水位'!H19))</x:f>
        <x:v>40.2</x:v>
      </x:c>
      <x:c r="J32" s="32" t="str">
        <x:v>mm</x:v>
      </x:c>
    </x:row>
    <x:row r="33">
      <x:c r="A33" s="72" t="n">
        <x:v>46240.85130787037</x:v>
      </x:c>
      <x:c r="B33" s="32" t="str">
        <x:v>水位</x:v>
      </x:c>
      <x:c r="C33" s="32" t="str">
        <x:v>W0</x:v>
      </x:c>
      <x:c r="D33" s="32" t="str">
        <x:v>V2</x:v>
      </x:c>
      <x:c r="E33" s="86" t="n">
        <x:f>COUNT('10_W0_水位'!C19,'10_W0_水位'!E19,'10_W0_水位'!G19,'10_W0_水位'!I19)</x:f>
        <x:v>4</x:v>
      </x:c>
      <x:c r="F33" s="90" t="n">
        <x:f>IF(E33=0,"",AVERAGE('10_W0_水位'!C19,'10_W0_水位'!E19,'10_W0_水位'!G19,'10_W0_水位'!I19))</x:f>
        <x:v>30.75</x:v>
      </x:c>
      <x:c r="G33" s="90" t="n">
        <x:f>IF(E33&lt;2,"",STDEV.S('10_W0_水位'!C19,'10_W0_水位'!E19,'10_W0_水位'!G19,'10_W0_水位'!I19))</x:f>
        <x:v>5.215681483117363</x:v>
      </x:c>
      <x:c r="H33" s="90" t="n">
        <x:f>IF(E33=0,"",MIN('10_W0_水位'!C19,'10_W0_水位'!E19,'10_W0_水位'!G19,'10_W0_水位'!I19))</x:f>
        <x:v>23.6</x:v>
      </x:c>
      <x:c r="I33" s="90" t="n">
        <x:f>IF(E33=0,"",MAX('10_W0_水位'!C19,'10_W0_水位'!E19,'10_W0_水位'!G19,'10_W0_水位'!I19))</x:f>
        <x:v>36.1</x:v>
      </x:c>
      <x:c r="J33" s="32" t="str">
        <x:v>mm</x:v>
      </x:c>
    </x:row>
    <x:row r="34">
      <x:c r="A34" s="72" t="n">
        <x:v>46240.854780092595</x:v>
      </x:c>
      <x:c r="B34" s="32" t="str">
        <x:v>水位</x:v>
      </x:c>
      <x:c r="C34" s="32" t="str">
        <x:v>W0</x:v>
      </x:c>
      <x:c r="D34" s="32" t="str">
        <x:v>V1</x:v>
      </x:c>
      <x:c r="E34" s="86" t="n">
        <x:f>COUNT('10_W0_水位'!B20,'10_W0_水位'!D20,'10_W0_水位'!F20,'10_W0_水位'!H20)</x:f>
        <x:v>4</x:v>
      </x:c>
      <x:c r="F34" s="90" t="n">
        <x:f>IF(E34=0,"",AVERAGE('10_W0_水位'!B20,'10_W0_水位'!D20,'10_W0_水位'!F20,'10_W0_水位'!H20))</x:f>
        <x:v>33.75</x:v>
      </x:c>
      <x:c r="G34" s="90" t="n">
        <x:f>IF(E34&lt;2,"",STDEV.S('10_W0_水位'!B20,'10_W0_水位'!D20,'10_W0_水位'!F20,'10_W0_水位'!H20))</x:f>
        <x:v>5.215681483117362</x:v>
      </x:c>
      <x:c r="H34" s="90" t="n">
        <x:f>IF(E34=0,"",MIN('10_W0_水位'!B20,'10_W0_水位'!D20,'10_W0_水位'!F20,'10_W0_水位'!H20))</x:f>
        <x:v>26.6</x:v>
      </x:c>
      <x:c r="I34" s="90" t="n">
        <x:f>IF(E34=0,"",MAX('10_W0_水位'!B20,'10_W0_水位'!D20,'10_W0_水位'!F20,'10_W0_水位'!H20))</x:f>
        <x:v>39.1</x:v>
      </x:c>
      <x:c r="J34" s="32" t="str">
        <x:v>mm</x:v>
      </x:c>
    </x:row>
    <x:row r="35">
      <x:c r="A35" s="72" t="n">
        <x:v>46240.854780092595</x:v>
      </x:c>
      <x:c r="B35" s="32" t="str">
        <x:v>水位</x:v>
      </x:c>
      <x:c r="C35" s="32" t="str">
        <x:v>W0</x:v>
      </x:c>
      <x:c r="D35" s="32" t="str">
        <x:v>V2</x:v>
      </x:c>
      <x:c r="E35" s="86" t="n">
        <x:f>COUNT('10_W0_水位'!C20,'10_W0_水位'!E20,'10_W0_水位'!G20,'10_W0_水位'!I20)</x:f>
        <x:v>4</x:v>
      </x:c>
      <x:c r="F35" s="90" t="n">
        <x:f>IF(E35=0,"",AVERAGE('10_W0_水位'!C20,'10_W0_水位'!E20,'10_W0_水位'!G20,'10_W0_水位'!I20))</x:f>
        <x:v>30.750000000000004</x:v>
      </x:c>
      <x:c r="G35" s="90" t="n">
        <x:f>IF(E35&lt;2,"",STDEV.S('10_W0_水位'!C20,'10_W0_水位'!E20,'10_W0_水位'!G20,'10_W0_水位'!I20))</x:f>
        <x:v>5.23609269080167</x:v>
      </x:c>
      <x:c r="H35" s="90" t="n">
        <x:f>IF(E35=0,"",MIN('10_W0_水位'!C20,'10_W0_水位'!E20,'10_W0_水位'!G20,'10_W0_水位'!I20))</x:f>
        <x:v>24.3</x:v>
      </x:c>
      <x:c r="I35" s="90" t="n">
        <x:f>IF(E35=0,"",MAX('10_W0_水位'!C20,'10_W0_水位'!E20,'10_W0_水位'!G20,'10_W0_水位'!I20))</x:f>
        <x:v>37.1</x:v>
      </x:c>
      <x:c r="J35" s="32" t="str">
        <x:v>mm</x:v>
      </x:c>
    </x:row>
    <x:row r="36">
      <x:c r="A36" s="72" t="n">
        <x:v>46240.858252314814</x:v>
      </x:c>
      <x:c r="B36" s="32" t="str">
        <x:v>水位</x:v>
      </x:c>
      <x:c r="C36" s="32" t="str">
        <x:v>W0</x:v>
      </x:c>
      <x:c r="D36" s="32" t="str">
        <x:v>V1</x:v>
      </x:c>
      <x:c r="E36" s="86" t="n">
        <x:f>COUNT('10_W0_水位'!B21,'10_W0_水位'!D21,'10_W0_水位'!F21,'10_W0_水位'!H21)</x:f>
        <x:v>4</x:v>
      </x:c>
      <x:c r="F36" s="90" t="n">
        <x:f>IF(E36=0,"",AVERAGE('10_W0_水位'!B21,'10_W0_水位'!D21,'10_W0_水位'!F21,'10_W0_水位'!H21))</x:f>
        <x:v>33.775</x:v>
      </x:c>
      <x:c r="G36" s="90" t="n">
        <x:f>IF(E36&lt;2,"",STDEV.S('10_W0_水位'!B21,'10_W0_水位'!D21,'10_W0_水位'!F21,'10_W0_水位'!H21))</x:f>
        <x:v>5.175825216008233</x:v>
      </x:c>
      <x:c r="H36" s="90" t="n">
        <x:f>IF(E36=0,"",MIN('10_W0_水位'!B21,'10_W0_水位'!D21,'10_W0_水位'!F21,'10_W0_水位'!H21))</x:f>
        <x:v>26.2</x:v>
      </x:c>
      <x:c r="I36" s="90" t="n">
        <x:f>IF(E36=0,"",MAX('10_W0_水位'!B21,'10_W0_水位'!D21,'10_W0_水位'!F21,'10_W0_水位'!H21))</x:f>
        <x:v>37.9</x:v>
      </x:c>
      <x:c r="J36" s="32" t="str">
        <x:v>mm</x:v>
      </x:c>
    </x:row>
    <x:row r="37">
      <x:c r="A37" s="72" t="n">
        <x:v>46240.858252314814</x:v>
      </x:c>
      <x:c r="B37" s="32" t="str">
        <x:v>水位</x:v>
      </x:c>
      <x:c r="C37" s="32" t="str">
        <x:v>W0</x:v>
      </x:c>
      <x:c r="D37" s="32" t="str">
        <x:v>V2</x:v>
      </x:c>
      <x:c r="E37" s="86" t="n">
        <x:f>COUNT('10_W0_水位'!C21,'10_W0_水位'!E21,'10_W0_水位'!G21,'10_W0_水位'!I21)</x:f>
        <x:v>4</x:v>
      </x:c>
      <x:c r="F37" s="90" t="n">
        <x:f>IF(E37=0,"",AVERAGE('10_W0_水位'!C21,'10_W0_水位'!E21,'10_W0_水位'!G21,'10_W0_水位'!I21))</x:f>
        <x:v>30.75</x:v>
      </x:c>
      <x:c r="G37" s="90" t="n">
        <x:f>IF(E37&lt;2,"",STDEV.S('10_W0_水位'!C21,'10_W0_水位'!E21,'10_W0_水位'!G21,'10_W0_水位'!I21))</x:f>
        <x:v>5.291817583149794</x:v>
      </x:c>
      <x:c r="H37" s="90" t="n">
        <x:f>IF(E37=0,"",MIN('10_W0_水位'!C21,'10_W0_水位'!E21,'10_W0_水位'!G21,'10_W0_水位'!I21))</x:f>
        <x:v>25.3</x:v>
      </x:c>
      <x:c r="I37" s="90" t="n">
        <x:f>IF(E37=0,"",MAX('10_W0_水位'!C21,'10_W0_水位'!E21,'10_W0_水位'!G21,'10_W0_水位'!I21))</x:f>
        <x:v>38</x:v>
      </x:c>
      <x:c r="J37" s="32" t="str">
        <x:v>mm</x:v>
      </x:c>
    </x:row>
    <x:row r="38">
      <x:c r="A38" s="72" t="n">
        <x:v>46240.86172453704</x:v>
      </x:c>
      <x:c r="B38" s="32" t="str">
        <x:v>水位</x:v>
      </x:c>
      <x:c r="C38" s="32" t="str">
        <x:v>W0</x:v>
      </x:c>
      <x:c r="D38" s="32" t="str">
        <x:v>V1</x:v>
      </x:c>
      <x:c r="E38" s="86" t="n">
        <x:f>COUNT('10_W0_水位'!B22,'10_W0_水位'!D22,'10_W0_水位'!F22,'10_W0_水位'!H22)</x:f>
        <x:v>4</x:v>
      </x:c>
      <x:c r="F38" s="90" t="n">
        <x:f>IF(E38=0,"",AVERAGE('10_W0_水位'!B22,'10_W0_水位'!D22,'10_W0_水位'!F22,'10_W0_水位'!H22))</x:f>
        <x:v>33.8</x:v>
      </x:c>
      <x:c r="G38" s="90" t="n">
        <x:f>IF(E38&lt;2,"",STDEV.S('10_W0_水位'!B22,'10_W0_水位'!D22,'10_W0_水位'!F22,'10_W0_水位'!H22))</x:f>
        <x:v>5.212165257037297</x:v>
      </x:c>
      <x:c r="H38" s="90" t="n">
        <x:f>IF(E38=0,"",MIN('10_W0_水位'!B22,'10_W0_水位'!D22,'10_W0_水位'!F22,'10_W0_水位'!H22))</x:f>
        <x:v>26</x:v>
      </x:c>
      <x:c r="I38" s="90" t="n">
        <x:f>IF(E38=0,"",MAX('10_W0_水位'!B22,'10_W0_水位'!D22,'10_W0_水位'!F22,'10_W0_水位'!H22))</x:f>
        <x:v>36.7</x:v>
      </x:c>
      <x:c r="J38" s="32" t="str">
        <x:v>mm</x:v>
      </x:c>
    </x:row>
    <x:row r="39">
      <x:c r="A39" s="72" t="n">
        <x:v>46240.86172453704</x:v>
      </x:c>
      <x:c r="B39" s="32" t="str">
        <x:v>水位</x:v>
      </x:c>
      <x:c r="C39" s="32" t="str">
        <x:v>W0</x:v>
      </x:c>
      <x:c r="D39" s="32" t="str">
        <x:v>V2</x:v>
      </x:c>
      <x:c r="E39" s="86" t="n">
        <x:f>COUNT('10_W0_水位'!C22,'10_W0_水位'!E22,'10_W0_水位'!G22,'10_W0_水位'!I22)</x:f>
        <x:v>4</x:v>
      </x:c>
      <x:c r="F39" s="90" t="n">
        <x:f>IF(E39=0,"",AVERAGE('10_W0_水位'!C22,'10_W0_水位'!E22,'10_W0_水位'!G22,'10_W0_水位'!I22))</x:f>
        <x:v>30.775</x:v>
      </x:c>
      <x:c r="G39" s="90" t="n">
        <x:f>IF(E39&lt;2,"",STDEV.S('10_W0_水位'!C22,'10_W0_水位'!E22,'10_W0_水位'!G22,'10_W0_水位'!I22))</x:f>
        <x:v>5.365553714824471</x:v>
      </x:c>
      <x:c r="H39" s="90" t="n">
        <x:f>IF(E39=0,"",MIN('10_W0_水位'!C22,'10_W0_水位'!E22,'10_W0_水位'!G22,'10_W0_水位'!I22))</x:f>
        <x:v>26.4</x:v>
      </x:c>
      <x:c r="I39" s="90" t="n">
        <x:f>IF(E39=0,"",MAX('10_W0_水位'!C22,'10_W0_水位'!E22,'10_W0_水位'!G22,'10_W0_水位'!I22))</x:f>
        <x:v>38.6</x:v>
      </x:c>
      <x:c r="J39" s="32" t="str">
        <x:v>mm</x:v>
      </x:c>
    </x:row>
    <x:row r="40">
      <x:c r="A40" s="72" t="n">
        <x:v>46240.86519675926</x:v>
      </x:c>
      <x:c r="B40" s="32" t="str">
        <x:v>水位</x:v>
      </x:c>
      <x:c r="C40" s="32" t="str">
        <x:v>W0</x:v>
      </x:c>
      <x:c r="D40" s="32" t="str">
        <x:v>V1</x:v>
      </x:c>
      <x:c r="E40" s="86" t="n">
        <x:f>COUNT('10_W0_水位'!B23,'10_W0_水位'!D23,'10_W0_水位'!F23,'10_W0_水位'!H23)</x:f>
        <x:v>4</x:v>
      </x:c>
      <x:c r="F40" s="90" t="n">
        <x:f>IF(E40=0,"",AVERAGE('10_W0_水位'!B23,'10_W0_水位'!D23,'10_W0_水位'!F23,'10_W0_水位'!H23))</x:f>
        <x:v>33.875</x:v>
      </x:c>
      <x:c r="G40" s="90" t="n">
        <x:f>IF(E40&lt;2,"",STDEV.S('10_W0_水位'!B23,'10_W0_水位'!D23,'10_W0_水位'!F23,'10_W0_水位'!H23))</x:f>
        <x:v>5.226455140277522</x:v>
      </x:c>
      <x:c r="H40" s="90" t="n">
        <x:f>IF(E40=0,"",MIN('10_W0_水位'!B23,'10_W0_水位'!D23,'10_W0_水位'!F23,'10_W0_水位'!H23))</x:f>
        <x:v>26.2</x:v>
      </x:c>
      <x:c r="I40" s="90" t="n">
        <x:f>IF(E40=0,"",MAX('10_W0_水位'!B23,'10_W0_水位'!D23,'10_W0_水位'!F23,'10_W0_水位'!H23))</x:f>
        <x:v>37.9</x:v>
      </x:c>
      <x:c r="J40" s="32" t="str">
        <x:v>mm</x:v>
      </x:c>
    </x:row>
    <x:row r="41">
      <x:c r="A41" s="72" t="n">
        <x:v>46240.86519675926</x:v>
      </x:c>
      <x:c r="B41" s="32" t="str">
        <x:v>水位</x:v>
      </x:c>
      <x:c r="C41" s="32" t="str">
        <x:v>W0</x:v>
      </x:c>
      <x:c r="D41" s="32" t="str">
        <x:v>V2</x:v>
      </x:c>
      <x:c r="E41" s="86" t="n">
        <x:f>COUNT('10_W0_水位'!C23,'10_W0_水位'!E23,'10_W0_水位'!G23,'10_W0_水位'!I23)</x:f>
        <x:v>4</x:v>
      </x:c>
      <x:c r="F41" s="90" t="n">
        <x:f>IF(E41=0,"",AVERAGE('10_W0_水位'!C23,'10_W0_水位'!E23,'10_W0_水位'!G23,'10_W0_水位'!I23))</x:f>
        <x:v>30.8</x:v>
      </x:c>
      <x:c r="G41" s="90" t="n">
        <x:f>IF(E41&lt;2,"",STDEV.S('10_W0_水位'!C23,'10_W0_水位'!E23,'10_W0_水位'!G23,'10_W0_水位'!I23))</x:f>
        <x:v>5.437523946307424</x:v>
      </x:c>
      <x:c r="H41" s="90" t="n">
        <x:f>IF(E41=0,"",MIN('10_W0_水位'!C23,'10_W0_水位'!E23,'10_W0_水位'!G23,'10_W0_水位'!I23))</x:f>
        <x:v>27.6</x:v>
      </x:c>
      <x:c r="I41" s="90" t="n">
        <x:f>IF(E41=0,"",MAX('10_W0_水位'!C23,'10_W0_水位'!E23,'10_W0_水位'!G23,'10_W0_水位'!I23))</x:f>
        <x:v>38.9</x:v>
      </x:c>
      <x:c r="J41" s="32" t="str">
        <x:v>mm</x:v>
      </x:c>
    </x:row>
    <x:row r="42">
      <x:c r="A42" s="72" t="n">
        <x:v>46240.86866898148</x:v>
      </x:c>
      <x:c r="B42" s="32" t="str">
        <x:v>水位</x:v>
      </x:c>
      <x:c r="C42" s="32" t="str">
        <x:v>W0</x:v>
      </x:c>
      <x:c r="D42" s="32" t="str">
        <x:v>V1</x:v>
      </x:c>
      <x:c r="E42" s="86" t="n">
        <x:f>COUNT('10_W0_水位'!B24,'10_W0_水位'!D24,'10_W0_水位'!F24,'10_W0_水位'!H24)</x:f>
        <x:v>4</x:v>
      </x:c>
      <x:c r="F42" s="90" t="n">
        <x:f>IF(E42=0,"",AVERAGE('10_W0_水位'!B24,'10_W0_水位'!D24,'10_W0_水位'!F24,'10_W0_水位'!H24))</x:f>
        <x:v>33.925</x:v>
      </x:c>
      <x:c r="G42" s="90" t="n">
        <x:f>IF(E42&lt;2,"",STDEV.S('10_W0_水位'!B24,'10_W0_水位'!D24,'10_W0_水位'!F24,'10_W0_水位'!H24))</x:f>
        <x:v>5.282912706705144</x:v>
      </x:c>
      <x:c r="H42" s="90" t="n">
        <x:f>IF(E42=0,"",MIN('10_W0_水位'!B24,'10_W0_水位'!D24,'10_W0_水位'!F24,'10_W0_水位'!H24))</x:f>
        <x:v>26.6</x:v>
      </x:c>
      <x:c r="I42" s="90" t="n">
        <x:f>IF(E42=0,"",MAX('10_W0_水位'!B24,'10_W0_水位'!D24,'10_W0_水位'!F24,'10_W0_水位'!H24))</x:f>
        <x:v>39.1</x:v>
      </x:c>
      <x:c r="J42" s="32" t="str">
        <x:v>mm</x:v>
      </x:c>
    </x:row>
    <x:row r="43">
      <x:c r="A43" s="72" t="n">
        <x:v>46240.86866898148</x:v>
      </x:c>
      <x:c r="B43" s="32" t="str">
        <x:v>水位</x:v>
      </x:c>
      <x:c r="C43" s="32" t="str">
        <x:v>W0</x:v>
      </x:c>
      <x:c r="D43" s="32" t="str">
        <x:v>V2</x:v>
      </x:c>
      <x:c r="E43" s="86" t="n">
        <x:f>COUNT('10_W0_水位'!C24,'10_W0_水位'!E24,'10_W0_水位'!G24,'10_W0_水位'!I24)</x:f>
        <x:v>4</x:v>
      </x:c>
      <x:c r="F43" s="90" t="n">
        <x:f>IF(E43=0,"",AVERAGE('10_W0_水位'!C24,'10_W0_水位'!E24,'10_W0_水位'!G24,'10_W0_水位'!I24))</x:f>
        <x:v>30.875</x:v>
      </x:c>
      <x:c r="G43" s="90" t="n">
        <x:f>IF(E43&lt;2,"",STDEV.S('10_W0_水位'!C24,'10_W0_水位'!E24,'10_W0_水位'!G24,'10_W0_水位'!I24))</x:f>
        <x:v>5.560200835701291</x:v>
      </x:c>
      <x:c r="H43" s="90" t="n">
        <x:f>IF(E43=0,"",MIN('10_W0_水位'!C24,'10_W0_水位'!E24,'10_W0_水位'!G24,'10_W0_水位'!I24))</x:f>
        <x:v>26.4</x:v>
      </x:c>
      <x:c r="I43" s="90" t="n">
        <x:f>IF(E43=0,"",MAX('10_W0_水位'!C24,'10_W0_水位'!E24,'10_W0_水位'!G24,'10_W0_水位'!I24))</x:f>
        <x:v>39</x:v>
      </x:c>
      <x:c r="J43" s="32" t="str">
        <x:v>mm</x:v>
      </x:c>
    </x:row>
    <x:row r="44">
      <x:c r="A44" s="72" t="n">
        <x:v>46240.872141203705</x:v>
      </x:c>
      <x:c r="B44" s="32" t="str">
        <x:v>水位</x:v>
      </x:c>
      <x:c r="C44" s="32" t="str">
        <x:v>W0</x:v>
      </x:c>
      <x:c r="D44" s="32" t="str">
        <x:v>V1</x:v>
      </x:c>
      <x:c r="E44" s="86" t="n">
        <x:f>COUNT('10_W0_水位'!B25,'10_W0_水位'!D25,'10_W0_水位'!F25,'10_W0_水位'!H25)</x:f>
        <x:v>4</x:v>
      </x:c>
      <x:c r="F44" s="90" t="n">
        <x:f>IF(E44=0,"",AVERAGE('10_W0_水位'!B25,'10_W0_水位'!D25,'10_W0_水位'!F25,'10_W0_水位'!H25))</x:f>
        <x:v>33.975</x:v>
      </x:c>
      <x:c r="G44" s="90" t="n">
        <x:f>IF(E44&lt;2,"",STDEV.S('10_W0_水位'!B25,'10_W0_水位'!D25,'10_W0_水位'!F25,'10_W0_水位'!H25))</x:f>
        <x:v>5.281019472286262</x:v>
      </x:c>
      <x:c r="H44" s="90" t="n">
        <x:f>IF(E44=0,"",MIN('10_W0_水位'!B25,'10_W0_水位'!D25,'10_W0_水位'!F25,'10_W0_水位'!H25))</x:f>
        <x:v>27.3</x:v>
      </x:c>
      <x:c r="I44" s="90" t="n">
        <x:f>IF(E44=0,"",MAX('10_W0_水位'!B25,'10_W0_水位'!D25,'10_W0_水位'!F25,'10_W0_水位'!H25))</x:f>
        <x:v>40.1</x:v>
      </x:c>
      <x:c r="J44" s="32" t="str">
        <x:v>mm</x:v>
      </x:c>
    </x:row>
    <x:row r="45">
      <x:c r="A45" s="72" t="n">
        <x:v>46240.872141203705</x:v>
      </x:c>
      <x:c r="B45" s="32" t="str">
        <x:v>水位</x:v>
      </x:c>
      <x:c r="C45" s="32" t="str">
        <x:v>W0</x:v>
      </x:c>
      <x:c r="D45" s="32" t="str">
        <x:v>V2</x:v>
      </x:c>
      <x:c r="E45" s="86" t="n">
        <x:f>COUNT('10_W0_水位'!C25,'10_W0_水位'!E25,'10_W0_水位'!G25,'10_W0_水位'!I25)</x:f>
        <x:v>4</x:v>
      </x:c>
      <x:c r="F45" s="90" t="n">
        <x:f>IF(E45=0,"",AVERAGE('10_W0_水位'!C25,'10_W0_水位'!E25,'10_W0_水位'!G25,'10_W0_水位'!I25))</x:f>
        <x:v>30.925</x:v>
      </x:c>
      <x:c r="G45" s="90" t="n">
        <x:f>IF(E45&lt;2,"",STDEV.S('10_W0_水位'!C25,'10_W0_水位'!E25,'10_W0_水位'!G25,'10_W0_水位'!I25))</x:f>
        <x:v>5.613302652331039</x:v>
      </x:c>
      <x:c r="H45" s="90" t="n">
        <x:f>IF(E45=0,"",MIN('10_W0_水位'!C25,'10_W0_水位'!E25,'10_W0_水位'!G25,'10_W0_水位'!I25))</x:f>
        <x:v>25.3</x:v>
      </x:c>
      <x:c r="I45" s="90" t="n">
        <x:f>IF(E45=0,"",MAX('10_W0_水位'!C25,'10_W0_水位'!E25,'10_W0_水位'!G25,'10_W0_水位'!I25))</x:f>
        <x:v>38.7</x:v>
      </x:c>
      <x:c r="J45" s="32" t="str">
        <x:v>mm</x:v>
      </x:c>
    </x:row>
    <x:row r="46">
      <x:c r="A46" s="72" t="n">
        <x:v>46240.875613425924</x:v>
      </x:c>
      <x:c r="B46" s="32" t="str">
        <x:v>水位</x:v>
      </x:c>
      <x:c r="C46" s="32" t="str">
        <x:v>W0</x:v>
      </x:c>
      <x:c r="D46" s="32" t="str">
        <x:v>V1</x:v>
      </x:c>
      <x:c r="E46" s="86" t="n">
        <x:f>COUNT('10_W0_水位'!B26,'10_W0_水位'!D26,'10_W0_水位'!F26,'10_W0_水位'!H26)</x:f>
        <x:v>4</x:v>
      </x:c>
      <x:c r="F46" s="90" t="n">
        <x:f>IF(E46=0,"",AVERAGE('10_W0_水位'!B26,'10_W0_水位'!D26,'10_W0_水位'!F26,'10_W0_水位'!H26))</x:f>
        <x:v>34.05</x:v>
      </x:c>
      <x:c r="G46" s="90" t="n">
        <x:f>IF(E46&lt;2,"",STDEV.S('10_W0_水位'!B26,'10_W0_水位'!D26,'10_W0_水位'!F26,'10_W0_水位'!H26))</x:f>
        <x:v>5.276678248039512</x:v>
      </x:c>
      <x:c r="H46" s="90" t="n">
        <x:f>IF(E46=0,"",MIN('10_W0_水位'!B26,'10_W0_水位'!D26,'10_W0_水位'!F26,'10_W0_水位'!H26))</x:f>
        <x:v>28.3</x:v>
      </x:c>
      <x:c r="I46" s="90" t="n">
        <x:f>IF(E46=0,"",MAX('10_W0_水位'!B26,'10_W0_水位'!D26,'10_W0_水位'!F26,'10_W0_水位'!H26))</x:f>
        <x:v>41</x:v>
      </x:c>
      <x:c r="J46" s="32" t="str">
        <x:v>mm</x:v>
      </x:c>
    </x:row>
    <x:row r="47">
      <x:c r="A47" s="72" t="n">
        <x:v>46240.875613425924</x:v>
      </x:c>
      <x:c r="B47" s="32" t="str">
        <x:v>水位</x:v>
      </x:c>
      <x:c r="C47" s="32" t="str">
        <x:v>W0</x:v>
      </x:c>
      <x:c r="D47" s="32" t="str">
        <x:v>V2</x:v>
      </x:c>
      <x:c r="E47" s="86" t="n">
        <x:f>COUNT('10_W0_水位'!C26,'10_W0_水位'!E26,'10_W0_水位'!G26,'10_W0_水位'!I26)</x:f>
        <x:v>4</x:v>
      </x:c>
      <x:c r="F47" s="90" t="n">
        <x:f>IF(E47=0,"",AVERAGE('10_W0_水位'!C26,'10_W0_水位'!E26,'10_W0_水位'!G26,'10_W0_水位'!I26))</x:f>
        <x:v>30.975</x:v>
      </x:c>
      <x:c r="G47" s="90" t="n">
        <x:f>IF(E47&lt;2,"",STDEV.S('10_W0_水位'!C26,'10_W0_水位'!E26,'10_W0_水位'!G26,'10_W0_水位'!I26))</x:f>
        <x:v>5.611520887127364</x:v>
      </x:c>
      <x:c r="H47" s="90" t="n">
        <x:f>IF(E47=0,"",MIN('10_W0_水位'!C26,'10_W0_水位'!E26,'10_W0_水位'!G26,'10_W0_水位'!I26))</x:f>
        <x:v>24.4</x:v>
      </x:c>
      <x:c r="I47" s="90" t="n">
        <x:f>IF(E47=0,"",MAX('10_W0_水位'!C26,'10_W0_水位'!E26,'10_W0_水位'!G26,'10_W0_水位'!I26))</x:f>
        <x:v>38.1</x:v>
      </x:c>
      <x:c r="J47" s="32" t="str">
        <x:v>mm</x:v>
      </x:c>
    </x:row>
    <x:row r="48">
      <x:c r="A48" s="72" t="n">
        <x:v>46240.87908564815</x:v>
      </x:c>
      <x:c r="B48" s="32" t="str">
        <x:v>水位</x:v>
      </x:c>
      <x:c r="C48" s="32" t="str">
        <x:v>W0</x:v>
      </x:c>
      <x:c r="D48" s="32" t="str">
        <x:v>V1</x:v>
      </x:c>
      <x:c r="E48" s="86" t="n">
        <x:f>COUNT('10_W0_水位'!B27,'10_W0_水位'!D27,'10_W0_水位'!F27,'10_W0_水位'!H27)</x:f>
        <x:v>4</x:v>
      </x:c>
      <x:c r="F48" s="90" t="n">
        <x:f>IF(E48=0,"",AVERAGE('10_W0_水位'!B27,'10_W0_水位'!D27,'10_W0_水位'!F27,'10_W0_水位'!H27))</x:f>
        <x:v>34.125</x:v>
      </x:c>
      <x:c r="G48" s="90" t="n">
        <x:f>IF(E48&lt;2,"",STDEV.S('10_W0_水位'!B27,'10_W0_水位'!D27,'10_W0_水位'!F27,'10_W0_水位'!H27))</x:f>
        <x:v>5.2468244364250145</x:v>
      </x:c>
      <x:c r="H48" s="90" t="n">
        <x:f>IF(E48=0,"",MIN('10_W0_水位'!B27,'10_W0_水位'!D27,'10_W0_水位'!F27,'10_W0_水位'!H27))</x:f>
        <x:v>29.4</x:v>
      </x:c>
      <x:c r="I48" s="90" t="n">
        <x:f>IF(E48=0,"",MAX('10_W0_水位'!B27,'10_W0_水位'!D27,'10_W0_水位'!F27,'10_W0_水位'!H27))</x:f>
        <x:v>41.6</x:v>
      </x:c>
      <x:c r="J48" s="32" t="str">
        <x:v>mm</x:v>
      </x:c>
    </x:row>
    <x:row r="49">
      <x:c r="A49" s="72" t="n">
        <x:v>46240.87908564815</x:v>
      </x:c>
      <x:c r="B49" s="32" t="str">
        <x:v>水位</x:v>
      </x:c>
      <x:c r="C49" s="32" t="str">
        <x:v>W0</x:v>
      </x:c>
      <x:c r="D49" s="32" t="str">
        <x:v>V2</x:v>
      </x:c>
      <x:c r="E49" s="86" t="n">
        <x:f>COUNT('10_W0_水位'!C27,'10_W0_水位'!E27,'10_W0_水位'!G27,'10_W0_水位'!I27)</x:f>
        <x:v>4</x:v>
      </x:c>
      <x:c r="F49" s="90" t="n">
        <x:f>IF(E49=0,"",AVERAGE('10_W0_水位'!C27,'10_W0_水位'!E27,'10_W0_水位'!G27,'10_W0_水位'!I27))</x:f>
        <x:v>31.049999999999997</x:v>
      </x:c>
      <x:c r="G49" s="90" t="n">
        <x:f>IF(E49&lt;2,"",STDEV.S('10_W0_水位'!C27,'10_W0_水位'!E27,'10_W0_水位'!G27,'10_W0_水位'!I27))</x:f>
        <x:v>5.642989751305004</x:v>
      </x:c>
      <x:c r="H49" s="90" t="n">
        <x:f>IF(E49=0,"",MIN('10_W0_水位'!C27,'10_W0_水位'!E27,'10_W0_水位'!G27,'10_W0_水位'!I27))</x:f>
        <x:v>23.6</x:v>
      </x:c>
      <x:c r="I49" s="90" t="n">
        <x:f>IF(E49=0,"",MAX('10_W0_水位'!C27,'10_W0_水位'!E27,'10_W0_水位'!G27,'10_W0_水位'!I27))</x:f>
        <x:v>37.3</x:v>
      </x:c>
      <x:c r="J49" s="32" t="str">
        <x:v>mm</x:v>
      </x:c>
    </x:row>
    <x:row r="50">
      <x:c r="A50" s="72" t="n">
        <x:v>46240.88255787037</x:v>
      </x:c>
      <x:c r="B50" s="32" t="str">
        <x:v>水位</x:v>
      </x:c>
      <x:c r="C50" s="32" t="str">
        <x:v>W0</x:v>
      </x:c>
      <x:c r="D50" s="32" t="str">
        <x:v>V1</x:v>
      </x:c>
      <x:c r="E50" s="86" t="n">
        <x:f>COUNT('10_W0_水位'!B28,'10_W0_水位'!D28,'10_W0_水位'!F28,'10_W0_水位'!H28)</x:f>
        <x:v>4</x:v>
      </x:c>
      <x:c r="F50" s="90" t="n">
        <x:f>IF(E50=0,"",AVERAGE('10_W0_水位'!B28,'10_W0_水位'!D28,'10_W0_水位'!F28,'10_W0_水位'!H28))</x:f>
        <x:v>34.15</x:v>
      </x:c>
      <x:c r="G50" s="90" t="n">
        <x:f>IF(E50&lt;2,"",STDEV.S('10_W0_水位'!B28,'10_W0_水位'!D28,'10_W0_水位'!F28,'10_W0_水位'!H28))</x:f>
        <x:v>5.211845482488263</x:v>
      </x:c>
      <x:c r="H50" s="90" t="n">
        <x:f>IF(E50=0,"",MIN('10_W0_水位'!B28,'10_W0_水位'!D28,'10_W0_水位'!F28,'10_W0_水位'!H28))</x:f>
        <x:v>30.6</x:v>
      </x:c>
      <x:c r="I50" s="90" t="n">
        <x:f>IF(E50=0,"",MAX('10_W0_水位'!B28,'10_W0_水位'!D28,'10_W0_水位'!F28,'10_W0_水位'!H28))</x:f>
        <x:v>41.9</x:v>
      </x:c>
      <x:c r="J50" s="32" t="str">
        <x:v>mm</x:v>
      </x:c>
    </x:row>
    <x:row r="51">
      <x:c r="A51" s="72" t="n">
        <x:v>46240.88255787037</x:v>
      </x:c>
      <x:c r="B51" s="32" t="str">
        <x:v>水位</x:v>
      </x:c>
      <x:c r="C51" s="32" t="str">
        <x:v>W0</x:v>
      </x:c>
      <x:c r="D51" s="32" t="str">
        <x:v>V2</x:v>
      </x:c>
      <x:c r="E51" s="86" t="n">
        <x:f>COUNT('10_W0_水位'!C28,'10_W0_水位'!E28,'10_W0_水位'!G28,'10_W0_水位'!I28)</x:f>
        <x:v>4</x:v>
      </x:c>
      <x:c r="F51" s="90" t="n">
        <x:f>IF(E51=0,"",AVERAGE('10_W0_水位'!C28,'10_W0_水位'!E28,'10_W0_水位'!G28,'10_W0_水位'!I28))</x:f>
        <x:v>31.125000000000004</x:v>
      </x:c>
      <x:c r="G51" s="90" t="n">
        <x:f>IF(E51&lt;2,"",STDEV.S('10_W0_水位'!C28,'10_W0_水位'!E28,'10_W0_水位'!G28,'10_W0_水位'!I28))</x:f>
        <x:v>5.579351814204466</x:v>
      </x:c>
      <x:c r="H51" s="90" t="n">
        <x:f>IF(E51=0,"",MIN('10_W0_水位'!C28,'10_W0_水位'!E28,'10_W0_水位'!G28,'10_W0_水位'!I28))</x:f>
        <x:v>23.2</x:v>
      </x:c>
      <x:c r="I51" s="90" t="n">
        <x:f>IF(E51=0,"",MAX('10_W0_水位'!C28,'10_W0_水位'!E28,'10_W0_水位'!G28,'10_W0_水位'!I28))</x:f>
        <x:v>36.3</x:v>
      </x:c>
      <x:c r="J51" s="32" t="str">
        <x:v>mm</x:v>
      </x:c>
    </x:row>
    <x:row r="52">
      <x:c r="A52" s="72" t="n">
        <x:v>46240.886030092595</x:v>
      </x:c>
      <x:c r="B52" s="32" t="str">
        <x:v>水位</x:v>
      </x:c>
      <x:c r="C52" s="32" t="str">
        <x:v>W0</x:v>
      </x:c>
      <x:c r="D52" s="32" t="str">
        <x:v>V1</x:v>
      </x:c>
      <x:c r="E52" s="86" t="n">
        <x:f>COUNT('10_W0_水位'!B29,'10_W0_水位'!D29,'10_W0_水位'!F29,'10_W0_水位'!H29)</x:f>
        <x:v>4</x:v>
      </x:c>
      <x:c r="F52" s="90" t="n">
        <x:f>IF(E52=0,"",AVERAGE('10_W0_水位'!B29,'10_W0_水位'!D29,'10_W0_水位'!F29,'10_W0_水位'!H29))</x:f>
        <x:v>34.224999999999994</x:v>
      </x:c>
      <x:c r="G52" s="90" t="n">
        <x:f>IF(E52&lt;2,"",STDEV.S('10_W0_水位'!B29,'10_W0_水位'!D29,'10_W0_水位'!F29,'10_W0_水位'!H29))</x:f>
        <x:v>5.218157401484423</x:v>
      </x:c>
      <x:c r="H52" s="90" t="n">
        <x:f>IF(E52=0,"",MIN('10_W0_水位'!B29,'10_W0_水位'!D29,'10_W0_水位'!F29,'10_W0_水位'!H29))</x:f>
        <x:v>30.8</x:v>
      </x:c>
      <x:c r="I52" s="90" t="n">
        <x:f>IF(E52=0,"",MAX('10_W0_水位'!B29,'10_W0_水位'!D29,'10_W0_水位'!F29,'10_W0_水位'!H29))</x:f>
        <x:v>42</x:v>
      </x:c>
      <x:c r="J52" s="32" t="str">
        <x:v>mm</x:v>
      </x:c>
    </x:row>
    <x:row r="53">
      <x:c r="A53" s="72" t="n">
        <x:v>46240.886030092595</x:v>
      </x:c>
      <x:c r="B53" s="32" t="str">
        <x:v>水位</x:v>
      </x:c>
      <x:c r="C53" s="32" t="str">
        <x:v>W0</x:v>
      </x:c>
      <x:c r="D53" s="32" t="str">
        <x:v>V2</x:v>
      </x:c>
      <x:c r="E53" s="86" t="n">
        <x:f>COUNT('10_W0_水位'!C29,'10_W0_水位'!E29,'10_W0_水位'!G29,'10_W0_水位'!I29)</x:f>
        <x:v>4</x:v>
      </x:c>
      <x:c r="F53" s="90" t="n">
        <x:f>IF(E53=0,"",AVERAGE('10_W0_水位'!C29,'10_W0_水位'!E29,'10_W0_水位'!G29,'10_W0_水位'!I29))</x:f>
        <x:v>31.15</x:v>
      </x:c>
      <x:c r="G53" s="90" t="n">
        <x:f>IF(E53&lt;2,"",STDEV.S('10_W0_水位'!C29,'10_W0_水位'!E29,'10_W0_水位'!G29,'10_W0_水位'!I29))</x:f>
        <x:v>5.510293398117139</x:v>
      </x:c>
      <x:c r="H53" s="90" t="n">
        <x:f>IF(E53=0,"",MIN('10_W0_水位'!C29,'10_W0_水位'!E29,'10_W0_水位'!G29,'10_W0_水位'!I29))</x:f>
        <x:v>23</x:v>
      </x:c>
      <x:c r="I53" s="90" t="n">
        <x:f>IF(E53=0,"",MAX('10_W0_水位'!C29,'10_W0_水位'!E29,'10_W0_水位'!G29,'10_W0_水位'!I29))</x:f>
        <x:v>35.1</x:v>
      </x:c>
      <x:c r="J53" s="32" t="str">
        <x:v>mm</x:v>
      </x:c>
    </x:row>
    <x:row r="54">
      <x:c r="A54" s="72" t="n">
        <x:v>46240.889502314814</x:v>
      </x:c>
      <x:c r="B54" s="32" t="str">
        <x:v>水位</x:v>
      </x:c>
      <x:c r="C54" s="32" t="str">
        <x:v>W0</x:v>
      </x:c>
      <x:c r="D54" s="32" t="str">
        <x:v>V1</x:v>
      </x:c>
      <x:c r="E54" s="86" t="n">
        <x:f>COUNT('10_W0_水位'!B30,'10_W0_水位'!D30,'10_W0_水位'!F30,'10_W0_水位'!H30)</x:f>
        <x:v>4</x:v>
      </x:c>
      <x:c r="F54" s="90" t="n">
        <x:f>IF(E54=0,"",AVERAGE('10_W0_水位'!B30,'10_W0_水位'!D30,'10_W0_水位'!F30,'10_W0_水位'!H30))</x:f>
        <x:v>34.25</x:v>
      </x:c>
      <x:c r="G54" s="90" t="n">
        <x:f>IF(E54&lt;2,"",STDEV.S('10_W0_水位'!B30,'10_W0_水位'!D30,'10_W0_水位'!F30,'10_W0_水位'!H30))</x:f>
        <x:v>5.201602317235206</x:v>
      </x:c>
      <x:c r="H54" s="90" t="n">
        <x:f>IF(E54=0,"",MIN('10_W0_水位'!B30,'10_W0_水位'!D30,'10_W0_水位'!F30,'10_W0_水位'!H30))</x:f>
        <x:v>29.6</x:v>
      </x:c>
      <x:c r="I54" s="90" t="n">
        <x:f>IF(E54=0,"",MAX('10_W0_水位'!B30,'10_W0_水位'!D30,'10_W0_水位'!F30,'10_W0_水位'!H30))</x:f>
        <x:v>41.7</x:v>
      </x:c>
      <x:c r="J54" s="32" t="str">
        <x:v>mm</x:v>
      </x:c>
    </x:row>
    <x:row r="55">
      <x:c r="A55" s="72" t="n">
        <x:v>46240.889502314814</x:v>
      </x:c>
      <x:c r="B55" s="32" t="str">
        <x:v>水位</x:v>
      </x:c>
      <x:c r="C55" s="32" t="str">
        <x:v>W0</x:v>
      </x:c>
      <x:c r="D55" s="32" t="str">
        <x:v>V2</x:v>
      </x:c>
      <x:c r="E55" s="86" t="n">
        <x:f>COUNT('10_W0_水位'!C30,'10_W0_水位'!E30,'10_W0_水位'!G30,'10_W0_水位'!I30)</x:f>
        <x:v>4</x:v>
      </x:c>
      <x:c r="F55" s="90" t="n">
        <x:f>IF(E55=0,"",AVERAGE('10_W0_水位'!C30,'10_W0_水位'!E30,'10_W0_水位'!G30,'10_W0_水位'!I30))</x:f>
        <x:v>31.224999999999998</x:v>
      </x:c>
      <x:c r="G55" s="90" t="n">
        <x:f>IF(E55&lt;2,"",STDEV.S('10_W0_水位'!C30,'10_W0_水位'!E30,'10_W0_水位'!G30,'10_W0_水位'!I30))</x:f>
        <x:v>5.406400527769531</x:v>
      </x:c>
      <x:c r="H55" s="90" t="n">
        <x:f>IF(E55=0,"",MIN('10_W0_水位'!C30,'10_W0_水位'!E30,'10_W0_水位'!G30,'10_W0_水位'!I30))</x:f>
        <x:v>23.2</x:v>
      </x:c>
      <x:c r="I55" s="90" t="n">
        <x:f>IF(E55=0,"",MAX('10_W0_水位'!C30,'10_W0_水位'!E30,'10_W0_水位'!G30,'10_W0_水位'!I30))</x:f>
        <x:v>34.9</x:v>
      </x:c>
      <x:c r="J55" s="32" t="str">
        <x:v>mm</x:v>
      </x:c>
    </x:row>
    <x:row r="56">
      <x:c r="A56" s="72" t="n">
        <x:v>46240.89297453704</x:v>
      </x:c>
      <x:c r="B56" s="32" t="str">
        <x:v>水位</x:v>
      </x:c>
      <x:c r="C56" s="32" t="str">
        <x:v>W0</x:v>
      </x:c>
      <x:c r="D56" s="32" t="str">
        <x:v>V1</x:v>
      </x:c>
      <x:c r="E56" s="86" t="n">
        <x:f>COUNT('10_W0_水位'!B31,'10_W0_水位'!D31,'10_W0_水位'!F31,'10_W0_水位'!H31)</x:f>
        <x:v>4</x:v>
      </x:c>
      <x:c r="F56" s="90" t="n">
        <x:f>IF(E56=0,"",AVERAGE('10_W0_水位'!B31,'10_W0_水位'!D31,'10_W0_水位'!F31,'10_W0_水位'!H31))</x:f>
        <x:v>34.25</x:v>
      </x:c>
      <x:c r="G56" s="90" t="n">
        <x:f>IF(E56&lt;2,"",STDEV.S('10_W0_水位'!B31,'10_W0_水位'!D31,'10_W0_水位'!F31,'10_W0_水位'!H31))</x:f>
        <x:v>5.193264869039514</x:v>
      </x:c>
      <x:c r="H56" s="90" t="n">
        <x:f>IF(E56=0,"",MIN('10_W0_水位'!B31,'10_W0_水位'!D31,'10_W0_水位'!F31,'10_W0_水位'!H31))</x:f>
        <x:v>28.5</x:v>
      </x:c>
      <x:c r="I56" s="90" t="n">
        <x:f>IF(E56=0,"",MAX('10_W0_水位'!B31,'10_W0_水位'!D31,'10_W0_水位'!F31,'10_W0_水位'!H31))</x:f>
        <x:v>41.1</x:v>
      </x:c>
      <x:c r="J56" s="32" t="str">
        <x:v>mm</x:v>
      </x:c>
    </x:row>
    <x:row r="57">
      <x:c r="A57" s="72" t="n">
        <x:v>46240.89297453704</x:v>
      </x:c>
      <x:c r="B57" s="32" t="str">
        <x:v>水位</x:v>
      </x:c>
      <x:c r="C57" s="32" t="str">
        <x:v>W0</x:v>
      </x:c>
      <x:c r="D57" s="32" t="str">
        <x:v>V2</x:v>
      </x:c>
      <x:c r="E57" s="86" t="n">
        <x:f>COUNT('10_W0_水位'!C31,'10_W0_水位'!E31,'10_W0_水位'!G31,'10_W0_水位'!I31)</x:f>
        <x:v>4</x:v>
      </x:c>
      <x:c r="F57" s="90" t="n">
        <x:f>IF(E57=0,"",AVERAGE('10_W0_水位'!C31,'10_W0_水位'!E31,'10_W0_水位'!G31,'10_W0_水位'!I31))</x:f>
        <x:v>31.25</x:v>
      </x:c>
      <x:c r="G57" s="90" t="n">
        <x:f>IF(E57&lt;2,"",STDEV.S('10_W0_水位'!C31,'10_W0_水位'!E31,'10_W0_水位'!G31,'10_W0_水位'!I31))</x:f>
        <x:v>5.353192194071371</x:v>
      </x:c>
      <x:c r="H57" s="90" t="n">
        <x:f>IF(E57=0,"",MIN('10_W0_水位'!C31,'10_W0_水位'!E31,'10_W0_水位'!G31,'10_W0_水位'!I31))</x:f>
        <x:v>23.6</x:v>
      </x:c>
      <x:c r="I57" s="90" t="n">
        <x:f>IF(E57=0,"",MAX('10_W0_水位'!C31,'10_W0_水位'!E31,'10_W0_水位'!G31,'10_W0_水位'!I31))</x:f>
        <x:v>36.1</x:v>
      </x:c>
      <x:c r="J57" s="32" t="str">
        <x:v>mm</x:v>
      </x:c>
    </x:row>
    <x:row r="58">
      <x:c r="A58" s="72" t="n">
        <x:v>46240.89644675926</x:v>
      </x:c>
      <x:c r="B58" s="32" t="str">
        <x:v>水位</x:v>
      </x:c>
      <x:c r="C58" s="32" t="str">
        <x:v>W0</x:v>
      </x:c>
      <x:c r="D58" s="32" t="str">
        <x:v>V1</x:v>
      </x:c>
      <x:c r="E58" s="86" t="n">
        <x:f>COUNT('10_W0_水位'!B32,'10_W0_水位'!D32,'10_W0_水位'!F32,'10_W0_水位'!H32)</x:f>
        <x:v>4</x:v>
      </x:c>
      <x:c r="F58" s="90" t="n">
        <x:f>IF(E58=0,"",AVERAGE('10_W0_水位'!B32,'10_W0_水位'!D32,'10_W0_水位'!F32,'10_W0_水位'!H32))</x:f>
        <x:v>34.275</x:v>
      </x:c>
      <x:c r="G58" s="90" t="n">
        <x:f>IF(E58&lt;2,"",STDEV.S('10_W0_水位'!B32,'10_W0_水位'!D32,'10_W0_水位'!F32,'10_W0_水位'!H32))</x:f>
        <x:v>5.251269687735845</x:v>
      </x:c>
      <x:c r="H58" s="90" t="n">
        <x:f>IF(E58=0,"",MIN('10_W0_水位'!B32,'10_W0_水位'!D32,'10_W0_水位'!F32,'10_W0_水位'!H32))</x:f>
        <x:v>27.5</x:v>
      </x:c>
      <x:c r="I58" s="90" t="n">
        <x:f>IF(E58=0,"",MAX('10_W0_水位'!B32,'10_W0_水位'!D32,'10_W0_水位'!F32,'10_W0_水位'!H32))</x:f>
        <x:v>40.3</x:v>
      </x:c>
      <x:c r="J58" s="32" t="str">
        <x:v>mm</x:v>
      </x:c>
    </x:row>
    <x:row r="59">
      <x:c r="A59" s="72" t="n">
        <x:v>46240.89644675926</x:v>
      </x:c>
      <x:c r="B59" s="32" t="str">
        <x:v>水位</x:v>
      </x:c>
      <x:c r="C59" s="32" t="str">
        <x:v>W0</x:v>
      </x:c>
      <x:c r="D59" s="32" t="str">
        <x:v>V2</x:v>
      </x:c>
      <x:c r="E59" s="86" t="n">
        <x:f>COUNT('10_W0_水位'!C32,'10_W0_水位'!E32,'10_W0_水位'!G32,'10_W0_水位'!I32)</x:f>
        <x:v>4</x:v>
      </x:c>
      <x:c r="F59" s="90" t="n">
        <x:f>IF(E59=0,"",AVERAGE('10_W0_水位'!C32,'10_W0_水位'!E32,'10_W0_水位'!G32,'10_W0_水位'!I32))</x:f>
        <x:v>31.25</x:v>
      </x:c>
      <x:c r="G59" s="90" t="n">
        <x:f>IF(E59&lt;2,"",STDEV.S('10_W0_水位'!C32,'10_W0_水位'!E32,'10_W0_水位'!G32,'10_W0_水位'!I32))</x:f>
        <x:v>5.2697248505021586</x:v>
      </x:c>
      <x:c r="H59" s="90" t="n">
        <x:f>IF(E59=0,"",MIN('10_W0_水位'!C32,'10_W0_水位'!E32,'10_W0_水位'!G32,'10_W0_水位'!I32))</x:f>
        <x:v>24.3</x:v>
      </x:c>
      <x:c r="I59" s="90" t="n">
        <x:f>IF(E59=0,"",MAX('10_W0_水位'!C32,'10_W0_水位'!E32,'10_W0_水位'!G32,'10_W0_水位'!I32))</x:f>
        <x:v>37.1</x:v>
      </x:c>
      <x:c r="J59" s="32" t="str">
        <x:v>mm</x:v>
      </x:c>
    </x:row>
    <x:row r="60">
      <x:c r="A60" s="72" t="n">
        <x:v>46240.89991898148</x:v>
      </x:c>
      <x:c r="B60" s="32" t="str">
        <x:v>水位</x:v>
      </x:c>
      <x:c r="C60" s="32" t="str">
        <x:v>W0</x:v>
      </x:c>
      <x:c r="D60" s="32" t="str">
        <x:v>V1</x:v>
      </x:c>
      <x:c r="E60" s="86" t="n">
        <x:f>COUNT('10_W0_水位'!B33,'10_W0_水位'!D33,'10_W0_水位'!F33,'10_W0_水位'!H33)</x:f>
        <x:v>4</x:v>
      </x:c>
      <x:c r="F60" s="90" t="n">
        <x:f>IF(E60=0,"",AVERAGE('10_W0_水位'!B33,'10_W0_水位'!D33,'10_W0_水位'!F33,'10_W0_水位'!H33))</x:f>
        <x:v>34.25</x:v>
      </x:c>
      <x:c r="G60" s="90" t="n">
        <x:f>IF(E60&lt;2,"",STDEV.S('10_W0_水位'!B33,'10_W0_水位'!D33,'10_W0_水位'!F33,'10_W0_水位'!H33))</x:f>
        <x:v>5.343220002957018</x:v>
      </x:c>
      <x:c r="H60" s="90" t="n">
        <x:f>IF(E60=0,"",MIN('10_W0_水位'!B33,'10_W0_水位'!D33,'10_W0_水位'!F33,'10_W0_水位'!H33))</x:f>
        <x:v>26.7</x:v>
      </x:c>
      <x:c r="I60" s="90" t="n">
        <x:f>IF(E60=0,"",MAX('10_W0_水位'!B33,'10_W0_水位'!D33,'10_W0_水位'!F33,'10_W0_水位'!H33))</x:f>
        <x:v>39.3</x:v>
      </x:c>
      <x:c r="J60" s="32" t="str">
        <x:v>mm</x:v>
      </x:c>
    </x:row>
    <x:row r="61">
      <x:c r="A61" s="72" t="n">
        <x:v>46240.89991898148</x:v>
      </x:c>
      <x:c r="B61" s="32" t="str">
        <x:v>水位</x:v>
      </x:c>
      <x:c r="C61" s="32" t="str">
        <x:v>W0</x:v>
      </x:c>
      <x:c r="D61" s="32" t="str">
        <x:v>V2</x:v>
      </x:c>
      <x:c r="E61" s="86" t="n">
        <x:f>COUNT('10_W0_水位'!C33,'10_W0_水位'!E33,'10_W0_水位'!G33,'10_W0_水位'!I33)</x:f>
        <x:v>4</x:v>
      </x:c>
      <x:c r="F61" s="90" t="n">
        <x:f>IF(E61=0,"",AVERAGE('10_W0_水位'!C33,'10_W0_水位'!E33,'10_W0_水位'!G33,'10_W0_水位'!I33))</x:f>
        <x:v>31.275</x:v>
      </x:c>
      <x:c r="G61" s="90" t="n">
        <x:f>IF(E61&lt;2,"",STDEV.S('10_W0_水位'!C33,'10_W0_水位'!E33,'10_W0_水位'!G33,'10_W0_水位'!I33))</x:f>
        <x:v>5.213044535905418</x:v>
      </x:c>
      <x:c r="H61" s="90" t="n">
        <x:f>IF(E61=0,"",MIN('10_W0_水位'!C33,'10_W0_水位'!E33,'10_W0_水位'!G33,'10_W0_水位'!I33))</x:f>
        <x:v>25.3</x:v>
      </x:c>
      <x:c r="I61" s="90" t="n">
        <x:f>IF(E61=0,"",MAX('10_W0_水位'!C33,'10_W0_水位'!E33,'10_W0_水位'!G33,'10_W0_水位'!I33))</x:f>
        <x:v>38</x:v>
      </x:c>
      <x:c r="J61" s="32" t="str">
        <x:v>mm</x:v>
      </x:c>
    </x:row>
    <x:row r="62">
      <x:c r="A62" s="72" t="n">
        <x:v>46240.903391203705</x:v>
      </x:c>
      <x:c r="B62" s="32" t="str">
        <x:v>水位</x:v>
      </x:c>
      <x:c r="C62" s="32" t="str">
        <x:v>W0</x:v>
      </x:c>
      <x:c r="D62" s="32" t="str">
        <x:v>V1</x:v>
      </x:c>
      <x:c r="E62" s="86" t="n">
        <x:f>COUNT('10_W0_水位'!B34,'10_W0_水位'!D34,'10_W0_水位'!F34,'10_W0_水位'!H34)</x:f>
        <x:v>4</x:v>
      </x:c>
      <x:c r="F62" s="90" t="n">
        <x:f>IF(E62=0,"",AVERAGE('10_W0_水位'!B34,'10_W0_水位'!D34,'10_W0_水位'!F34,'10_W0_水位'!H34))</x:f>
        <x:v>34.199999999999996</x:v>
      </x:c>
      <x:c r="G62" s="90" t="n">
        <x:f>IF(E62&lt;2,"",STDEV.S('10_W0_水位'!B34,'10_W0_水位'!D34,'10_W0_水位'!F34,'10_W0_水位'!H34))</x:f>
        <x:v>5.411715686052499</x:v>
      </x:c>
      <x:c r="H62" s="90" t="n">
        <x:f>IF(E62=0,"",MIN('10_W0_水位'!B34,'10_W0_水位'!D34,'10_W0_水位'!F34,'10_W0_水位'!H34))</x:f>
        <x:v>26.2</x:v>
      </x:c>
      <x:c r="I62" s="90" t="n">
        <x:f>IF(E62=0,"",MAX('10_W0_水位'!B34,'10_W0_水位'!D34,'10_W0_水位'!F34,'10_W0_水位'!H34))</x:f>
        <x:v>38.1</x:v>
      </x:c>
      <x:c r="J62" s="32" t="str">
        <x:v>mm</x:v>
      </x:c>
    </x:row>
    <x:row r="63">
      <x:c r="A63" s="72" t="n">
        <x:v>46240.903391203705</x:v>
      </x:c>
      <x:c r="B63" s="32" t="str">
        <x:v>水位</x:v>
      </x:c>
      <x:c r="C63" s="32" t="str">
        <x:v>W0</x:v>
      </x:c>
      <x:c r="D63" s="32" t="str">
        <x:v>V2</x:v>
      </x:c>
      <x:c r="E63" s="86" t="n">
        <x:f>COUNT('10_W0_水位'!C34,'10_W0_水位'!E34,'10_W0_水位'!G34,'10_W0_水位'!I34)</x:f>
        <x:v>4</x:v>
      </x:c>
      <x:c r="F63" s="90" t="n">
        <x:f>IF(E63=0,"",AVERAGE('10_W0_水位'!C34,'10_W0_水位'!E34,'10_W0_水位'!G34,'10_W0_水位'!I34))</x:f>
        <x:v>31.25</x:v>
      </x:c>
      <x:c r="G63" s="90" t="n">
        <x:f>IF(E63&lt;2,"",STDEV.S('10_W0_水位'!C34,'10_W0_水位'!E34,'10_W0_水位'!G34,'10_W0_水位'!I34))</x:f>
        <x:v>5.191338940966966</x:v>
      </x:c>
      <x:c r="H63" s="90" t="n">
        <x:f>IF(E63=0,"",MIN('10_W0_水位'!C34,'10_W0_水位'!E34,'10_W0_水位'!G34,'10_W0_水位'!I34))</x:f>
        <x:v>26.4</x:v>
      </x:c>
      <x:c r="I63" s="90" t="n">
        <x:f>IF(E63=0,"",MAX('10_W0_水位'!C34,'10_W0_水位'!E34,'10_W0_水位'!G34,'10_W0_水位'!I34))</x:f>
        <x:v>38.6</x:v>
      </x:c>
      <x:c r="J63" s="32" t="str">
        <x:v>mm</x:v>
      </x:c>
    </x:row>
    <x:row r="64">
      <x:c r="A64" s="72" t="n">
        <x:v>46240.906863425924</x:v>
      </x:c>
      <x:c r="B64" s="32" t="str">
        <x:v>水位</x:v>
      </x:c>
      <x:c r="C64" s="32" t="str">
        <x:v>W0</x:v>
      </x:c>
      <x:c r="D64" s="32" t="str">
        <x:v>V1</x:v>
      </x:c>
      <x:c r="E64" s="86" t="n">
        <x:f>COUNT('10_W0_水位'!B35,'10_W0_水位'!D35,'10_W0_水位'!F35,'10_W0_水位'!H35)</x:f>
        <x:v>4</x:v>
      </x:c>
      <x:c r="F64" s="90" t="n">
        <x:f>IF(E64=0,"",AVERAGE('10_W0_水位'!B35,'10_W0_水位'!D35,'10_W0_水位'!F35,'10_W0_水位'!H35))</x:f>
        <x:v>34.175</x:v>
      </x:c>
      <x:c r="G64" s="90" t="n">
        <x:f>IF(E64&lt;2,"",STDEV.S('10_W0_水位'!B35,'10_W0_水位'!D35,'10_W0_水位'!F35,'10_W0_水位'!H35))</x:f>
        <x:v>5.505376160324257</x:v>
      </x:c>
      <x:c r="H64" s="90" t="n">
        <x:f>IF(E64=0,"",MIN('10_W0_水位'!B35,'10_W0_水位'!D35,'10_W0_水位'!F35,'10_W0_水位'!H35))</x:f>
        <x:v>26</x:v>
      </x:c>
      <x:c r="I64" s="90" t="n">
        <x:f>IF(E64=0,"",MAX('10_W0_水位'!B35,'10_W0_水位'!D35,'10_W0_水位'!F35,'10_W0_水位'!H35))</x:f>
        <x:v>37.9</x:v>
      </x:c>
      <x:c r="J64" s="32" t="str">
        <x:v>mm</x:v>
      </x:c>
    </x:row>
    <x:row r="65">
      <x:c r="A65" s="72" t="n">
        <x:v>46240.906863425924</x:v>
      </x:c>
      <x:c r="B65" s="32" t="str">
        <x:v>水位</x:v>
      </x:c>
      <x:c r="C65" s="32" t="str">
        <x:v>W0</x:v>
      </x:c>
      <x:c r="D65" s="32" t="str">
        <x:v>V2</x:v>
      </x:c>
      <x:c r="E65" s="86" t="n">
        <x:f>COUNT('10_W0_水位'!C35,'10_W0_水位'!E35,'10_W0_水位'!G35,'10_W0_水位'!I35)</x:f>
        <x:v>4</x:v>
      </x:c>
      <x:c r="F65" s="90" t="n">
        <x:f>IF(E65=0,"",AVERAGE('10_W0_水位'!C35,'10_W0_水位'!E35,'10_W0_水位'!G35,'10_W0_水位'!I35))</x:f>
        <x:v>31.199999999999996</x:v>
      </x:c>
      <x:c r="G65" s="90" t="n">
        <x:f>IF(E65&lt;2,"",STDEV.S('10_W0_水位'!C35,'10_W0_水位'!E35,'10_W0_水位'!G35,'10_W0_水位'!I35))</x:f>
        <x:v>5.185235449491822</x:v>
      </x:c>
      <x:c r="H65" s="90" t="n">
        <x:f>IF(E65=0,"",MIN('10_W0_水位'!C35,'10_W0_水位'!E35,'10_W0_水位'!G35,'10_W0_水位'!I35))</x:f>
        <x:v>27.6</x:v>
      </x:c>
      <x:c r="I65" s="90" t="n">
        <x:f>IF(E65=0,"",MAX('10_W0_水位'!C35,'10_W0_水位'!E35,'10_W0_水位'!G35,'10_W0_水位'!I35))</x:f>
        <x:v>38.9</x:v>
      </x:c>
      <x:c r="J65" s="32" t="str">
        <x:v>mm</x:v>
      </x:c>
    </x:row>
    <x:row r="66">
      <x:c r="A66" s="72" t="n">
        <x:v>46240.91033564815</x:v>
      </x:c>
      <x:c r="B66" s="32" t="str">
        <x:v>水位</x:v>
      </x:c>
      <x:c r="C66" s="32" t="str">
        <x:v>W0</x:v>
      </x:c>
      <x:c r="D66" s="32" t="str">
        <x:v>V1</x:v>
      </x:c>
      <x:c r="E66" s="86" t="n">
        <x:f>COUNT('10_W0_水位'!B36,'10_W0_水位'!D36,'10_W0_水位'!F36,'10_W0_水位'!H36)</x:f>
        <x:v>4</x:v>
      </x:c>
      <x:c r="F66" s="90" t="n">
        <x:f>IF(E66=0,"",AVERAGE('10_W0_水位'!B36,'10_W0_水位'!D36,'10_W0_水位'!F36,'10_W0_水位'!H36))</x:f>
        <x:v>34.125</x:v>
      </x:c>
      <x:c r="G66" s="90" t="n">
        <x:f>IF(E66&lt;2,"",STDEV.S('10_W0_水位'!B36,'10_W0_水位'!D36,'10_W0_水位'!F36,'10_W0_水位'!H36))</x:f>
        <x:v>5.591883999750591</x:v>
      </x:c>
      <x:c r="H66" s="90" t="n">
        <x:f>IF(E66=0,"",MIN('10_W0_水位'!B36,'10_W0_水位'!D36,'10_W0_水位'!F36,'10_W0_水位'!H36))</x:f>
        <x:v>26.1</x:v>
      </x:c>
      <x:c r="I66" s="90" t="n">
        <x:f>IF(E66=0,"",MAX('10_W0_水位'!B36,'10_W0_水位'!D36,'10_W0_水位'!F36,'10_W0_水位'!H36))</x:f>
        <x:v>39.1</x:v>
      </x:c>
      <x:c r="J66" s="32" t="str">
        <x:v>mm</x:v>
      </x:c>
    </x:row>
    <x:row r="67">
      <x:c r="A67" s="72" t="n">
        <x:v>46240.91033564815</x:v>
      </x:c>
      <x:c r="B67" s="32" t="str">
        <x:v>水位</x:v>
      </x:c>
      <x:c r="C67" s="32" t="str">
        <x:v>W0</x:v>
      </x:c>
      <x:c r="D67" s="32" t="str">
        <x:v>V2</x:v>
      </x:c>
      <x:c r="E67" s="86" t="n">
        <x:f>COUNT('10_W0_水位'!C36,'10_W0_水位'!E36,'10_W0_水位'!G36,'10_W0_水位'!I36)</x:f>
        <x:v>4</x:v>
      </x:c>
      <x:c r="F67" s="90" t="n">
        <x:f>IF(E67=0,"",AVERAGE('10_W0_水位'!C36,'10_W0_水位'!E36,'10_W0_水位'!G36,'10_W0_水位'!I36))</x:f>
        <x:v>31.174999999999997</x:v>
      </x:c>
      <x:c r="G67" s="90" t="n">
        <x:f>IF(E67&lt;2,"",STDEV.S('10_W0_水位'!C36,'10_W0_水位'!E36,'10_W0_水位'!G36,'10_W0_水位'!I36))</x:f>
        <x:v>5.244918175402422</x:v>
      </x:c>
      <x:c r="H67" s="90" t="n">
        <x:f>IF(E67=0,"",MIN('10_W0_水位'!C36,'10_W0_水位'!E36,'10_W0_水位'!G36,'10_W0_水位'!I36))</x:f>
        <x:v>27.8</x:v>
      </x:c>
      <x:c r="I67" s="90" t="n">
        <x:f>IF(E67=0,"",MAX('10_W0_水位'!C36,'10_W0_水位'!E36,'10_W0_水位'!G36,'10_W0_水位'!I36))</x:f>
        <x:v>39</x:v>
      </x:c>
      <x:c r="J67" s="32" t="str">
        <x:v>mm</x:v>
      </x:c>
    </x:row>
    <x:row r="68">
      <x:c r="A68" s="72" t="n">
        <x:v>46240.91380787037</x:v>
      </x:c>
      <x:c r="B68" s="32" t="str">
        <x:v>水位</x:v>
      </x:c>
      <x:c r="C68" s="32" t="str">
        <x:v>W0</x:v>
      </x:c>
      <x:c r="D68" s="32" t="str">
        <x:v>V1</x:v>
      </x:c>
      <x:c r="E68" s="86" t="n">
        <x:f>COUNT('10_W0_水位'!B37,'10_W0_水位'!D37,'10_W0_水位'!F37,'10_W0_水位'!H37)</x:f>
        <x:v>4</x:v>
      </x:c>
      <x:c r="F68" s="90" t="n">
        <x:f>IF(E68=0,"",AVERAGE('10_W0_水位'!B37,'10_W0_水位'!D37,'10_W0_水位'!F37,'10_W0_水位'!H37))</x:f>
        <x:v>34.05</x:v>
      </x:c>
      <x:c r="G68" s="90" t="n">
        <x:f>IF(E68&lt;2,"",STDEV.S('10_W0_水位'!B37,'10_W0_水位'!D37,'10_W0_水位'!F37,'10_W0_水位'!H37))</x:f>
        <x:v>5.62464813714304</x:v>
      </x:c>
      <x:c r="H68" s="90" t="n">
        <x:f>IF(E68=0,"",MIN('10_W0_水位'!B37,'10_W0_水位'!D37,'10_W0_水位'!F37,'10_W0_水位'!H37))</x:f>
        <x:v>26.5</x:v>
      </x:c>
      <x:c r="I68" s="90" t="n">
        <x:f>IF(E68=0,"",MAX('10_W0_水位'!B37,'10_W0_水位'!D37,'10_W0_水位'!F37,'10_W0_水位'!H37))</x:f>
        <x:v>40.1</x:v>
      </x:c>
      <x:c r="J68" s="32" t="str">
        <x:v>mm</x:v>
      </x:c>
    </x:row>
    <x:row r="69">
      <x:c r="A69" s="72" t="n">
        <x:v>46240.91380787037</x:v>
      </x:c>
      <x:c r="B69" s="32" t="str">
        <x:v>水位</x:v>
      </x:c>
      <x:c r="C69" s="32" t="str">
        <x:v>W0</x:v>
      </x:c>
      <x:c r="D69" s="32" t="str">
        <x:v>V2</x:v>
      </x:c>
      <x:c r="E69" s="86" t="n">
        <x:f>COUNT('10_W0_水位'!C37,'10_W0_水位'!E37,'10_W0_水位'!G37,'10_W0_水位'!I37)</x:f>
        <x:v>4</x:v>
      </x:c>
      <x:c r="F69" s="90" t="n">
        <x:f>IF(E69=0,"",AVERAGE('10_W0_水位'!C37,'10_W0_水位'!E37,'10_W0_水位'!G37,'10_W0_水位'!I37))</x:f>
        <x:v>31.125</x:v>
      </x:c>
      <x:c r="G69" s="90" t="n">
        <x:f>IF(E69&lt;2,"",STDEV.S('10_W0_水位'!C37,'10_W0_水位'!E37,'10_W0_水位'!G37,'10_W0_水位'!I37))</x:f>
        <x:v>5.260148920578834</x:v>
      </x:c>
      <x:c r="H69" s="90" t="n">
        <x:f>IF(E69=0,"",MIN('10_W0_水位'!C37,'10_W0_水位'!E37,'10_W0_水位'!G37,'10_W0_水位'!I37))</x:f>
        <x:v>26.6</x:v>
      </x:c>
      <x:c r="I69" s="90" t="n">
        <x:f>IF(E69=0,"",MAX('10_W0_水位'!C37,'10_W0_水位'!E37,'10_W0_水位'!G37,'10_W0_水位'!I37))</x:f>
        <x:v>38.7</x:v>
      </x:c>
      <x:c r="J69" s="32" t="str">
        <x:v>mm</x:v>
      </x:c>
    </x:row>
    <x:row r="70">
      <x:c r="A70" s="72" t="n">
        <x:v>46240.917280092595</x:v>
      </x:c>
      <x:c r="B70" s="32" t="str">
        <x:v>水位</x:v>
      </x:c>
      <x:c r="C70" s="32" t="str">
        <x:v>W0</x:v>
      </x:c>
      <x:c r="D70" s="32" t="str">
        <x:v>V1</x:v>
      </x:c>
      <x:c r="E70" s="86" t="n">
        <x:f>COUNT('10_W0_水位'!B38,'10_W0_水位'!D38,'10_W0_水位'!F38,'10_W0_水位'!H38)</x:f>
        <x:v>4</x:v>
      </x:c>
      <x:c r="F70" s="90" t="n">
        <x:f>IF(E70=0,"",AVERAGE('10_W0_水位'!B38,'10_W0_水位'!D38,'10_W0_水位'!F38,'10_W0_水位'!H38))</x:f>
        <x:v>34</x:v>
      </x:c>
      <x:c r="G70" s="90" t="n">
        <x:f>IF(E70&lt;2,"",STDEV.S('10_W0_水位'!B38,'10_W0_水位'!D38,'10_W0_水位'!F38,'10_W0_水位'!H38))</x:f>
        <x:v>5.6444663166680344</x:v>
      </x:c>
      <x:c r="H70" s="90" t="n">
        <x:f>IF(E70=0,"",MIN('10_W0_水位'!B38,'10_W0_水位'!D38,'10_W0_水位'!F38,'10_W0_水位'!H38))</x:f>
        <x:v>27.2</x:v>
      </x:c>
      <x:c r="I70" s="90" t="n">
        <x:f>IF(E70=0,"",MAX('10_W0_水位'!B38,'10_W0_水位'!D38,'10_W0_水位'!F38,'10_W0_水位'!H38))</x:f>
        <x:v>41</x:v>
      </x:c>
      <x:c r="J70" s="32" t="str">
        <x:v>mm</x:v>
      </x:c>
    </x:row>
    <x:row r="71">
      <x:c r="A71" s="72" t="n">
        <x:v>46240.917280092595</x:v>
      </x:c>
      <x:c r="B71" s="32" t="str">
        <x:v>水位</x:v>
      </x:c>
      <x:c r="C71" s="32" t="str">
        <x:v>W0</x:v>
      </x:c>
      <x:c r="D71" s="32" t="str">
        <x:v>V2</x:v>
      </x:c>
      <x:c r="E71" s="86" t="n">
        <x:f>COUNT('10_W0_水位'!C38,'10_W0_水位'!E38,'10_W0_水位'!G38,'10_W0_水位'!I38)</x:f>
        <x:v>4</x:v>
      </x:c>
      <x:c r="F71" s="90" t="n">
        <x:f>IF(E71=0,"",AVERAGE('10_W0_水位'!C38,'10_W0_水位'!E38,'10_W0_水位'!G38,'10_W0_水位'!I38))</x:f>
        <x:v>31.049999999999997</x:v>
      </x:c>
      <x:c r="G71" s="90" t="n">
        <x:f>IF(E71&lt;2,"",STDEV.S('10_W0_水位'!C38,'10_W0_水位'!E38,'10_W0_水位'!G38,'10_W0_水位'!I38))</x:f>
        <x:v>5.2570587467391565</x:v>
      </x:c>
      <x:c r="H71" s="90" t="n">
        <x:f>IF(E71=0,"",MIN('10_W0_水位'!C38,'10_W0_水位'!E38,'10_W0_水位'!G38,'10_W0_水位'!I38))</x:f>
        <x:v>25.5</x:v>
      </x:c>
      <x:c r="I71" s="90" t="n">
        <x:f>IF(E71=0,"",MAX('10_W0_水位'!C38,'10_W0_水位'!E38,'10_W0_水位'!G38,'10_W0_水位'!I38))</x:f>
        <x:v>38.1</x:v>
      </x:c>
      <x:c r="J71" s="32" t="str">
        <x:v>mm</x:v>
      </x:c>
    </x:row>
    <x:row r="72">
      <x:c r="A72" s="72" t="n">
        <x:v>46240.920752314814</x:v>
      </x:c>
      <x:c r="B72" s="32" t="str">
        <x:v>水位</x:v>
      </x:c>
      <x:c r="C72" s="32" t="str">
        <x:v>W0</x:v>
      </x:c>
      <x:c r="D72" s="32" t="str">
        <x:v>V1</x:v>
      </x:c>
      <x:c r="E72" s="86" t="n">
        <x:f>COUNT('10_W0_水位'!B39,'10_W0_水位'!D39,'10_W0_水位'!F39,'10_W0_水位'!H39)</x:f>
        <x:v>4</x:v>
      </x:c>
      <x:c r="F72" s="90" t="n">
        <x:f>IF(E72=0,"",AVERAGE('10_W0_水位'!B39,'10_W0_水位'!D39,'10_W0_水位'!F39,'10_W0_水位'!H39))</x:f>
        <x:v>33.925</x:v>
      </x:c>
      <x:c r="G72" s="90" t="n">
        <x:f>IF(E72&lt;2,"",STDEV.S('10_W0_水位'!B39,'10_W0_水位'!D39,'10_W0_水位'!F39,'10_W0_水位'!H39))</x:f>
        <x:v>5.619237789356608</x:v>
      </x:c>
      <x:c r="H72" s="90" t="n">
        <x:f>IF(E72=0,"",MIN('10_W0_水位'!B39,'10_W0_水位'!D39,'10_W0_水位'!F39,'10_W0_水位'!H39))</x:f>
        <x:v>28.1</x:v>
      </x:c>
      <x:c r="I72" s="90" t="n">
        <x:f>IF(E72=0,"",MAX('10_W0_水位'!B39,'10_W0_水位'!D39,'10_W0_水位'!F39,'10_W0_水位'!H39))</x:f>
        <x:v>41.6</x:v>
      </x:c>
      <x:c r="J72" s="32" t="str">
        <x:v>mm</x:v>
      </x:c>
    </x:row>
    <x:row r="73">
      <x:c r="A73" s="72" t="n">
        <x:v>46240.920752314814</x:v>
      </x:c>
      <x:c r="B73" s="32" t="str">
        <x:v>水位</x:v>
      </x:c>
      <x:c r="C73" s="32" t="str">
        <x:v>W0</x:v>
      </x:c>
      <x:c r="D73" s="32" t="str">
        <x:v>V2</x:v>
      </x:c>
      <x:c r="E73" s="86" t="n">
        <x:f>COUNT('10_W0_水位'!C39,'10_W0_水位'!E39,'10_W0_水位'!G39,'10_W0_水位'!I39)</x:f>
        <x:v>4</x:v>
      </x:c>
      <x:c r="F73" s="90" t="n">
        <x:f>IF(E73=0,"",AVERAGE('10_W0_水位'!C39,'10_W0_水位'!E39,'10_W0_水位'!G39,'10_W0_水位'!I39))</x:f>
        <x:v>31</x:v>
      </x:c>
      <x:c r="G73" s="90" t="n">
        <x:f>IF(E73&lt;2,"",STDEV.S('10_W0_水位'!C39,'10_W0_水位'!E39,'10_W0_水位'!G39,'10_W0_水位'!I39))</x:f>
        <x:v>5.278257288158658</x:v>
      </x:c>
      <x:c r="H73" s="90" t="n">
        <x:f>IF(E73=0,"",MIN('10_W0_水位'!C39,'10_W0_水位'!E39,'10_W0_水位'!G39,'10_W0_水位'!I39))</x:f>
        <x:v>24.5</x:v>
      </x:c>
      <x:c r="I73" s="90" t="n">
        <x:f>IF(E73=0,"",MAX('10_W0_水位'!C39,'10_W0_水位'!E39,'10_W0_水位'!G39,'10_W0_水位'!I39))</x:f>
        <x:v>37.3</x:v>
      </x:c>
      <x:c r="J73" s="32" t="str">
        <x:v>mm</x:v>
      </x:c>
    </x:row>
    <x:row r="74">
      <x:c r="A74" s="72" t="n">
        <x:v>46240.92422453704</x:v>
      </x:c>
      <x:c r="B74" s="32" t="str">
        <x:v>水位</x:v>
      </x:c>
      <x:c r="C74" s="32" t="str">
        <x:v>W0</x:v>
      </x:c>
      <x:c r="D74" s="32" t="str">
        <x:v>V1</x:v>
      </x:c>
      <x:c r="E74" s="86" t="n">
        <x:f>COUNT('10_W0_水位'!B40,'10_W0_水位'!D40,'10_W0_水位'!F40,'10_W0_水位'!H40)</x:f>
        <x:v>4</x:v>
      </x:c>
      <x:c r="F74" s="90" t="n">
        <x:f>IF(E74=0,"",AVERAGE('10_W0_水位'!B40,'10_W0_水位'!D40,'10_W0_水位'!F40,'10_W0_水位'!H40))</x:f>
        <x:v>33.85</x:v>
      </x:c>
      <x:c r="G74" s="90" t="n">
        <x:f>IF(E74&lt;2,"",STDEV.S('10_W0_水位'!B40,'10_W0_水位'!D40,'10_W0_水位'!F40,'10_W0_水位'!H40))</x:f>
        <x:v>5.544065896674268</x:v>
      </x:c>
      <x:c r="H74" s="90" t="n">
        <x:f>IF(E74=0,"",MIN('10_W0_水位'!B40,'10_W0_水位'!D40,'10_W0_水位'!F40,'10_W0_水位'!H40))</x:f>
        <x:v>29.2</x:v>
      </x:c>
      <x:c r="I74" s="90" t="n">
        <x:f>IF(E74=0,"",MAX('10_W0_水位'!B40,'10_W0_水位'!D40,'10_W0_水位'!F40,'10_W0_水位'!H40))</x:f>
        <x:v>41.9</x:v>
      </x:c>
      <x:c r="J74" s="32" t="str">
        <x:v>mm</x:v>
      </x:c>
    </x:row>
    <x:row r="75">
      <x:c r="A75" s="72" t="n">
        <x:v>46240.92422453704</x:v>
      </x:c>
      <x:c r="B75" s="32" t="str">
        <x:v>水位</x:v>
      </x:c>
      <x:c r="C75" s="32" t="str">
        <x:v>W0</x:v>
      </x:c>
      <x:c r="D75" s="32" t="str">
        <x:v>V2</x:v>
      </x:c>
      <x:c r="E75" s="86" t="n">
        <x:f>COUNT('10_W0_水位'!C40,'10_W0_水位'!E40,'10_W0_水位'!G40,'10_W0_水位'!I40)</x:f>
        <x:v>4</x:v>
      </x:c>
      <x:c r="F75" s="90" t="n">
        <x:f>IF(E75=0,"",AVERAGE('10_W0_水位'!C40,'10_W0_水位'!E40,'10_W0_水位'!G40,'10_W0_水位'!I40))</x:f>
        <x:v>30.924999999999997</x:v>
      </x:c>
      <x:c r="G75" s="90" t="n">
        <x:f>IF(E75&lt;2,"",STDEV.S('10_W0_水位'!C40,'10_W0_水位'!E40,'10_W0_水位'!G40,'10_W0_水位'!I40))</x:f>
        <x:v>5.289218593831543</x:v>
      </x:c>
      <x:c r="H75" s="90" t="n">
        <x:f>IF(E75=0,"",MIN('10_W0_水位'!C40,'10_W0_水位'!E40,'10_W0_水位'!G40,'10_W0_水位'!I40))</x:f>
        <x:v>23.7</x:v>
      </x:c>
      <x:c r="I75" s="90" t="n">
        <x:f>IF(E75=0,"",MAX('10_W0_水位'!C40,'10_W0_水位'!E40,'10_W0_水位'!G40,'10_W0_水位'!I40))</x:f>
        <x:v>36.3</x:v>
      </x:c>
      <x:c r="J75" s="32" t="str">
        <x:v>mm</x:v>
      </x:c>
    </x:row>
    <x:row r="76">
      <x:c r="A76" s="72" t="n">
        <x:v>46240.92769675926</x:v>
      </x:c>
      <x:c r="B76" s="32" t="str">
        <x:v>水位</x:v>
      </x:c>
      <x:c r="C76" s="32" t="str">
        <x:v>W0</x:v>
      </x:c>
      <x:c r="D76" s="32" t="str">
        <x:v>V1</x:v>
      </x:c>
      <x:c r="E76" s="86" t="n">
        <x:f>COUNT('10_W0_水位'!B41,'10_W0_水位'!D41,'10_W0_水位'!F41,'10_W0_水位'!H41)</x:f>
        <x:v>4</x:v>
      </x:c>
      <x:c r="F76" s="90" t="n">
        <x:f>IF(E76=0,"",AVERAGE('10_W0_水位'!B41,'10_W0_水位'!D41,'10_W0_水位'!F41,'10_W0_水位'!H41))</x:f>
        <x:v>33.825</x:v>
      </x:c>
      <x:c r="G76" s="90" t="n">
        <x:f>IF(E76&lt;2,"",STDEV.S('10_W0_水位'!B41,'10_W0_水位'!D41,'10_W0_水位'!F41,'10_W0_水位'!H41))</x:f>
        <x:v>5.4883968515405295</x:v>
      </x:c>
      <x:c r="H76" s="90" t="n">
        <x:f>IF(E76=0,"",MIN('10_W0_水位'!B41,'10_W0_水位'!D41,'10_W0_水位'!F41,'10_W0_水位'!H41))</x:f>
        <x:v>30.5</x:v>
      </x:c>
      <x:c r="I76" s="90" t="n">
        <x:f>IF(E76=0,"",MAX('10_W0_水位'!B41,'10_W0_水位'!D41,'10_W0_水位'!F41,'10_W0_水位'!H41))</x:f>
        <x:v>42</x:v>
      </x:c>
      <x:c r="J76" s="32" t="str">
        <x:v>mm</x:v>
      </x:c>
    </x:row>
    <x:row r="77">
      <x:c r="A77" s="72" t="n">
        <x:v>46240.92769675926</x:v>
      </x:c>
      <x:c r="B77" s="32" t="str">
        <x:v>水位</x:v>
      </x:c>
      <x:c r="C77" s="32" t="str">
        <x:v>W0</x:v>
      </x:c>
      <x:c r="D77" s="32" t="str">
        <x:v>V2</x:v>
      </x:c>
      <x:c r="E77" s="86" t="n">
        <x:f>COUNT('10_W0_水位'!C41,'10_W0_水位'!E41,'10_W0_水位'!G41,'10_W0_水位'!I41)</x:f>
        <x:v>4</x:v>
      </x:c>
      <x:c r="F77" s="90" t="n">
        <x:f>IF(E77=0,"",AVERAGE('10_W0_水位'!C41,'10_W0_水位'!E41,'10_W0_水位'!G41,'10_W0_水位'!I41))</x:f>
        <x:v>30.85</x:v>
      </x:c>
      <x:c r="G77" s="90" t="n">
        <x:f>IF(E77&lt;2,"",STDEV.S('10_W0_水位'!C41,'10_W0_水位'!E41,'10_W0_水位'!G41,'10_W0_水位'!I41))</x:f>
        <x:v>5.247539105777743</x:v>
      </x:c>
      <x:c r="H77" s="90" t="n">
        <x:f>IF(E77=0,"",MIN('10_W0_水位'!C41,'10_W0_水位'!E41,'10_W0_水位'!G41,'10_W0_水位'!I41))</x:f>
        <x:v>23.2</x:v>
      </x:c>
      <x:c r="I77" s="90" t="n">
        <x:f>IF(E77=0,"",MAX('10_W0_水位'!C41,'10_W0_水位'!E41,'10_W0_水位'!G41,'10_W0_水位'!I41))</x:f>
        <x:v>35.1</x:v>
      </x:c>
      <x:c r="J77" s="32" t="str">
        <x:v>mm</x:v>
      </x:c>
    </x:row>
    <x:row r="78">
      <x:c r="A78" s="72" t="n">
        <x:v>46240.93116898148</x:v>
      </x:c>
      <x:c r="B78" s="32" t="str">
        <x:v>水位</x:v>
      </x:c>
      <x:c r="C78" s="32" t="str">
        <x:v>W0</x:v>
      </x:c>
      <x:c r="D78" s="32" t="str">
        <x:v>V1</x:v>
      </x:c>
      <x:c r="E78" s="86" t="n">
        <x:f>COUNT('10_W0_水位'!B42,'10_W0_水位'!D42,'10_W0_水位'!F42,'10_W0_水位'!H42)</x:f>
        <x:v>4</x:v>
      </x:c>
      <x:c r="F78" s="90" t="n">
        <x:f>IF(E78=0,"",AVERAGE('10_W0_水位'!B42,'10_W0_水位'!D42,'10_W0_水位'!F42,'10_W0_水位'!H42))</x:f>
        <x:v>33.775000000000006</x:v>
      </x:c>
      <x:c r="G78" s="90" t="n">
        <x:f>IF(E78&lt;2,"",STDEV.S('10_W0_水位'!B42,'10_W0_水位'!D42,'10_W0_水位'!F42,'10_W0_水位'!H42))</x:f>
        <x:v>5.395908944129186</x:v>
      </x:c>
      <x:c r="H78" s="90" t="n">
        <x:f>IF(E78=0,"",MIN('10_W0_水位'!B42,'10_W0_水位'!D42,'10_W0_水位'!F42,'10_W0_水位'!H42))</x:f>
        <x:v>29.6</x:v>
      </x:c>
      <x:c r="I78" s="90" t="n">
        <x:f>IF(E78=0,"",MAX('10_W0_水位'!B42,'10_W0_水位'!D42,'10_W0_水位'!F42,'10_W0_水位'!H42))</x:f>
        <x:v>41.7</x:v>
      </x:c>
      <x:c r="J78" s="32" t="str">
        <x:v>mm</x:v>
      </x:c>
    </x:row>
    <x:row r="79">
      <x:c r="A79" s="72" t="n">
        <x:v>46240.93116898148</x:v>
      </x:c>
      <x:c r="B79" s="32" t="str">
        <x:v>水位</x:v>
      </x:c>
      <x:c r="C79" s="32" t="str">
        <x:v>W0</x:v>
      </x:c>
      <x:c r="D79" s="32" t="str">
        <x:v>V2</x:v>
      </x:c>
      <x:c r="E79" s="86" t="n">
        <x:f>COUNT('10_W0_水位'!C42,'10_W0_水位'!E42,'10_W0_水位'!G42,'10_W0_水位'!I42)</x:f>
        <x:v>4</x:v>
      </x:c>
      <x:c r="F79" s="90" t="n">
        <x:f>IF(E79=0,"",AVERAGE('10_W0_水位'!C42,'10_W0_水位'!E42,'10_W0_水位'!G42,'10_W0_水位'!I42))</x:f>
        <x:v>30.825</x:v>
      </x:c>
      <x:c r="G79" s="90" t="n">
        <x:f>IF(E79&lt;2,"",STDEV.S('10_W0_水位'!C42,'10_W0_水位'!E42,'10_W0_水位'!G42,'10_W0_水位'!I42))</x:f>
        <x:v>5.227092882281698</x:v>
      </x:c>
      <x:c r="H79" s="90" t="n">
        <x:f>IF(E79=0,"",MIN('10_W0_水位'!C42,'10_W0_水位'!E42,'10_W0_水位'!G42,'10_W0_水位'!I42))</x:f>
        <x:v>23</x:v>
      </x:c>
      <x:c r="I79" s="90" t="n">
        <x:f>IF(E79=0,"",MAX('10_W0_水位'!C42,'10_W0_水位'!E42,'10_W0_水位'!G42,'10_W0_水位'!I42))</x:f>
        <x:v>33.8</x:v>
      </x:c>
      <x:c r="J79" s="32" t="str">
        <x:v>mm</x:v>
      </x:c>
    </x:row>
    <x:row r="80">
      <x:c r="A80" s="72" t="n">
        <x:v>46240.934641203705</x:v>
      </x:c>
      <x:c r="B80" s="32" t="str">
        <x:v>水位</x:v>
      </x:c>
      <x:c r="C80" s="32" t="str">
        <x:v>W0</x:v>
      </x:c>
      <x:c r="D80" s="32" t="str">
        <x:v>V1</x:v>
      </x:c>
      <x:c r="E80" s="86" t="n">
        <x:f>COUNT('10_W0_水位'!B43,'10_W0_水位'!D43,'10_W0_水位'!F43,'10_W0_水位'!H43)</x:f>
        <x:v>4</x:v>
      </x:c>
      <x:c r="F80" s="90" t="n">
        <x:f>IF(E80=0,"",AVERAGE('10_W0_水位'!B43,'10_W0_水位'!D43,'10_W0_水位'!F43,'10_W0_水位'!H43))</x:f>
        <x:v>33.75</x:v>
      </x:c>
      <x:c r="G80" s="90" t="n">
        <x:f>IF(E80&lt;2,"",STDEV.S('10_W0_水位'!B43,'10_W0_水位'!D43,'10_W0_水位'!F43,'10_W0_水位'!H43))</x:f>
        <x:v>5.28740642155175</x:v>
      </x:c>
      <x:c r="H80" s="90" t="n">
        <x:f>IF(E80=0,"",MIN('10_W0_水位'!B43,'10_W0_水位'!D43,'10_W0_水位'!F43,'10_W0_水位'!H43))</x:f>
        <x:v>28.5</x:v>
      </x:c>
      <x:c r="I80" s="90" t="n">
        <x:f>IF(E80=0,"",MAX('10_W0_水位'!B43,'10_W0_水位'!D43,'10_W0_水位'!F43,'10_W0_水位'!H43))</x:f>
        <x:v>41.1</x:v>
      </x:c>
      <x:c r="J80" s="32" t="str">
        <x:v>mm</x:v>
      </x:c>
    </x:row>
    <x:row r="81">
      <x:c r="A81" s="72" t="n">
        <x:v>46240.934641203705</x:v>
      </x:c>
      <x:c r="B81" s="32" t="str">
        <x:v>水位</x:v>
      </x:c>
      <x:c r="C81" s="32" t="str">
        <x:v>W0</x:v>
      </x:c>
      <x:c r="D81" s="32" t="str">
        <x:v>V2</x:v>
      </x:c>
      <x:c r="E81" s="86" t="n">
        <x:f>COUNT('10_W0_水位'!C43,'10_W0_水位'!E43,'10_W0_水位'!G43,'10_W0_水位'!I43)</x:f>
        <x:v>4</x:v>
      </x:c>
      <x:c r="F81" s="90" t="n">
        <x:f>IF(E81=0,"",AVERAGE('10_W0_水位'!C43,'10_W0_水位'!E43,'10_W0_水位'!G43,'10_W0_水位'!I43))</x:f>
        <x:v>30.775000000000002</x:v>
      </x:c>
      <x:c r="G81" s="90" t="n">
        <x:f>IF(E81&lt;2,"",STDEV.S('10_W0_水位'!C43,'10_W0_水位'!E43,'10_W0_水位'!G43,'10_W0_水位'!I43))</x:f>
        <x:v>5.207286561476461</x:v>
      </x:c>
      <x:c r="H81" s="90" t="n">
        <x:f>IF(E81=0,"",MIN('10_W0_水位'!C43,'10_W0_水位'!E43,'10_W0_水位'!G43,'10_W0_水位'!I43))</x:f>
        <x:v>23.1</x:v>
      </x:c>
      <x:c r="I81" s="90" t="n">
        <x:f>IF(E81=0,"",MAX('10_W0_水位'!C43,'10_W0_水位'!E43,'10_W0_水位'!G43,'10_W0_水位'!I43))</x:f>
        <x:v>34.7</x:v>
      </x:c>
      <x:c r="J81" s="32" t="str">
        <x:v>mm</x:v>
      </x:c>
    </x:row>
    <x:row r="82">
      <x:c r="A82" s="72" t="n">
        <x:v>46240.938113425924</x:v>
      </x:c>
      <x:c r="B82" s="32" t="str">
        <x:v>水位</x:v>
      </x:c>
      <x:c r="C82" s="32" t="str">
        <x:v>W0</x:v>
      </x:c>
      <x:c r="D82" s="32" t="str">
        <x:v>V1</x:v>
      </x:c>
      <x:c r="E82" s="86" t="n">
        <x:f>COUNT('10_W0_水位'!B44,'10_W0_水位'!D44,'10_W0_水位'!F44,'10_W0_水位'!H44)</x:f>
        <x:v>4</x:v>
      </x:c>
      <x:c r="F82" s="90" t="n">
        <x:f>IF(E82=0,"",AVERAGE('10_W0_水位'!B44,'10_W0_水位'!D44,'10_W0_水位'!F44,'10_W0_水位'!H44))</x:f>
        <x:v>33.75</x:v>
      </x:c>
      <x:c r="G82" s="90" t="n">
        <x:f>IF(E82&lt;2,"",STDEV.S('10_W0_水位'!B44,'10_W0_水位'!D44,'10_W0_水位'!F44,'10_W0_水位'!H44))</x:f>
        <x:v>5.238638499966696</x:v>
      </x:c>
      <x:c r="H82" s="90" t="n">
        <x:f>IF(E82=0,"",MIN('10_W0_水位'!B44,'10_W0_水位'!D44,'10_W0_水位'!F44,'10_W0_水位'!H44))</x:f>
        <x:v>27.5</x:v>
      </x:c>
      <x:c r="I82" s="90" t="n">
        <x:f>IF(E82=0,"",MAX('10_W0_水位'!B44,'10_W0_水位'!D44,'10_W0_水位'!F44,'10_W0_水位'!H44))</x:f>
        <x:v>40.3</x:v>
      </x:c>
      <x:c r="J82" s="32" t="str">
        <x:v>mm</x:v>
      </x:c>
    </x:row>
    <x:row r="83">
      <x:c r="A83" s="72" t="n">
        <x:v>46240.938113425924</x:v>
      </x:c>
      <x:c r="B83" s="32" t="str">
        <x:v>水位</x:v>
      </x:c>
      <x:c r="C83" s="32" t="str">
        <x:v>W0</x:v>
      </x:c>
      <x:c r="D83" s="32" t="str">
        <x:v>V2</x:v>
      </x:c>
      <x:c r="E83" s="86" t="n">
        <x:f>COUNT('10_W0_水位'!C44,'10_W0_水位'!E44,'10_W0_水位'!G44,'10_W0_水位'!I44)</x:f>
        <x:v>4</x:v>
      </x:c>
      <x:c r="F83" s="90" t="n">
        <x:f>IF(E83=0,"",AVERAGE('10_W0_水位'!C44,'10_W0_水位'!E44,'10_W0_水位'!G44,'10_W0_水位'!I44))</x:f>
        <x:v>30.75</x:v>
      </x:c>
      <x:c r="G83" s="90" t="n">
        <x:f>IF(E83&lt;2,"",STDEV.S('10_W0_水位'!C44,'10_W0_水位'!E44,'10_W0_水位'!G44,'10_W0_水位'!I44))</x:f>
        <x:v>5.211205874523349</x:v>
      </x:c>
      <x:c r="H83" s="90" t="n">
        <x:f>IF(E83=0,"",MIN('10_W0_水位'!C44,'10_W0_水位'!E44,'10_W0_水位'!G44,'10_W0_水位'!I44))</x:f>
        <x:v>23.5</x:v>
      </x:c>
      <x:c r="I83" s="90" t="n">
        <x:f>IF(E83=0,"",MAX('10_W0_水位'!C44,'10_W0_水位'!E44,'10_W0_水位'!G44,'10_W0_水位'!I44))</x:f>
        <x:v>35.9</x:v>
      </x:c>
      <x:c r="J83" s="32" t="str">
        <x:v>mm</x:v>
      </x:c>
    </x:row>
    <x:row r="84">
      <x:c r="A84" s="72" t="n">
        <x:v>46240.94158564815</x:v>
      </x:c>
      <x:c r="B84" s="32" t="str">
        <x:v>水位</x:v>
      </x:c>
      <x:c r="C84" s="32" t="str">
        <x:v>W0</x:v>
      </x:c>
      <x:c r="D84" s="32" t="str">
        <x:v>V1</x:v>
      </x:c>
      <x:c r="E84" s="86" t="n">
        <x:f>COUNT('10_W0_水位'!B45,'10_W0_水位'!D45,'10_W0_水位'!F45,'10_W0_水位'!H45)</x:f>
        <x:v>4</x:v>
      </x:c>
      <x:c r="F84" s="90" t="n">
        <x:f>IF(E84=0,"",AVERAGE('10_W0_水位'!B45,'10_W0_水位'!D45,'10_W0_水位'!F45,'10_W0_水位'!H45))</x:f>
        <x:v>33.75</x:v>
      </x:c>
      <x:c r="G84" s="90" t="n">
        <x:f>IF(E84&lt;2,"",STDEV.S('10_W0_水位'!B45,'10_W0_水位'!D45,'10_W0_水位'!F45,'10_W0_水位'!H45))</x:f>
        <x:v>5.226534862283677</x:v>
      </x:c>
      <x:c r="H84" s="90" t="n">
        <x:f>IF(E84=0,"",MIN('10_W0_水位'!B45,'10_W0_水位'!D45,'10_W0_水位'!F45,'10_W0_水位'!H45))</x:f>
        <x:v>26.7</x:v>
      </x:c>
      <x:c r="I84" s="90" t="n">
        <x:f>IF(E84=0,"",MAX('10_W0_水位'!B45,'10_W0_水位'!D45,'10_W0_水位'!F45,'10_W0_水位'!H45))</x:f>
        <x:v>39.3</x:v>
      </x:c>
      <x:c r="J84" s="32" t="str">
        <x:v>mm</x:v>
      </x:c>
    </x:row>
    <x:row r="85">
      <x:c r="A85" s="72" t="n">
        <x:v>46240.94158564815</x:v>
      </x:c>
      <x:c r="B85" s="32" t="str">
        <x:v>水位</x:v>
      </x:c>
      <x:c r="C85" s="32" t="str">
        <x:v>W0</x:v>
      </x:c>
      <x:c r="D85" s="32" t="str">
        <x:v>V2</x:v>
      </x:c>
      <x:c r="E85" s="86" t="n">
        <x:f>COUNT('10_W0_水位'!C45,'10_W0_水位'!E45,'10_W0_水位'!G45,'10_W0_水位'!I45)</x:f>
        <x:v>4</x:v>
      </x:c>
      <x:c r="F85" s="90" t="n">
        <x:f>IF(E85=0,"",AVERAGE('10_W0_水位'!C45,'10_W0_水位'!E45,'10_W0_水位'!G45,'10_W0_水位'!I45))</x:f>
        <x:v>30.75</x:v>
      </x:c>
      <x:c r="G85" s="90" t="n">
        <x:f>IF(E85&lt;2,"",STDEV.S('10_W0_水位'!C45,'10_W0_水位'!E45,'10_W0_水位'!G45,'10_W0_水位'!I45))</x:f>
        <x:v>5.238638499966697</x:v>
      </x:c>
      <x:c r="H85" s="90" t="n">
        <x:f>IF(E85=0,"",MIN('10_W0_水位'!C45,'10_W0_水位'!E45,'10_W0_水位'!G45,'10_W0_水位'!I45))</x:f>
        <x:v>24.2</x:v>
      </x:c>
      <x:c r="I85" s="90" t="n">
        <x:f>IF(E85=0,"",MAX('10_W0_水位'!C45,'10_W0_水位'!E45,'10_W0_水位'!G45,'10_W0_水位'!I45))</x:f>
        <x:v>37</x:v>
      </x:c>
      <x:c r="J85" s="32" t="str">
        <x:v>mm</x:v>
      </x:c>
    </x:row>
    <x:row r="86">
      <x:c r="A86" s="72" t="n">
        <x:v>46240.94505787037</x:v>
      </x:c>
      <x:c r="B86" s="32" t="str">
        <x:v>水位</x:v>
      </x:c>
      <x:c r="C86" s="32" t="str">
        <x:v>W0</x:v>
      </x:c>
      <x:c r="D86" s="32" t="str">
        <x:v>V1</x:v>
      </x:c>
      <x:c r="E86" s="86" t="n">
        <x:f>COUNT('10_W0_水位'!B46,'10_W0_水位'!D46,'10_W0_水位'!F46,'10_W0_水位'!H46)</x:f>
        <x:v>4</x:v>
      </x:c>
      <x:c r="F86" s="90" t="n">
        <x:f>IF(E86=0,"",AVERAGE('10_W0_水位'!B46,'10_W0_水位'!D46,'10_W0_水位'!F46,'10_W0_水位'!H46))</x:f>
        <x:v>33.75</x:v>
      </x:c>
      <x:c r="G86" s="90" t="n">
        <x:f>IF(E86&lt;2,"",STDEV.S('10_W0_水位'!B46,'10_W0_水位'!D46,'10_W0_水位'!F46,'10_W0_水位'!H46))</x:f>
        <x:v>5.199038372622384</x:v>
      </x:c>
      <x:c r="H86" s="90" t="n">
        <x:f>IF(E86=0,"",MIN('10_W0_水位'!B46,'10_W0_水位'!D46,'10_W0_水位'!F46,'10_W0_水位'!H46))</x:f>
        <x:v>26.2</x:v>
      </x:c>
      <x:c r="I86" s="90" t="n">
        <x:f>IF(E86=0,"",MAX('10_W0_水位'!B46,'10_W0_水位'!D46,'10_W0_水位'!F46,'10_W0_水位'!H46))</x:f>
        <x:v>38.1</x:v>
      </x:c>
      <x:c r="J86" s="32" t="str">
        <x:v>mm</x:v>
      </x:c>
    </x:row>
    <x:row r="87">
      <x:c r="A87" s="72" t="n">
        <x:v>46240.94505787037</x:v>
      </x:c>
      <x:c r="B87" s="32" t="str">
        <x:v>水位</x:v>
      </x:c>
      <x:c r="C87" s="32" t="str">
        <x:v>W0</x:v>
      </x:c>
      <x:c r="D87" s="32" t="str">
        <x:v>V2</x:v>
      </x:c>
      <x:c r="E87" s="86" t="n">
        <x:f>COUNT('10_W0_水位'!C46,'10_W0_水位'!E46,'10_W0_水位'!G46,'10_W0_水位'!I46)</x:f>
        <x:v>4</x:v>
      </x:c>
      <x:c r="F87" s="90" t="n">
        <x:f>IF(E87=0,"",AVERAGE('10_W0_水位'!C46,'10_W0_水位'!E46,'10_W0_水位'!G46,'10_W0_水位'!I46))</x:f>
        <x:v>30.75</x:v>
      </x:c>
      <x:c r="G87" s="90" t="n">
        <x:f>IF(E87&lt;2,"",STDEV.S('10_W0_水位'!C46,'10_W0_水位'!E46,'10_W0_水位'!G46,'10_W0_水位'!I46))</x:f>
        <x:v>5.302515126491074</x:v>
      </x:c>
      <x:c r="H87" s="90" t="n">
        <x:f>IF(E87=0,"",MIN('10_W0_水位'!C46,'10_W0_水位'!E46,'10_W0_水位'!G46,'10_W0_水位'!I46))</x:f>
        <x:v>25.1</x:v>
      </x:c>
      <x:c r="I87" s="90" t="n">
        <x:f>IF(E87=0,"",MAX('10_W0_水位'!C46,'10_W0_水位'!E46,'10_W0_水位'!G46,'10_W0_水位'!I46))</x:f>
        <x:v>37.9</x:v>
      </x:c>
      <x:c r="J87" s="32" t="str">
        <x:v>mm</x:v>
      </x:c>
    </x:row>
    <x:row r="88">
      <x:c r="A88" s="72" t="n">
        <x:v>46240.948530092595</x:v>
      </x:c>
      <x:c r="B88" s="32" t="str">
        <x:v>水位</x:v>
      </x:c>
      <x:c r="C88" s="32" t="str">
        <x:v>W0</x:v>
      </x:c>
      <x:c r="D88" s="32" t="str">
        <x:v>V1</x:v>
      </x:c>
      <x:c r="E88" s="86" t="n">
        <x:f>COUNT('10_W0_水位'!B47,'10_W0_水位'!D47,'10_W0_水位'!F47,'10_W0_水位'!H47)</x:f>
        <x:v>4</x:v>
      </x:c>
      <x:c r="F88" s="90" t="n">
        <x:f>IF(E88=0,"",AVERAGE('10_W0_水位'!B47,'10_W0_水位'!D47,'10_W0_水位'!F47,'10_W0_水位'!H47))</x:f>
        <x:v>33.8</x:v>
      </x:c>
      <x:c r="G88" s="90" t="n">
        <x:f>IF(E88&lt;2,"",STDEV.S('10_W0_水位'!B47,'10_W0_水位'!D47,'10_W0_水位'!F47,'10_W0_水位'!H47))</x:f>
        <x:v>5.21344415909483</x:v>
      </x:c>
      <x:c r="H88" s="90" t="n">
        <x:f>IF(E88=0,"",MIN('10_W0_水位'!B47,'10_W0_水位'!D47,'10_W0_水位'!F47,'10_W0_水位'!H47))</x:f>
        <x:v>26</x:v>
      </x:c>
      <x:c r="I88" s="90" t="n">
        <x:f>IF(E88=0,"",MAX('10_W0_水位'!B47,'10_W0_水位'!D47,'10_W0_水位'!F47,'10_W0_水位'!H47))</x:f>
        <x:v>36.8</x:v>
      </x:c>
      <x:c r="J88" s="32" t="str">
        <x:v>mm</x:v>
      </x:c>
    </x:row>
    <x:row r="89">
      <x:c r="A89" s="72" t="n">
        <x:v>46240.948530092595</x:v>
      </x:c>
      <x:c r="B89" s="32" t="str">
        <x:v>水位</x:v>
      </x:c>
      <x:c r="C89" s="32" t="str">
        <x:v>W0</x:v>
      </x:c>
      <x:c r="D89" s="32" t="str">
        <x:v>V2</x:v>
      </x:c>
      <x:c r="E89" s="86" t="n">
        <x:f>COUNT('10_W0_水位'!C47,'10_W0_水位'!E47,'10_W0_水位'!G47,'10_W0_水位'!I47)</x:f>
        <x:v>4</x:v>
      </x:c>
      <x:c r="F89" s="90" t="n">
        <x:f>IF(E89=0,"",AVERAGE('10_W0_水位'!C47,'10_W0_水位'!E47,'10_W0_水位'!G47,'10_W0_水位'!I47))</x:f>
        <x:v>30.75</x:v>
      </x:c>
      <x:c r="G89" s="90" t="n">
        <x:f>IF(E89&lt;2,"",STDEV.S('10_W0_水位'!C47,'10_W0_水位'!E47,'10_W0_水位'!G47,'10_W0_水位'!I47))</x:f>
        <x:v>5.350700888668699</x:v>
      </x:c>
      <x:c r="H89" s="90" t="n">
        <x:f>IF(E89=0,"",MIN('10_W0_水位'!C47,'10_W0_水位'!E47,'10_W0_水位'!G47,'10_W0_水位'!I47))</x:f>
        <x:v>26.2</x:v>
      </x:c>
      <x:c r="I89" s="90" t="n">
        <x:f>IF(E89=0,"",MAX('10_W0_水位'!C47,'10_W0_水位'!E47,'10_W0_水位'!G47,'10_W0_水位'!I47))</x:f>
        <x:v>38.5</x:v>
      </x:c>
      <x:c r="J89" s="32" t="str">
        <x:v>mm</x:v>
      </x:c>
    </x:row>
    <x:row r="90">
      <x:c r="A90" s="72" t="n">
        <x:v>46240.952002314814</x:v>
      </x:c>
      <x:c r="B90" s="32" t="str">
        <x:v>水位</x:v>
      </x:c>
      <x:c r="C90" s="32" t="str">
        <x:v>W0</x:v>
      </x:c>
      <x:c r="D90" s="32" t="str">
        <x:v>V1</x:v>
      </x:c>
      <x:c r="E90" s="86" t="n">
        <x:f>COUNT('10_W0_水位'!B48,'10_W0_水位'!D48,'10_W0_水位'!F48,'10_W0_水位'!H48)</x:f>
        <x:v>4</x:v>
      </x:c>
      <x:c r="F90" s="90" t="n">
        <x:f>IF(E90=0,"",AVERAGE('10_W0_水位'!B48,'10_W0_水位'!D48,'10_W0_水位'!F48,'10_W0_水位'!H48))</x:f>
        <x:v>33.85</x:v>
      </x:c>
      <x:c r="G90" s="90" t="n">
        <x:f>IF(E90&lt;2,"",STDEV.S('10_W0_水位'!B48,'10_W0_水位'!D48,'10_W0_水位'!F48,'10_W0_水位'!H48))</x:f>
        <x:v>5.246268515176605</x:v>
      </x:c>
      <x:c r="H90" s="90" t="n">
        <x:f>IF(E90=0,"",MIN('10_W0_水位'!B48,'10_W0_水位'!D48,'10_W0_水位'!F48,'10_W0_水位'!H48))</x:f>
        <x:v>26.1</x:v>
      </x:c>
      <x:c r="I90" s="90" t="n">
        <x:f>IF(E90=0,"",MAX('10_W0_水位'!B48,'10_W0_水位'!D48,'10_W0_水位'!F48,'10_W0_水位'!H48))</x:f>
        <x:v>37.7</x:v>
      </x:c>
      <x:c r="J90" s="32" t="str">
        <x:v>mm</x:v>
      </x:c>
    </x:row>
    <x:row r="91">
      <x:c r="A91" s="72" t="n">
        <x:v>46240.952002314814</x:v>
      </x:c>
      <x:c r="B91" s="32" t="str">
        <x:v>水位</x:v>
      </x:c>
      <x:c r="C91" s="32" t="str">
        <x:v>W0</x:v>
      </x:c>
      <x:c r="D91" s="32" t="str">
        <x:v>V2</x:v>
      </x:c>
      <x:c r="E91" s="86" t="n">
        <x:f>COUNT('10_W0_水位'!C48,'10_W0_水位'!E48,'10_W0_水位'!G48,'10_W0_水位'!I48)</x:f>
        <x:v>4</x:v>
      </x:c>
      <x:c r="F91" s="90" t="n">
        <x:f>IF(E91=0,"",AVERAGE('10_W0_水位'!C48,'10_W0_水位'!E48,'10_W0_水位'!G48,'10_W0_水位'!I48))</x:f>
        <x:v>30.8</x:v>
      </x:c>
      <x:c r="G91" s="90" t="n">
        <x:f>IF(E91&lt;2,"",STDEV.S('10_W0_水位'!C48,'10_W0_水位'!E48,'10_W0_水位'!G48,'10_W0_水位'!I48))</x:f>
        <x:v>5.438749856354859</x:v>
      </x:c>
      <x:c r="H91" s="90" t="n">
        <x:f>IF(E91=0,"",MIN('10_W0_水位'!C48,'10_W0_水位'!E48,'10_W0_水位'!G48,'10_W0_水位'!I48))</x:f>
        <x:v>27.5</x:v>
      </x:c>
      <x:c r="I91" s="90" t="n">
        <x:f>IF(E91=0,"",MAX('10_W0_水位'!C48,'10_W0_水位'!E48,'10_W0_水位'!G48,'10_W0_水位'!I48))</x:f>
        <x:v>38.9</x:v>
      </x:c>
      <x:c r="J91" s="32" t="str">
        <x:v>mm</x:v>
      </x:c>
    </x:row>
    <x:row r="92">
      <x:c r="A92" s="72" t="n">
        <x:v>46240.95547453704</x:v>
      </x:c>
      <x:c r="B92" s="32" t="str">
        <x:v>水位</x:v>
      </x:c>
      <x:c r="C92" s="32" t="str">
        <x:v>W0</x:v>
      </x:c>
      <x:c r="D92" s="32" t="str">
        <x:v>V1</x:v>
      </x:c>
      <x:c r="E92" s="86" t="n">
        <x:f>COUNT('10_W0_水位'!B49,'10_W0_水位'!D49,'10_W0_水位'!F49,'10_W0_水位'!H49)</x:f>
        <x:v>4</x:v>
      </x:c>
      <x:c r="F92" s="90" t="n">
        <x:f>IF(E92=0,"",AVERAGE('10_W0_水位'!B49,'10_W0_水位'!D49,'10_W0_水位'!F49,'10_W0_水位'!H49))</x:f>
        <x:v>33.9</x:v>
      </x:c>
      <x:c r="G92" s="90" t="n">
        <x:f>IF(E92&lt;2,"",STDEV.S('10_W0_水位'!B49,'10_W0_水位'!D49,'10_W0_水位'!F49,'10_W0_水位'!H49))</x:f>
        <x:v>5.271305973538879</x:v>
      </x:c>
      <x:c r="H92" s="90" t="n">
        <x:f>IF(E92=0,"",MIN('10_W0_水位'!B49,'10_W0_水位'!D49,'10_W0_水位'!F49,'10_W0_水位'!H49))</x:f>
        <x:v>26.5</x:v>
      </x:c>
      <x:c r="I92" s="90" t="n">
        <x:f>IF(E92=0,"",MAX('10_W0_水位'!B49,'10_W0_水位'!D49,'10_W0_水位'!F49,'10_W0_水位'!H49))</x:f>
        <x:v>38.9</x:v>
      </x:c>
      <x:c r="J92" s="32" t="str">
        <x:v>mm</x:v>
      </x:c>
    </x:row>
    <x:row r="93">
      <x:c r="A93" s="72" t="n">
        <x:v>46240.95547453704</x:v>
      </x:c>
      <x:c r="B93" s="32" t="str">
        <x:v>水位</x:v>
      </x:c>
      <x:c r="C93" s="32" t="str">
        <x:v>W0</x:v>
      </x:c>
      <x:c r="D93" s="32" t="str">
        <x:v>V2</x:v>
      </x:c>
      <x:c r="E93" s="86" t="n">
        <x:f>COUNT('10_W0_水位'!C49,'10_W0_水位'!E49,'10_W0_水位'!G49,'10_W0_水位'!I49)</x:f>
        <x:v>4</x:v>
      </x:c>
      <x:c r="F93" s="90" t="n">
        <x:f>IF(E93=0,"",AVERAGE('10_W0_水位'!C49,'10_W0_水位'!E49,'10_W0_水位'!G49,'10_W0_水位'!I49))</x:f>
        <x:v>30.85</x:v>
      </x:c>
      <x:c r="G93" s="90" t="n">
        <x:f>IF(E93&lt;2,"",STDEV.S('10_W0_水位'!C49,'10_W0_水位'!E49,'10_W0_水位'!G49,'10_W0_水位'!I49))</x:f>
        <x:v>5.542863279328954</x:v>
      </x:c>
      <x:c r="H93" s="90" t="n">
        <x:f>IF(E93=0,"",MIN('10_W0_水位'!C49,'10_W0_水位'!E49,'10_W0_水位'!G49,'10_W0_水位'!I49))</x:f>
        <x:v>26.6</x:v>
      </x:c>
      <x:c r="I93" s="90" t="n">
        <x:f>IF(E93=0,"",MAX('10_W0_水位'!C49,'10_W0_水位'!E49,'10_W0_水位'!G49,'10_W0_水位'!I49))</x:f>
        <x:v>39</x:v>
      </x:c>
      <x:c r="J93" s="32" t="str">
        <x:v>mm</x:v>
      </x:c>
    </x:row>
    <x:row r="94">
      <x:c r="A94" s="72" t="n">
        <x:v>46240.95894675926</x:v>
      </x:c>
      <x:c r="B94" s="32" t="str">
        <x:v>水位</x:v>
      </x:c>
      <x:c r="C94" s="32" t="str">
        <x:v>W0</x:v>
      </x:c>
      <x:c r="D94" s="32" t="str">
        <x:v>V1</x:v>
      </x:c>
      <x:c r="E94" s="86" t="n">
        <x:f>COUNT('10_W0_水位'!B50,'10_W0_水位'!D50,'10_W0_水位'!F50,'10_W0_水位'!H50)</x:f>
        <x:v>4</x:v>
      </x:c>
      <x:c r="F94" s="90" t="n">
        <x:f>IF(E94=0,"",AVERAGE('10_W0_水位'!B50,'10_W0_水位'!D50,'10_W0_水位'!F50,'10_W0_水位'!H50))</x:f>
        <x:v>33.975</x:v>
      </x:c>
      <x:c r="G94" s="90" t="n">
        <x:f>IF(E94&lt;2,"",STDEV.S('10_W0_水位'!B50,'10_W0_水位'!D50,'10_W0_水位'!F50,'10_W0_水位'!H50))</x:f>
        <x:v>5.289218593831545</x:v>
      </x:c>
      <x:c r="H94" s="90" t="n">
        <x:f>IF(E94=0,"",MIN('10_W0_水位'!B50,'10_W0_水位'!D50,'10_W0_水位'!F50,'10_W0_水位'!H50))</x:f>
        <x:v>27.2</x:v>
      </x:c>
      <x:c r="I94" s="90" t="n">
        <x:f>IF(E94=0,"",MAX('10_W0_水位'!B50,'10_W0_水位'!D50,'10_W0_水位'!F50,'10_W0_水位'!H50))</x:f>
        <x:v>40</x:v>
      </x:c>
      <x:c r="J94" s="32" t="str">
        <x:v>mm</x:v>
      </x:c>
    </x:row>
    <x:row r="95">
      <x:c r="A95" s="72" t="n">
        <x:v>46240.95894675926</x:v>
      </x:c>
      <x:c r="B95" s="32" t="str">
        <x:v>水位</x:v>
      </x:c>
      <x:c r="C95" s="32" t="str">
        <x:v>W0</x:v>
      </x:c>
      <x:c r="D95" s="32" t="str">
        <x:v>V2</x:v>
      </x:c>
      <x:c r="E95" s="86" t="n">
        <x:f>COUNT('10_W0_水位'!C50,'10_W0_水位'!E50,'10_W0_水位'!G50,'10_W0_水位'!I50)</x:f>
        <x:v>4</x:v>
      </x:c>
      <x:c r="F95" s="90" t="n">
        <x:f>IF(E95=0,"",AVERAGE('10_W0_水位'!C50,'10_W0_水位'!E50,'10_W0_水位'!G50,'10_W0_水位'!I50))</x:f>
        <x:v>30.9</x:v>
      </x:c>
      <x:c r="G95" s="90" t="n">
        <x:f>IF(E95&lt;2,"",STDEV.S('10_W0_水位'!C50,'10_W0_水位'!E50,'10_W0_水位'!G50,'10_W0_水位'!I50))</x:f>
        <x:v>5.566566865372829</x:v>
      </x:c>
      <x:c r="H95" s="90" t="n">
        <x:f>IF(E95=0,"",MIN('10_W0_水位'!C50,'10_W0_水位'!E50,'10_W0_水位'!G50,'10_W0_水位'!I50))</x:f>
        <x:v>25.5</x:v>
      </x:c>
      <x:c r="I95" s="90" t="n">
        <x:f>IF(E95=0,"",MAX('10_W0_水位'!C50,'10_W0_水位'!E50,'10_W0_水位'!G50,'10_W0_水位'!I50))</x:f>
        <x:v>38.7</x:v>
      </x:c>
      <x:c r="J95" s="32" t="str">
        <x:v>mm</x:v>
      </x:c>
    </x:row>
    <x:row r="96">
      <x:c r="A96" s="72" t="n">
        <x:v>46240.96241898148</x:v>
      </x:c>
      <x:c r="B96" s="32" t="str">
        <x:v>水位</x:v>
      </x:c>
      <x:c r="C96" s="32" t="str">
        <x:v>W0</x:v>
      </x:c>
      <x:c r="D96" s="32" t="str">
        <x:v>V1</x:v>
      </x:c>
      <x:c r="E96" s="86" t="n">
        <x:f>COUNT('10_W0_水位'!B51,'10_W0_水位'!D51,'10_W0_水位'!F51,'10_W0_水位'!H51)</x:f>
        <x:v>4</x:v>
      </x:c>
      <x:c r="F96" s="90" t="n">
        <x:f>IF(E96=0,"",AVERAGE('10_W0_水位'!B51,'10_W0_水位'!D51,'10_W0_水位'!F51,'10_W0_水位'!H51))</x:f>
        <x:v>34.025000000000006</x:v>
      </x:c>
      <x:c r="G96" s="90" t="n">
        <x:f>IF(E96&lt;2,"",STDEV.S('10_W0_水位'!B51,'10_W0_水位'!D51,'10_W0_水位'!F51,'10_W0_水位'!H51))</x:f>
        <x:v>5.29992138306472</x:v>
      </x:c>
      <x:c r="H96" s="90" t="n">
        <x:f>IF(E96=0,"",MIN('10_W0_水位'!B51,'10_W0_水位'!D51,'10_W0_水位'!F51,'10_W0_水位'!H51))</x:f>
        <x:v>28.1</x:v>
      </x:c>
      <x:c r="I96" s="90" t="n">
        <x:f>IF(E96=0,"",MAX('10_W0_水位'!B51,'10_W0_水位'!D51,'10_W0_水位'!F51,'10_W0_水位'!H51))</x:f>
        <x:v>40.9</x:v>
      </x:c>
      <x:c r="J96" s="32" t="str">
        <x:v>mm</x:v>
      </x:c>
    </x:row>
    <x:row r="97">
      <x:c r="A97" s="72" t="n">
        <x:v>46240.96241898148</x:v>
      </x:c>
      <x:c r="B97" s="32" t="str">
        <x:v>水位</x:v>
      </x:c>
      <x:c r="C97" s="32" t="str">
        <x:v>W0</x:v>
      </x:c>
      <x:c r="D97" s="32" t="str">
        <x:v>V2</x:v>
      </x:c>
      <x:c r="E97" s="86" t="n">
        <x:f>COUNT('10_W0_水位'!C51,'10_W0_水位'!E51,'10_W0_水位'!G51,'10_W0_水位'!I51)</x:f>
        <x:v>4</x:v>
      </x:c>
      <x:c r="F97" s="90" t="n">
        <x:f>IF(E97=0,"",AVERAGE('10_W0_水位'!C51,'10_W0_水位'!E51,'10_W0_水位'!G51,'10_W0_水位'!I51))</x:f>
        <x:v>30.975</x:v>
      </x:c>
      <x:c r="G97" s="90" t="n">
        <x:f>IF(E97&lt;2,"",STDEV.S('10_W0_水位'!C51,'10_W0_水位'!E51,'10_W0_水位'!G51,'10_W0_水位'!I51))</x:f>
        <x:v>5.619237789356609</x:v>
      </x:c>
      <x:c r="H97" s="90" t="n">
        <x:f>IF(E97=0,"",MIN('10_W0_水位'!C51,'10_W0_水位'!E51,'10_W0_水位'!G51,'10_W0_水位'!I51))</x:f>
        <x:v>24.5</x:v>
      </x:c>
      <x:c r="I97" s="90" t="n">
        <x:f>IF(E97=0,"",MAX('10_W0_水位'!C51,'10_W0_水位'!E51,'10_W0_水位'!G51,'10_W0_水位'!I51))</x:f>
        <x:v>38.2</x:v>
      </x:c>
      <x:c r="J97" s="32" t="str">
        <x:v>mm</x:v>
      </x:c>
    </x:row>
    <x:row r="98">
      <x:c r="A98" s="72" t="n">
        <x:v>46240.965891203705</x:v>
      </x:c>
      <x:c r="B98" s="32" t="str">
        <x:v>水位</x:v>
      </x:c>
      <x:c r="C98" s="32" t="str">
        <x:v>W0</x:v>
      </x:c>
      <x:c r="D98" s="32" t="str">
        <x:v>V1</x:v>
      </x:c>
      <x:c r="E98" s="86" t="n">
        <x:f>COUNT('10_W0_水位'!B52,'10_W0_水位'!D52,'10_W0_水位'!F52,'10_W0_水位'!H52)</x:f>
        <x:v>4</x:v>
      </x:c>
      <x:c r="F98" s="90" t="n">
        <x:f>IF(E98=0,"",AVERAGE('10_W0_水位'!B52,'10_W0_水位'!D52,'10_W0_水位'!F52,'10_W0_水位'!H52))</x:f>
        <x:v>34.075</x:v>
      </x:c>
      <x:c r="G98" s="90" t="n">
        <x:f>IF(E98&lt;2,"",STDEV.S('10_W0_水位'!B52,'10_W0_水位'!D52,'10_W0_水位'!F52,'10_W0_水位'!H52))</x:f>
        <x:v>5.255711179279166</x:v>
      </x:c>
      <x:c r="H98" s="90" t="n">
        <x:f>IF(E98=0,"",MIN('10_W0_水位'!B52,'10_W0_水位'!D52,'10_W0_水位'!F52,'10_W0_水位'!H52))</x:f>
        <x:v>29.2</x:v>
      </x:c>
      <x:c r="I98" s="90" t="n">
        <x:f>IF(E98=0,"",MAX('10_W0_水位'!B52,'10_W0_水位'!D52,'10_W0_水位'!F52,'10_W0_水位'!H52))</x:f>
        <x:v>41.5</x:v>
      </x:c>
      <x:c r="J98" s="32" t="str">
        <x:v>mm</x:v>
      </x:c>
    </x:row>
    <x:row r="99">
      <x:c r="A99" s="72" t="n">
        <x:v>46240.965891203705</x:v>
      </x:c>
      <x:c r="B99" s="32" t="str">
        <x:v>水位</x:v>
      </x:c>
      <x:c r="C99" s="32" t="str">
        <x:v>W0</x:v>
      </x:c>
      <x:c r="D99" s="32" t="str">
        <x:v>V2</x:v>
      </x:c>
      <x:c r="E99" s="86" t="n">
        <x:f>COUNT('10_W0_水位'!C52,'10_W0_水位'!E52,'10_W0_水位'!G52,'10_W0_水位'!I52)</x:f>
        <x:v>4</x:v>
      </x:c>
      <x:c r="F99" s="90" t="n">
        <x:f>IF(E99=0,"",AVERAGE('10_W0_水位'!C52,'10_W0_水位'!E52,'10_W0_水位'!G52,'10_W0_水位'!I52))</x:f>
        <x:v>31.025000000000002</x:v>
      </x:c>
      <x:c r="G99" s="90" t="n">
        <x:f>IF(E99&lt;2,"",STDEV.S('10_W0_水位'!C52,'10_W0_水位'!E52,'10_W0_水位'!G52,'10_W0_水位'!I52))</x:f>
        <x:v>5.629313161182869</x:v>
      </x:c>
      <x:c r="H99" s="90" t="n">
        <x:f>IF(E99=0,"",MIN('10_W0_水位'!C52,'10_W0_水位'!E52,'10_W0_水位'!G52,'10_W0_水位'!I52))</x:f>
        <x:v>23.7</x:v>
      </x:c>
      <x:c r="I99" s="90" t="n">
        <x:f>IF(E99=0,"",MAX('10_W0_水位'!C52,'10_W0_水位'!E52,'10_W0_水位'!G52,'10_W0_水位'!I52))</x:f>
        <x:v>37.4</x:v>
      </x:c>
      <x:c r="J99" s="32" t="str">
        <x:v>mm</x:v>
      </x:c>
    </x:row>
    <x:row r="100">
      <x:c r="A100" s="72" t="n">
        <x:v>46240.969363425924</x:v>
      </x:c>
      <x:c r="B100" s="32" t="str">
        <x:v>水位</x:v>
      </x:c>
      <x:c r="C100" s="32" t="str">
        <x:v>W0</x:v>
      </x:c>
      <x:c r="D100" s="32" t="str">
        <x:v>V1</x:v>
      </x:c>
      <x:c r="E100" s="86" t="n">
        <x:f>COUNT('10_W0_水位'!B53,'10_W0_水位'!D53,'10_W0_水位'!F53,'10_W0_水位'!H53)</x:f>
        <x:v>4</x:v>
      </x:c>
      <x:c r="F100" s="90" t="n">
        <x:f>IF(E100=0,"",AVERAGE('10_W0_水位'!B53,'10_W0_水位'!D53,'10_W0_水位'!F53,'10_W0_水位'!H53))</x:f>
        <x:v>34.15</x:v>
      </x:c>
      <x:c r="G100" s="90" t="n">
        <x:f>IF(E100&lt;2,"",STDEV.S('10_W0_水位'!B53,'10_W0_水位'!D53,'10_W0_水位'!F53,'10_W0_水位'!H53))</x:f>
        <x:v>5.222068555658762</x:v>
      </x:c>
      <x:c r="H100" s="90" t="n">
        <x:f>IF(E100=0,"",MIN('10_W0_水位'!B53,'10_W0_水位'!D53,'10_W0_水位'!F53,'10_W0_水位'!H53))</x:f>
        <x:v>30.5</x:v>
      </x:c>
      <x:c r="I100" s="90" t="n">
        <x:f>IF(E100=0,"",MAX('10_W0_水位'!B53,'10_W0_水位'!D53,'10_W0_水位'!F53,'10_W0_水位'!H53))</x:f>
        <x:v>41.9</x:v>
      </x:c>
      <x:c r="J100" s="32" t="str">
        <x:v>mm</x:v>
      </x:c>
    </x:row>
    <x:row r="101">
      <x:c r="A101" s="72" t="n">
        <x:v>46240.969363425924</x:v>
      </x:c>
      <x:c r="B101" s="32" t="str">
        <x:v>水位</x:v>
      </x:c>
      <x:c r="C101" s="32" t="str">
        <x:v>W0</x:v>
      </x:c>
      <x:c r="D101" s="32" t="str">
        <x:v>V2</x:v>
      </x:c>
      <x:c r="E101" s="86" t="n">
        <x:f>COUNT('10_W0_水位'!C53,'10_W0_水位'!E53,'10_W0_水位'!G53,'10_W0_水位'!I53)</x:f>
        <x:v>4</x:v>
      </x:c>
      <x:c r="F101" s="90" t="n">
        <x:f>IF(E101=0,"",AVERAGE('10_W0_水位'!C53,'10_W0_水位'!E53,'10_W0_水位'!G53,'10_W0_水位'!I53))</x:f>
        <x:v>31.075000000000003</x:v>
      </x:c>
      <x:c r="G101" s="90" t="n">
        <x:f>IF(E101&lt;2,"",STDEV.S('10_W0_水位'!C53,'10_W0_水位'!E53,'10_W0_水位'!G53,'10_W0_水位'!I53))</x:f>
        <x:v>5.587709727607546</x:v>
      </x:c>
      <x:c r="H101" s="90" t="n">
        <x:f>IF(E101=0,"",MIN('10_W0_水位'!C53,'10_W0_水位'!E53,'10_W0_水位'!G53,'10_W0_水位'!I53))</x:f>
        <x:v>23.2</x:v>
      </x:c>
      <x:c r="I101" s="90" t="n">
        <x:f>IF(E101=0,"",MAX('10_W0_水位'!C53,'10_W0_水位'!E53,'10_W0_水位'!G53,'10_W0_水位'!I53))</x:f>
        <x:v>36.4</x:v>
      </x:c>
      <x:c r="J101" s="32" t="str">
        <x:v>mm</x:v>
      </x:c>
    </x:row>
    <x:row r="102">
      <x:c r="A102" s="72" t="n">
        <x:v>46240.80269675926</x:v>
      </x:c>
      <x:c r="B102" s="32" t="str">
        <x:v>土壤含水率</x:v>
      </x:c>
      <x:c r="C102" s="32" t="str">
        <x:v>W0</x:v>
      </x:c>
      <x:c r="D102" s="32" t="str">
        <x:v>V1</x:v>
      </x:c>
      <x:c r="E102" s="86" t="n">
        <x:f>COUNT('11_W0_含水率'!B5,'11_W0_含水率'!D5,'11_W0_含水率'!F5,'11_W0_含水率'!H5)</x:f>
        <x:v>4</x:v>
      </x:c>
      <x:c r="F102" s="90" t="n">
        <x:f>IF(E102=0,"",AVERAGE('11_W0_含水率'!B5,'11_W0_含水率'!D5,'11_W0_含水率'!F5,'11_W0_含水率'!H5))</x:f>
        <x:v>38.125</x:v>
      </x:c>
      <x:c r="G102" s="90" t="n">
        <x:f>IF(E102&lt;2,"",STDEV.S('11_W0_含水率'!B5,'11_W0_含水率'!D5,'11_W0_含水率'!F5,'11_W0_含水率'!H5))</x:f>
        <x:v>3.991971108779889</x:v>
      </x:c>
      <x:c r="H102" s="90" t="n">
        <x:f>IF(E102=0,"",MIN('11_W0_含水率'!B5,'11_W0_含水率'!D5,'11_W0_含水率'!F5,'11_W0_含水率'!H5))</x:f>
        <x:v>34.4</x:v>
      </x:c>
      <x:c r="I102" s="90" t="n">
        <x:f>IF(E102=0,"",MAX('11_W0_含水率'!B5,'11_W0_含水率'!D5,'11_W0_含水率'!F5,'11_W0_含水率'!H5))</x:f>
        <x:v>42.9</x:v>
      </x:c>
      <x:c r="J102" s="32" t="str">
        <x:v>%</x:v>
      </x:c>
    </x:row>
    <x:row r="103">
      <x:c r="A103" s="72" t="n">
        <x:v>46240.80269675926</x:v>
      </x:c>
      <x:c r="B103" s="32" t="str">
        <x:v>土壤含水率</x:v>
      </x:c>
      <x:c r="C103" s="32" t="str">
        <x:v>W0</x:v>
      </x:c>
      <x:c r="D103" s="32" t="str">
        <x:v>V2</x:v>
      </x:c>
      <x:c r="E103" s="86" t="n">
        <x:f>COUNT('11_W0_含水率'!C5,'11_W0_含水率'!E5,'11_W0_含水率'!G5,'11_W0_含水率'!I5)</x:f>
        <x:v>4</x:v>
      </x:c>
      <x:c r="F103" s="90" t="n">
        <x:f>IF(E103=0,"",AVERAGE('11_W0_含水率'!C5,'11_W0_含水率'!E5,'11_W0_含水率'!G5,'11_W0_含水率'!I5))</x:f>
        <x:v>37.1</x:v>
      </x:c>
      <x:c r="G103" s="90" t="n">
        <x:f>IF(E103&lt;2,"",STDEV.S('11_W0_含水率'!C5,'11_W0_含水率'!E5,'11_W0_含水率'!G5,'11_W0_含水率'!I5))</x:f>
        <x:v>2.201514630127782</x:v>
      </x:c>
      <x:c r="H103" s="90" t="n">
        <x:f>IF(E103=0,"",MIN('11_W0_含水率'!C5,'11_W0_含水率'!E5,'11_W0_含水率'!G5,'11_W0_含水率'!I5))</x:f>
        <x:v>35.9</x:v>
      </x:c>
      <x:c r="I103" s="90" t="n">
        <x:f>IF(E103=0,"",MAX('11_W0_含水率'!C5,'11_W0_含水率'!E5,'11_W0_含水率'!G5,'11_W0_含水率'!I5))</x:f>
        <x:v>40.4</x:v>
      </x:c>
      <x:c r="J103" s="32" t="str">
        <x:v>%</x:v>
      </x:c>
    </x:row>
    <x:row r="104">
      <x:c r="A104" s="72" t="n">
        <x:v>46240.80616898148</x:v>
      </x:c>
      <x:c r="B104" s="32" t="str">
        <x:v>土壤含水率</x:v>
      </x:c>
      <x:c r="C104" s="32" t="str">
        <x:v>W0</x:v>
      </x:c>
      <x:c r="D104" s="32" t="str">
        <x:v>V1</x:v>
      </x:c>
      <x:c r="E104" s="86" t="n">
        <x:f>COUNT('11_W0_含水率'!B6,'11_W0_含水率'!D6,'11_W0_含水率'!F6,'11_W0_含水率'!H6)</x:f>
        <x:v>4</x:v>
      </x:c>
      <x:c r="F104" s="90" t="n">
        <x:f>IF(E104=0,"",AVERAGE('11_W0_含水率'!B6,'11_W0_含水率'!D6,'11_W0_含水率'!F6,'11_W0_含水率'!H6))</x:f>
        <x:v>38.1</x:v>
      </x:c>
      <x:c r="G104" s="90" t="n">
        <x:f>IF(E104&lt;2,"",STDEV.S('11_W0_含水率'!B6,'11_W0_含水率'!D6,'11_W0_含水率'!F6,'11_W0_含水率'!H6))</x:f>
        <x:v>4.0406270140495115</x:v>
      </x:c>
      <x:c r="H104" s="90" t="n">
        <x:f>IF(E104=0,"",MIN('11_W0_含水率'!B6,'11_W0_含水率'!D6,'11_W0_含水率'!F6,'11_W0_含水率'!H6))</x:f>
        <x:v>33.9</x:v>
      </x:c>
      <x:c r="I104" s="90" t="n">
        <x:f>IF(E104=0,"",MAX('11_W0_含水率'!B6,'11_W0_含水率'!D6,'11_W0_含水率'!F6,'11_W0_含水率'!H6))</x:f>
        <x:v>42.6</x:v>
      </x:c>
      <x:c r="J104" s="32" t="str">
        <x:v>%</x:v>
      </x:c>
    </x:row>
    <x:row r="105">
      <x:c r="A105" s="72" t="n">
        <x:v>46240.80616898148</x:v>
      </x:c>
      <x:c r="B105" s="32" t="str">
        <x:v>土壤含水率</x:v>
      </x:c>
      <x:c r="C105" s="32" t="str">
        <x:v>W0</x:v>
      </x:c>
      <x:c r="D105" s="32" t="str">
        <x:v>V2</x:v>
      </x:c>
      <x:c r="E105" s="86" t="n">
        <x:f>COUNT('11_W0_含水率'!C6,'11_W0_含水率'!E6,'11_W0_含水率'!G6,'11_W0_含水率'!I6)</x:f>
        <x:v>4</x:v>
      </x:c>
      <x:c r="F105" s="90" t="n">
        <x:f>IF(E105=0,"",AVERAGE('11_W0_含水率'!C6,'11_W0_含水率'!E6,'11_W0_含水率'!G6,'11_W0_含水率'!I6))</x:f>
        <x:v>37.125</x:v>
      </x:c>
      <x:c r="G105" s="90" t="n">
        <x:f>IF(E105&lt;2,"",STDEV.S('11_W0_含水率'!C6,'11_W0_含水率'!E6,'11_W0_含水率'!G6,'11_W0_含水率'!I6))</x:f>
        <x:v>2.543455654550845</x:v>
      </x:c>
      <x:c r="H105" s="90" t="n">
        <x:f>IF(E105=0,"",MIN('11_W0_含水率'!C6,'11_W0_含水率'!E6,'11_W0_含水率'!G6,'11_W0_含水率'!I6))</x:f>
        <x:v>35.4</x:v>
      </x:c>
      <x:c r="I105" s="90" t="n">
        <x:f>IF(E105=0,"",MAX('11_W0_含水率'!C6,'11_W0_含水率'!E6,'11_W0_含水率'!G6,'11_W0_含水率'!I6))</x:f>
        <x:v>40.9</x:v>
      </x:c>
      <x:c r="J105" s="32" t="str">
        <x:v>%</x:v>
      </x:c>
    </x:row>
    <x:row r="106">
      <x:c r="A106" s="72" t="n">
        <x:v>46240.809641203705</x:v>
      </x:c>
      <x:c r="B106" s="32" t="str">
        <x:v>土壤含水率</x:v>
      </x:c>
      <x:c r="C106" s="32" t="str">
        <x:v>W0</x:v>
      </x:c>
      <x:c r="D106" s="32" t="str">
        <x:v>V1</x:v>
      </x:c>
      <x:c r="E106" s="86" t="n">
        <x:f>COUNT('11_W0_含水率'!B7,'11_W0_含水率'!D7,'11_W0_含水率'!F7,'11_W0_含水率'!H7)</x:f>
        <x:v>4</x:v>
      </x:c>
      <x:c r="F106" s="90" t="n">
        <x:f>IF(E106=0,"",AVERAGE('11_W0_含水率'!B7,'11_W0_含水率'!D7,'11_W0_含水率'!F7,'11_W0_含水率'!H7))</x:f>
        <x:v>38.1</x:v>
      </x:c>
      <x:c r="G106" s="90" t="n">
        <x:f>IF(E106&lt;2,"",STDEV.S('11_W0_含水率'!B7,'11_W0_含水率'!D7,'11_W0_含水率'!F7,'11_W0_含水率'!H7))</x:f>
        <x:v>4.060377650744652</x:v>
      </x:c>
      <x:c r="H106" s="90" t="n">
        <x:f>IF(E106=0,"",MIN('11_W0_含水率'!B7,'11_W0_含水率'!D7,'11_W0_含水率'!F7,'11_W0_含水率'!H7))</x:f>
        <x:v>33.5</x:v>
      </x:c>
      <x:c r="I106" s="90" t="n">
        <x:f>IF(E106=0,"",MAX('11_W0_含水率'!B7,'11_W0_含水率'!D7,'11_W0_含水率'!F7,'11_W0_含水率'!H7))</x:f>
        <x:v>42.3</x:v>
      </x:c>
      <x:c r="J106" s="32" t="str">
        <x:v>%</x:v>
      </x:c>
    </x:row>
    <x:row r="107">
      <x:c r="A107" s="72" t="n">
        <x:v>46240.809641203705</x:v>
      </x:c>
      <x:c r="B107" s="32" t="str">
        <x:v>土壤含水率</x:v>
      </x:c>
      <x:c r="C107" s="32" t="str">
        <x:v>W0</x:v>
      </x:c>
      <x:c r="D107" s="32" t="str">
        <x:v>V2</x:v>
      </x:c>
      <x:c r="E107" s="86" t="n">
        <x:f>COUNT('11_W0_含水率'!C7,'11_W0_含水率'!E7,'11_W0_含水率'!G7,'11_W0_含水率'!I7)</x:f>
        <x:v>4</x:v>
      </x:c>
      <x:c r="F107" s="90" t="n">
        <x:f>IF(E107=0,"",AVERAGE('11_W0_含水率'!C7,'11_W0_含水率'!E7,'11_W0_含水率'!G7,'11_W0_含水率'!I7))</x:f>
        <x:v>37.1</x:v>
      </x:c>
      <x:c r="G107" s="90" t="n">
        <x:f>IF(E107&lt;2,"",STDEV.S('11_W0_含水率'!C7,'11_W0_含水率'!E7,'11_W0_含水率'!G7,'11_W0_含水率'!I7))</x:f>
        <x:v>2.8855964143772184</x:v>
      </x:c>
      <x:c r="H107" s="90" t="n">
        <x:f>IF(E107=0,"",MIN('11_W0_含水率'!C7,'11_W0_含水率'!E7,'11_W0_含水率'!G7,'11_W0_含水率'!I7))</x:f>
        <x:v>34.9</x:v>
      </x:c>
      <x:c r="I107" s="90" t="n">
        <x:f>IF(E107=0,"",MAX('11_W0_含水率'!C7,'11_W0_含水率'!E7,'11_W0_含水率'!G7,'11_W0_含水率'!I7))</x:f>
        <x:v>41.3</x:v>
      </x:c>
      <x:c r="J107" s="32" t="str">
        <x:v>%</x:v>
      </x:c>
    </x:row>
    <x:row r="108">
      <x:c r="A108" s="72" t="n">
        <x:v>46240.813113425924</x:v>
      </x:c>
      <x:c r="B108" s="32" t="str">
        <x:v>土壤含水率</x:v>
      </x:c>
      <x:c r="C108" s="32" t="str">
        <x:v>W0</x:v>
      </x:c>
      <x:c r="D108" s="32" t="str">
        <x:v>V1</x:v>
      </x:c>
      <x:c r="E108" s="86" t="n">
        <x:f>COUNT('11_W0_含水率'!B8,'11_W0_含水率'!D8,'11_W0_含水率'!F8,'11_W0_含水率'!H8)</x:f>
        <x:v>4</x:v>
      </x:c>
      <x:c r="F108" s="90" t="n">
        <x:f>IF(E108=0,"",AVERAGE('11_W0_含水率'!B8,'11_W0_含水率'!D8,'11_W0_含水率'!F8,'11_W0_含水率'!H8))</x:f>
        <x:v>38.075</x:v>
      </x:c>
      <x:c r="G108" s="90" t="n">
        <x:f>IF(E108&lt;2,"",STDEV.S('11_W0_含水率'!B8,'11_W0_含水率'!D8,'11_W0_含水率'!F8,'11_W0_含水率'!H8))</x:f>
        <x:v>4.017773014992258</x:v>
      </x:c>
      <x:c r="H108" s="90" t="n">
        <x:f>IF(E108=0,"",MIN('11_W0_含水率'!B8,'11_W0_含水率'!D8,'11_W0_含水率'!F8,'11_W0_含水率'!H8))</x:f>
        <x:v>33.2</x:v>
      </x:c>
      <x:c r="I108" s="90" t="n">
        <x:f>IF(E108=0,"",MAX('11_W0_含水率'!B8,'11_W0_含水率'!D8,'11_W0_含水率'!F8,'11_W0_含水率'!H8))</x:f>
        <x:v>41.8</x:v>
      </x:c>
      <x:c r="J108" s="32" t="str">
        <x:v>%</x:v>
      </x:c>
    </x:row>
    <x:row r="109">
      <x:c r="A109" s="72" t="n">
        <x:v>46240.813113425924</x:v>
      </x:c>
      <x:c r="B109" s="32" t="str">
        <x:v>土壤含水率</x:v>
      </x:c>
      <x:c r="C109" s="32" t="str">
        <x:v>W0</x:v>
      </x:c>
      <x:c r="D109" s="32" t="str">
        <x:v>V2</x:v>
      </x:c>
      <x:c r="E109" s="86" t="n">
        <x:f>COUNT('11_W0_含水率'!C8,'11_W0_含水率'!E8,'11_W0_含水率'!G8,'11_W0_含水率'!I8)</x:f>
        <x:v>4</x:v>
      </x:c>
      <x:c r="F109" s="90" t="n">
        <x:f>IF(E109=0,"",AVERAGE('11_W0_含水率'!C8,'11_W0_含水率'!E8,'11_W0_含水率'!G8,'11_W0_含水率'!I8))</x:f>
        <x:v>37.1</x:v>
      </x:c>
      <x:c r="G109" s="90" t="n">
        <x:f>IF(E109&lt;2,"",STDEV.S('11_W0_含水率'!C8,'11_W0_含水率'!E8,'11_W0_含水率'!G8,'11_W0_含水率'!I8))</x:f>
        <x:v>3.1759513010540124</x:v>
      </x:c>
      <x:c r="H109" s="90" t="n">
        <x:f>IF(E109=0,"",MIN('11_W0_含水率'!C8,'11_W0_含水率'!E8,'11_W0_含水率'!G8,'11_W0_含水率'!I8))</x:f>
        <x:v>34.5</x:v>
      </x:c>
      <x:c r="I109" s="90" t="n">
        <x:f>IF(E109=0,"",MAX('11_W0_含水率'!C8,'11_W0_含水率'!E8,'11_W0_含水率'!G8,'11_W0_含水率'!I8))</x:f>
        <x:v>41.6</x:v>
      </x:c>
      <x:c r="J109" s="32" t="str">
        <x:v>%</x:v>
      </x:c>
    </x:row>
    <x:row r="110">
      <x:c r="A110" s="72" t="n">
        <x:v>46240.81658564815</x:v>
      </x:c>
      <x:c r="B110" s="32" t="str">
        <x:v>土壤含水率</x:v>
      </x:c>
      <x:c r="C110" s="32" t="str">
        <x:v>W0</x:v>
      </x:c>
      <x:c r="D110" s="32" t="str">
        <x:v>V1</x:v>
      </x:c>
      <x:c r="E110" s="86" t="n">
        <x:f>COUNT('11_W0_含水率'!B9,'11_W0_含水率'!D9,'11_W0_含水率'!F9,'11_W0_含水率'!H9)</x:f>
        <x:v>4</x:v>
      </x:c>
      <x:c r="F110" s="90" t="n">
        <x:f>IF(E110=0,"",AVERAGE('11_W0_含水率'!B9,'11_W0_含水率'!D9,'11_W0_含水率'!F9,'11_W0_含水率'!H9))</x:f>
        <x:v>38.1</x:v>
      </x:c>
      <x:c r="G110" s="90" t="n">
        <x:f>IF(E110&lt;2,"",STDEV.S('11_W0_含水率'!B9,'11_W0_含水率'!D9,'11_W0_含水率'!F9,'11_W0_含水率'!H9))</x:f>
        <x:v>3.9046980250291643</x:v>
      </x:c>
      <x:c r="H110" s="90" t="n">
        <x:f>IF(E110=0,"",MIN('11_W0_含水率'!B9,'11_W0_含水率'!D9,'11_W0_含水率'!F9,'11_W0_含水率'!H9))</x:f>
        <x:v>33.1</x:v>
      </x:c>
      <x:c r="I110" s="90" t="n">
        <x:f>IF(E110=0,"",MAX('11_W0_含水率'!B9,'11_W0_含水率'!D9,'11_W0_含水率'!F9,'11_W0_含水率'!H9))</x:f>
        <x:v>41.4</x:v>
      </x:c>
      <x:c r="J110" s="32" t="str">
        <x:v>%</x:v>
      </x:c>
    </x:row>
    <x:row r="111">
      <x:c r="A111" s="72" t="n">
        <x:v>46240.81658564815</x:v>
      </x:c>
      <x:c r="B111" s="32" t="str">
        <x:v>土壤含水率</x:v>
      </x:c>
      <x:c r="C111" s="32" t="str">
        <x:v>W0</x:v>
      </x:c>
      <x:c r="D111" s="32" t="str">
        <x:v>V2</x:v>
      </x:c>
      <x:c r="E111" s="86" t="n">
        <x:f>COUNT('11_W0_含水率'!C9,'11_W0_含水率'!E9,'11_W0_含水率'!G9,'11_W0_含水率'!I9)</x:f>
        <x:v>4</x:v>
      </x:c>
      <x:c r="F111" s="90" t="n">
        <x:f>IF(E111=0,"",AVERAGE('11_W0_含水率'!C9,'11_W0_含水率'!E9,'11_W0_含水率'!G9,'11_W0_含水率'!I9))</x:f>
        <x:v>37.075</x:v>
      </x:c>
      <x:c r="G111" s="90" t="n">
        <x:f>IF(E111&lt;2,"",STDEV.S('11_W0_含水率'!C9,'11_W0_含水率'!E9,'11_W0_含水率'!G9,'11_W0_含水率'!I9))</x:f>
        <x:v>3.5036885325801044</x:v>
      </x:c>
      <x:c r="H111" s="90" t="n">
        <x:f>IF(E111=0,"",MIN('11_W0_含水率'!C9,'11_W0_含水率'!E9,'11_W0_含水率'!G9,'11_W0_含水率'!I9))</x:f>
        <x:v>34.2</x:v>
      </x:c>
      <x:c r="I111" s="90" t="n">
        <x:f>IF(E111=0,"",MAX('11_W0_含水率'!C9,'11_W0_含水率'!E9,'11_W0_含水率'!G9,'11_W0_含水率'!I9))</x:f>
        <x:v>41.9</x:v>
      </x:c>
      <x:c r="J111" s="32" t="str">
        <x:v>%</x:v>
      </x:c>
    </x:row>
    <x:row r="112">
      <x:c r="A112" s="72" t="n">
        <x:v>46240.82005787037</x:v>
      </x:c>
      <x:c r="B112" s="32" t="str">
        <x:v>土壤含水率</x:v>
      </x:c>
      <x:c r="C112" s="32" t="str">
        <x:v>W0</x:v>
      </x:c>
      <x:c r="D112" s="32" t="str">
        <x:v>V1</x:v>
      </x:c>
      <x:c r="E112" s="86" t="n">
        <x:f>COUNT('11_W0_含水率'!B10,'11_W0_含水率'!D10,'11_W0_含水率'!F10,'11_W0_含水率'!H10)</x:f>
        <x:v>4</x:v>
      </x:c>
      <x:c r="F112" s="90" t="n">
        <x:f>IF(E112=0,"",AVERAGE('11_W0_含水率'!B10,'11_W0_含水率'!D10,'11_W0_含水率'!F10,'11_W0_含水率'!H10))</x:f>
        <x:v>38.075</x:v>
      </x:c>
      <x:c r="G112" s="90" t="n">
        <x:f>IF(E112&lt;2,"",STDEV.S('11_W0_含水率'!B10,'11_W0_含水率'!D10,'11_W0_含水率'!F10,'11_W0_含水率'!H10))</x:f>
        <x:v>3.7748068383251963</x:v>
      </x:c>
      <x:c r="H112" s="90" t="n">
        <x:f>IF(E112=0,"",MIN('11_W0_含水率'!B10,'11_W0_含水率'!D10,'11_W0_含水率'!F10,'11_W0_含水率'!H10))</x:f>
        <x:v>33</x:v>
      </x:c>
      <x:c r="I112" s="90" t="n">
        <x:f>IF(E112=0,"",MAX('11_W0_含水率'!B10,'11_W0_含水率'!D10,'11_W0_含水率'!F10,'11_W0_含水率'!H10))</x:f>
        <x:v>41</x:v>
      </x:c>
      <x:c r="J112" s="32" t="str">
        <x:v>%</x:v>
      </x:c>
    </x:row>
    <x:row r="113">
      <x:c r="A113" s="72" t="n">
        <x:v>46240.82005787037</x:v>
      </x:c>
      <x:c r="B113" s="32" t="str">
        <x:v>土壤含水率</x:v>
      </x:c>
      <x:c r="C113" s="32" t="str">
        <x:v>W0</x:v>
      </x:c>
      <x:c r="D113" s="32" t="str">
        <x:v>V2</x:v>
      </x:c>
      <x:c r="E113" s="86" t="n">
        <x:f>COUNT('11_W0_含水率'!C10,'11_W0_含水率'!E10,'11_W0_含水率'!G10,'11_W0_含水率'!I10)</x:f>
        <x:v>4</x:v>
      </x:c>
      <x:c r="F113" s="90" t="n">
        <x:f>IF(E113=0,"",AVERAGE('11_W0_含水率'!C10,'11_W0_含水率'!E10,'11_W0_含水率'!G10,'11_W0_含水率'!I10))</x:f>
        <x:v>37.1</x:v>
      </x:c>
      <x:c r="G113" s="90" t="n">
        <x:f>IF(E113&lt;2,"",STDEV.S('11_W0_含水率'!C10,'11_W0_含水率'!E10,'11_W0_含水率'!G10,'11_W0_含水率'!I10))</x:f>
        <x:v>3.6941395028702777</x:v>
      </x:c>
      <x:c r="H113" s="90" t="n">
        <x:f>IF(E113=0,"",MIN('11_W0_含水率'!C10,'11_W0_含水率'!E10,'11_W0_含水率'!G10,'11_W0_含水率'!I10))</x:f>
        <x:v>34.1</x:v>
      </x:c>
      <x:c r="I113" s="90" t="n">
        <x:f>IF(E113=0,"",MAX('11_W0_含水率'!C10,'11_W0_含水率'!E10,'11_W0_含水率'!G10,'11_W0_含水率'!I10))</x:f>
        <x:v>42</x:v>
      </x:c>
      <x:c r="J113" s="32" t="str">
        <x:v>%</x:v>
      </x:c>
    </x:row>
    <x:row r="114">
      <x:c r="A114" s="72" t="n">
        <x:v>46240.823530092595</x:v>
      </x:c>
      <x:c r="B114" s="32" t="str">
        <x:v>土壤含水率</x:v>
      </x:c>
      <x:c r="C114" s="32" t="str">
        <x:v>W0</x:v>
      </x:c>
      <x:c r="D114" s="32" t="str">
        <x:v>V1</x:v>
      </x:c>
      <x:c r="E114" s="86" t="n">
        <x:f>COUNT('11_W0_含水率'!B11,'11_W0_含水率'!D11,'11_W0_含水率'!F11,'11_W0_含水率'!H11)</x:f>
        <x:v>4</x:v>
      </x:c>
      <x:c r="F114" s="90" t="n">
        <x:f>IF(E114=0,"",AVERAGE('11_W0_含水率'!B11,'11_W0_含水率'!D11,'11_W0_含水率'!F11,'11_W0_含水率'!H11))</x:f>
        <x:v>38.075</x:v>
      </x:c>
      <x:c r="G114" s="90" t="n">
        <x:f>IF(E114&lt;2,"",STDEV.S('11_W0_含水率'!B11,'11_W0_含水率'!D11,'11_W0_含水率'!F11,'11_W0_含水率'!H11))</x:f>
        <x:v>3.56686136540236</x:v>
      </x:c>
      <x:c r="H114" s="90" t="n">
        <x:f>IF(E114=0,"",MIN('11_W0_含水率'!B11,'11_W0_含水率'!D11,'11_W0_含水率'!F11,'11_W0_含水率'!H11))</x:f>
        <x:v>33.1</x:v>
      </x:c>
      <x:c r="I114" s="90" t="n">
        <x:f>IF(E114=0,"",MAX('11_W0_含水率'!B11,'11_W0_含水率'!D11,'11_W0_含水率'!F11,'11_W0_含水率'!H11))</x:f>
        <x:v>40.9</x:v>
      </x:c>
      <x:c r="J114" s="32" t="str">
        <x:v>%</x:v>
      </x:c>
    </x:row>
    <x:row r="115">
      <x:c r="A115" s="72" t="n">
        <x:v>46240.823530092595</x:v>
      </x:c>
      <x:c r="B115" s="32" t="str">
        <x:v>土壤含水率</x:v>
      </x:c>
      <x:c r="C115" s="32" t="str">
        <x:v>W0</x:v>
      </x:c>
      <x:c r="D115" s="32" t="str">
        <x:v>V2</x:v>
      </x:c>
      <x:c r="E115" s="86" t="n">
        <x:f>COUNT('11_W0_含水率'!C11,'11_W0_含水率'!E11,'11_W0_含水率'!G11,'11_W0_含水率'!I11)</x:f>
        <x:v>4</x:v>
      </x:c>
      <x:c r="F115" s="90" t="n">
        <x:f>IF(E115=0,"",AVERAGE('11_W0_含水率'!C11,'11_W0_含水率'!E11,'11_W0_含水率'!G11,'11_W0_含水率'!I11))</x:f>
        <x:v>37.075</x:v>
      </x:c>
      <x:c r="G115" s="90" t="n">
        <x:f>IF(E115&lt;2,"",STDEV.S('11_W0_含水率'!C11,'11_W0_含水率'!E11,'11_W0_含水率'!G11,'11_W0_含水率'!I11))</x:f>
        <x:v>3.8964727639238035</x:v>
      </x:c>
      <x:c r="H115" s="90" t="n">
        <x:f>IF(E115=0,"",MIN('11_W0_含水率'!C11,'11_W0_含水率'!E11,'11_W0_含水率'!G11,'11_W0_含水率'!I11))</x:f>
        <x:v>33.9</x:v>
      </x:c>
      <x:c r="I115" s="90" t="n">
        <x:f>IF(E115=0,"",MAX('11_W0_含水率'!C11,'11_W0_含水率'!E11,'11_W0_含水率'!G11,'11_W0_含水率'!I11))</x:f>
        <x:v>42</x:v>
      </x:c>
      <x:c r="J115" s="32" t="str">
        <x:v>%</x:v>
      </x:c>
    </x:row>
    <x:row r="116">
      <x:c r="A116" s="72" t="n">
        <x:v>46240.827002314814</x:v>
      </x:c>
      <x:c r="B116" s="32" t="str">
        <x:v>土壤含水率</x:v>
      </x:c>
      <x:c r="C116" s="32" t="str">
        <x:v>W0</x:v>
      </x:c>
      <x:c r="D116" s="32" t="str">
        <x:v>V1</x:v>
      </x:c>
      <x:c r="E116" s="86" t="n">
        <x:f>COUNT('11_W0_含水率'!B12,'11_W0_含水率'!D12,'11_W0_含水率'!F12,'11_W0_含水率'!H12)</x:f>
        <x:v>4</x:v>
      </x:c>
      <x:c r="F116" s="90" t="n">
        <x:f>IF(E116=0,"",AVERAGE('11_W0_含水率'!B12,'11_W0_含水率'!D12,'11_W0_含水率'!F12,'11_W0_含水率'!H12))</x:f>
        <x:v>38</x:v>
      </x:c>
      <x:c r="G116" s="90" t="n">
        <x:f>IF(E116&lt;2,"",STDEV.S('11_W0_含水率'!B12,'11_W0_含水率'!D12,'11_W0_含水率'!F12,'11_W0_含水率'!H12))</x:f>
        <x:v>3.341656275960569</x:v>
      </x:c>
      <x:c r="H116" s="90" t="n">
        <x:f>IF(E116=0,"",MIN('11_W0_含水率'!B12,'11_W0_含水率'!D12,'11_W0_含水率'!F12,'11_W0_含水率'!H12))</x:f>
        <x:v>33.2</x:v>
      </x:c>
      <x:c r="I116" s="90" t="n">
        <x:f>IF(E116=0,"",MAX('11_W0_含水率'!B12,'11_W0_含水率'!D12,'11_W0_含水率'!F12,'11_W0_含水率'!H12))</x:f>
        <x:v>40.6</x:v>
      </x:c>
      <x:c r="J116" s="32" t="str">
        <x:v>%</x:v>
      </x:c>
    </x:row>
    <x:row r="117">
      <x:c r="A117" s="72" t="n">
        <x:v>46240.827002314814</x:v>
      </x:c>
      <x:c r="B117" s="32" t="str">
        <x:v>土壤含水率</x:v>
      </x:c>
      <x:c r="C117" s="32" t="str">
        <x:v>W0</x:v>
      </x:c>
      <x:c r="D117" s="32" t="str">
        <x:v>V2</x:v>
      </x:c>
      <x:c r="E117" s="86" t="n">
        <x:f>COUNT('11_W0_含水率'!C12,'11_W0_含水率'!E12,'11_W0_含水率'!G12,'11_W0_含水率'!I12)</x:f>
        <x:v>4</x:v>
      </x:c>
      <x:c r="F117" s="90" t="n">
        <x:f>IF(E117=0,"",AVERAGE('11_W0_含水率'!C12,'11_W0_含水率'!E12,'11_W0_含水率'!G12,'11_W0_含水率'!I12))</x:f>
        <x:v>37.075</x:v>
      </x:c>
      <x:c r="G117" s="90" t="n">
        <x:f>IF(E117&lt;2,"",STDEV.S('11_W0_含水率'!C12,'11_W0_含水率'!E12,'11_W0_含水率'!G12,'11_W0_含水率'!I12))</x:f>
        <x:v>4.040111384603152</x:v>
      </x:c>
      <x:c r="H117" s="90" t="n">
        <x:f>IF(E117=0,"",MIN('11_W0_含水率'!C12,'11_W0_含水率'!E12,'11_W0_含水率'!G12,'11_W0_含水率'!I12))</x:f>
        <x:v>33.4</x:v>
      </x:c>
      <x:c r="I117" s="90" t="n">
        <x:f>IF(E117=0,"",MAX('11_W0_含水率'!C12,'11_W0_含水率'!E12,'11_W0_含水率'!G12,'11_W0_含水率'!I12))</x:f>
        <x:v>41.9</x:v>
      </x:c>
      <x:c r="J117" s="32" t="str">
        <x:v>%</x:v>
      </x:c>
    </x:row>
    <x:row r="118">
      <x:c r="A118" s="72" t="n">
        <x:v>46240.83047453704</x:v>
      </x:c>
      <x:c r="B118" s="32" t="str">
        <x:v>土壤含水率</x:v>
      </x:c>
      <x:c r="C118" s="32" t="str">
        <x:v>W0</x:v>
      </x:c>
      <x:c r="D118" s="32" t="str">
        <x:v>V1</x:v>
      </x:c>
      <x:c r="E118" s="86" t="n">
        <x:f>COUNT('11_W0_含水率'!B13,'11_W0_含水率'!D13,'11_W0_含水率'!F13,'11_W0_含水率'!H13)</x:f>
        <x:v>4</x:v>
      </x:c>
      <x:c r="F118" s="90" t="n">
        <x:f>IF(E118=0,"",AVERAGE('11_W0_含水率'!B13,'11_W0_含水率'!D13,'11_W0_含水率'!F13,'11_W0_含水率'!H13))</x:f>
        <x:v>37.975</x:v>
      </x:c>
      <x:c r="G118" s="90" t="n">
        <x:f>IF(E118&lt;2,"",STDEV.S('11_W0_含水率'!B13,'11_W0_含水率'!D13,'11_W0_含水率'!F13,'11_W0_含水率'!H13))</x:f>
        <x:v>3.0630866784993196</x:v>
      </x:c>
      <x:c r="H118" s="90" t="n">
        <x:f>IF(E118=0,"",MIN('11_W0_含水率'!B13,'11_W0_含水率'!D13,'11_W0_含水率'!F13,'11_W0_含水率'!H13))</x:f>
        <x:v>33.5</x:v>
      </x:c>
      <x:c r="I118" s="90" t="n">
        <x:f>IF(E118=0,"",MAX('11_W0_含水率'!B13,'11_W0_含水率'!D13,'11_W0_含水率'!F13,'11_W0_含水率'!H13))</x:f>
        <x:v>40.3</x:v>
      </x:c>
      <x:c r="J118" s="32" t="str">
        <x:v>%</x:v>
      </x:c>
    </x:row>
    <x:row r="119">
      <x:c r="A119" s="72" t="n">
        <x:v>46240.83047453704</x:v>
      </x:c>
      <x:c r="B119" s="32" t="str">
        <x:v>土壤含水率</x:v>
      </x:c>
      <x:c r="C119" s="32" t="str">
        <x:v>W0</x:v>
      </x:c>
      <x:c r="D119" s="32" t="str">
        <x:v>V2</x:v>
      </x:c>
      <x:c r="E119" s="86" t="n">
        <x:f>COUNT('11_W0_含水率'!C13,'11_W0_含水率'!E13,'11_W0_含水率'!G13,'11_W0_含水率'!I13)</x:f>
        <x:v>4</x:v>
      </x:c>
      <x:c r="F119" s="90" t="n">
        <x:f>IF(E119=0,"",AVERAGE('11_W0_含水率'!C13,'11_W0_含水率'!E13,'11_W0_含水率'!G13,'11_W0_含水率'!I13))</x:f>
        <x:v>37</x:v>
      </x:c>
      <x:c r="G119" s="90" t="n">
        <x:f>IF(E119&lt;2,"",STDEV.S('11_W0_含水率'!C13,'11_W0_含水率'!E13,'11_W0_含水率'!G13,'11_W0_含水率'!I13))</x:f>
        <x:v>4.127145906474999</x:v>
      </x:c>
      <x:c r="H119" s="90" t="n">
        <x:f>IF(E119=0,"",MIN('11_W0_含水率'!C13,'11_W0_含水率'!E13,'11_W0_含水率'!G13,'11_W0_含水率'!I13))</x:f>
        <x:v>32.9</x:v>
      </x:c>
      <x:c r="I119" s="90" t="n">
        <x:f>IF(E119=0,"",MAX('11_W0_含水率'!C13,'11_W0_含水率'!E13,'11_W0_含水率'!G13,'11_W0_含水率'!I13))</x:f>
        <x:v>41.6</x:v>
      </x:c>
      <x:c r="J119" s="32" t="str">
        <x:v>%</x:v>
      </x:c>
    </x:row>
    <x:row r="120">
      <x:c r="A120" s="72" t="n">
        <x:v>46240.83394675926</x:v>
      </x:c>
      <x:c r="B120" s="32" t="str">
        <x:v>土壤含水率</x:v>
      </x:c>
      <x:c r="C120" s="32" t="str">
        <x:v>W0</x:v>
      </x:c>
      <x:c r="D120" s="32" t="str">
        <x:v>V1</x:v>
      </x:c>
      <x:c r="E120" s="86" t="n">
        <x:f>COUNT('11_W0_含水率'!B14,'11_W0_含水率'!D14,'11_W0_含水率'!F14,'11_W0_含水率'!H14)</x:f>
        <x:v>4</x:v>
      </x:c>
      <x:c r="F120" s="90" t="n">
        <x:f>IF(E120=0,"",AVERAGE('11_W0_含水率'!B14,'11_W0_含水率'!D14,'11_W0_含水率'!F14,'11_W0_含水率'!H14))</x:f>
        <x:v>37.949999999999996</x:v>
      </x:c>
      <x:c r="G120" s="90" t="n">
        <x:f>IF(E120&lt;2,"",STDEV.S('11_W0_含水率'!B14,'11_W0_含水率'!D14,'11_W0_含水率'!F14,'11_W0_含水率'!H14))</x:f>
        <x:v>2.7258026340878025</x:v>
      </x:c>
      <x:c r="H120" s="90" t="n">
        <x:f>IF(E120=0,"",MIN('11_W0_含水率'!B14,'11_W0_含水率'!D14,'11_W0_含水率'!F14,'11_W0_含水率'!H14))</x:f>
        <x:v>33.9</x:v>
      </x:c>
      <x:c r="I120" s="90" t="n">
        <x:f>IF(E120=0,"",MAX('11_W0_含水率'!B14,'11_W0_含水率'!D14,'11_W0_含水率'!F14,'11_W0_含水率'!H14))</x:f>
        <x:v>39.8</x:v>
      </x:c>
      <x:c r="J120" s="32" t="str">
        <x:v>%</x:v>
      </x:c>
    </x:row>
    <x:row r="121">
      <x:c r="A121" s="72" t="n">
        <x:v>46240.83394675926</x:v>
      </x:c>
      <x:c r="B121" s="32" t="str">
        <x:v>土壤含水率</x:v>
      </x:c>
      <x:c r="C121" s="32" t="str">
        <x:v>W0</x:v>
      </x:c>
      <x:c r="D121" s="32" t="str">
        <x:v>V2</x:v>
      </x:c>
      <x:c r="E121" s="86" t="n">
        <x:f>COUNT('11_W0_含水率'!C14,'11_W0_含水率'!E14,'11_W0_含水率'!G14,'11_W0_含水率'!I14)</x:f>
        <x:v>4</x:v>
      </x:c>
      <x:c r="F121" s="90" t="n">
        <x:f>IF(E121=0,"",AVERAGE('11_W0_含水率'!C14,'11_W0_含水率'!E14,'11_W0_含水率'!G14,'11_W0_含水率'!I14))</x:f>
        <x:v>36.975</x:v>
      </x:c>
      <x:c r="G121" s="90" t="n">
        <x:f>IF(E121&lt;2,"",STDEV.S('11_W0_含水率'!C14,'11_W0_含水率'!E14,'11_W0_含水率'!G14,'11_W0_含水率'!I14))</x:f>
        <x:v>4.153211608703156</x:v>
      </x:c>
      <x:c r="H121" s="90" t="n">
        <x:f>IF(E121=0,"",MIN('11_W0_含水率'!C14,'11_W0_含水率'!E14,'11_W0_含水率'!G14,'11_W0_含水率'!I14))</x:f>
        <x:v>32.5</x:v>
      </x:c>
      <x:c r="I121" s="90" t="n">
        <x:f>IF(E121=0,"",MAX('11_W0_含水率'!C14,'11_W0_含水率'!E14,'11_W0_含水率'!G14,'11_W0_含水率'!I14))</x:f>
        <x:v>41.3</x:v>
      </x:c>
      <x:c r="J121" s="32" t="str">
        <x:v>%</x:v>
      </x:c>
    </x:row>
    <x:row r="122">
      <x:c r="A122" s="72" t="n">
        <x:v>46240.83741898148</x:v>
      </x:c>
      <x:c r="B122" s="32" t="str">
        <x:v>土壤含水率</x:v>
      </x:c>
      <x:c r="C122" s="32" t="str">
        <x:v>W0</x:v>
      </x:c>
      <x:c r="D122" s="32" t="str">
        <x:v>V1</x:v>
      </x:c>
      <x:c r="E122" s="86" t="n">
        <x:f>COUNT('11_W0_含水率'!B15,'11_W0_含水率'!D15,'11_W0_含水率'!F15,'11_W0_含水率'!H15)</x:f>
        <x:v>4</x:v>
      </x:c>
      <x:c r="F122" s="90" t="n">
        <x:f>IF(E122=0,"",AVERAGE('11_W0_含水率'!B15,'11_W0_含水率'!D15,'11_W0_含水率'!F15,'11_W0_含水率'!H15))</x:f>
        <x:v>37.975</x:v>
      </x:c>
      <x:c r="G122" s="90" t="n">
        <x:f>IF(E122&lt;2,"",STDEV.S('11_W0_含水率'!B15,'11_W0_含水率'!D15,'11_W0_含水率'!F15,'11_W0_含水率'!H15))</x:f>
        <x:v>2.3893862531341954</x:v>
      </x:c>
      <x:c r="H122" s="90" t="n">
        <x:f>IF(E122=0,"",MIN('11_W0_含水率'!B15,'11_W0_含水率'!D15,'11_W0_含水率'!F15,'11_W0_含水率'!H15))</x:f>
        <x:v>34.4</x:v>
      </x:c>
      <x:c r="I122" s="90" t="n">
        <x:f>IF(E122=0,"",MAX('11_W0_含水率'!B15,'11_W0_含水率'!D15,'11_W0_含水率'!F15,'11_W0_含水率'!H15))</x:f>
        <x:v>39.4</x:v>
      </x:c>
      <x:c r="J122" s="32" t="str">
        <x:v>%</x:v>
      </x:c>
    </x:row>
    <x:row r="123">
      <x:c r="A123" s="72" t="n">
        <x:v>46240.83741898148</x:v>
      </x:c>
      <x:c r="B123" s="32" t="str">
        <x:v>土壤含水率</x:v>
      </x:c>
      <x:c r="C123" s="32" t="str">
        <x:v>W0</x:v>
      </x:c>
      <x:c r="D123" s="32" t="str">
        <x:v>V2</x:v>
      </x:c>
      <x:c r="E123" s="86" t="n">
        <x:f>COUNT('11_W0_含水率'!C15,'11_W0_含水率'!E15,'11_W0_含水率'!G15,'11_W0_含水率'!I15)</x:f>
        <x:v>4</x:v>
      </x:c>
      <x:c r="F123" s="90" t="n">
        <x:f>IF(E123=0,"",AVERAGE('11_W0_含水率'!C15,'11_W0_含水率'!E15,'11_W0_含水率'!G15,'11_W0_含水率'!I15))</x:f>
        <x:v>36.949999999999996</x:v>
      </x:c>
      <x:c r="G123" s="90" t="n">
        <x:f>IF(E123&lt;2,"",STDEV.S('11_W0_含水率'!C15,'11_W0_含水率'!E15,'11_W0_含水率'!G15,'11_W0_含水率'!I15))</x:f>
        <x:v>4.094304987825567</x:v>
      </x:c>
      <x:c r="H123" s="90" t="n">
        <x:f>IF(E123=0,"",MIN('11_W0_含水率'!C15,'11_W0_含水率'!E15,'11_W0_含水率'!G15,'11_W0_含水率'!I15))</x:f>
        <x:v>32.2</x:v>
      </x:c>
      <x:c r="I123" s="90" t="n">
        <x:f>IF(E123=0,"",MAX('11_W0_含水率'!C15,'11_W0_含水率'!E15,'11_W0_含水率'!G15,'11_W0_含水率'!I15))</x:f>
        <x:v>40.8</x:v>
      </x:c>
      <x:c r="J123" s="32" t="str">
        <x:v>%</x:v>
      </x:c>
    </x:row>
    <x:row r="124">
      <x:c r="A124" s="72" t="n">
        <x:v>46240.840891203705</x:v>
      </x:c>
      <x:c r="B124" s="32" t="str">
        <x:v>土壤含水率</x:v>
      </x:c>
      <x:c r="C124" s="32" t="str">
        <x:v>W0</x:v>
      </x:c>
      <x:c r="D124" s="32" t="str">
        <x:v>V1</x:v>
      </x:c>
      <x:c r="E124" s="86" t="n">
        <x:f>COUNT('11_W0_含水率'!B16,'11_W0_含水率'!D16,'11_W0_含水率'!F16,'11_W0_含水率'!H16)</x:f>
        <x:v>4</x:v>
      </x:c>
      <x:c r="F124" s="90" t="n">
        <x:f>IF(E124=0,"",AVERAGE('11_W0_含水率'!B16,'11_W0_含水率'!D16,'11_W0_含水率'!F16,'11_W0_含水率'!H16))</x:f>
        <x:v>37.925</x:v>
      </x:c>
      <x:c r="G124" s="90" t="n">
        <x:f>IF(E124&lt;2,"",STDEV.S('11_W0_含水率'!B16,'11_W0_含水率'!D16,'11_W0_含水率'!F16,'11_W0_含水率'!H16))</x:f>
        <x:v>2.083866598417472</x:v>
      </x:c>
      <x:c r="H124" s="90" t="n">
        <x:f>IF(E124=0,"",MIN('11_W0_含水率'!B16,'11_W0_含水率'!D16,'11_W0_含水率'!F16,'11_W0_含水率'!H16))</x:f>
        <x:v>34.8</x:v>
      </x:c>
      <x:c r="I124" s="90" t="n">
        <x:f>IF(E124=0,"",MAX('11_W0_含水率'!B16,'11_W0_含水率'!D16,'11_W0_含水率'!F16,'11_W0_含水率'!H16))</x:f>
        <x:v>39</x:v>
      </x:c>
      <x:c r="J124" s="32" t="str">
        <x:v>%</x:v>
      </x:c>
    </x:row>
    <x:row r="125">
      <x:c r="A125" s="72" t="n">
        <x:v>46240.840891203705</x:v>
      </x:c>
      <x:c r="B125" s="32" t="str">
        <x:v>土壤含水率</x:v>
      </x:c>
      <x:c r="C125" s="32" t="str">
        <x:v>W0</x:v>
      </x:c>
      <x:c r="D125" s="32" t="str">
        <x:v>V2</x:v>
      </x:c>
      <x:c r="E125" s="86" t="n">
        <x:f>COUNT('11_W0_含水率'!C16,'11_W0_含水率'!E16,'11_W0_含水率'!G16,'11_W0_含水率'!I16)</x:f>
        <x:v>4</x:v>
      </x:c>
      <x:c r="F125" s="90" t="n">
        <x:f>IF(E125=0,"",AVERAGE('11_W0_含水率'!C16,'11_W0_含水率'!E16,'11_W0_含水率'!G16,'11_W0_含水率'!I16))</x:f>
        <x:v>36.975</x:v>
      </x:c>
      <x:c r="G125" s="90" t="n">
        <x:f>IF(E125&lt;2,"",STDEV.S('11_W0_含水率'!C16,'11_W0_含水率'!E16,'11_W0_含水率'!G16,'11_W0_含水率'!I16))</x:f>
        <x:v>3.963479111420503</x:v>
      </x:c>
      <x:c r="H125" s="90" t="n">
        <x:f>IF(E125=0,"",MIN('11_W0_含水率'!C16,'11_W0_含水率'!E16,'11_W0_含水率'!G16,'11_W0_含水率'!I16))</x:f>
        <x:v>32.1</x:v>
      </x:c>
      <x:c r="I125" s="90" t="n">
        <x:f>IF(E125=0,"",MAX('11_W0_含水率'!C16,'11_W0_含水率'!E16,'11_W0_含水率'!G16,'11_W0_含水率'!I16))</x:f>
        <x:v>40.4</x:v>
      </x:c>
      <x:c r="J125" s="32" t="str">
        <x:v>%</x:v>
      </x:c>
    </x:row>
    <x:row r="126">
      <x:c r="A126" s="72" t="n">
        <x:v>46240.844363425924</x:v>
      </x:c>
      <x:c r="B126" s="32" t="str">
        <x:v>土壤含水率</x:v>
      </x:c>
      <x:c r="C126" s="32" t="str">
        <x:v>W0</x:v>
      </x:c>
      <x:c r="D126" s="32" t="str">
        <x:v>V1</x:v>
      </x:c>
      <x:c r="E126" s="86" t="n">
        <x:f>COUNT('11_W0_含水率'!B17,'11_W0_含水率'!D17,'11_W0_含水率'!F17,'11_W0_含水率'!H17)</x:f>
        <x:v>4</x:v>
      </x:c>
      <x:c r="F126" s="90" t="n">
        <x:f>IF(E126=0,"",AVERAGE('11_W0_含水率'!B17,'11_W0_含水率'!D17,'11_W0_含水率'!F17,'11_W0_含水率'!H17))</x:f>
        <x:v>37.925000000000004</x:v>
      </x:c>
      <x:c r="G126" s="90" t="n">
        <x:f>IF(E126&lt;2,"",STDEV.S('11_W0_含水率'!B17,'11_W0_含水率'!D17,'11_W0_含水率'!F17,'11_W0_含水率'!H17))</x:f>
        <x:v>1.7745891543302836</x:v>
      </x:c>
      <x:c r="H126" s="90" t="n">
        <x:f>IF(E126=0,"",MIN('11_W0_含水率'!B17,'11_W0_含水率'!D17,'11_W0_含水率'!F17,'11_W0_含水率'!H17))</x:f>
        <x:v>35.3</x:v>
      </x:c>
      <x:c r="I126" s="90" t="n">
        <x:f>IF(E126=0,"",MAX('11_W0_含水率'!B17,'11_W0_含水率'!D17,'11_W0_含水率'!F17,'11_W0_含水率'!H17))</x:f>
        <x:v>39.1</x:v>
      </x:c>
      <x:c r="J126" s="32" t="str">
        <x:v>%</x:v>
      </x:c>
    </x:row>
    <x:row r="127">
      <x:c r="A127" s="72" t="n">
        <x:v>46240.844363425924</x:v>
      </x:c>
      <x:c r="B127" s="32" t="str">
        <x:v>土壤含水率</x:v>
      </x:c>
      <x:c r="C127" s="32" t="str">
        <x:v>W0</x:v>
      </x:c>
      <x:c r="D127" s="32" t="str">
        <x:v>V2</x:v>
      </x:c>
      <x:c r="E127" s="86" t="n">
        <x:f>COUNT('11_W0_含水率'!C17,'11_W0_含水率'!E17,'11_W0_含水率'!G17,'11_W0_含水率'!I17)</x:f>
        <x:v>4</x:v>
      </x:c>
      <x:c r="F127" s="90" t="n">
        <x:f>IF(E127=0,"",AVERAGE('11_W0_含水率'!C17,'11_W0_含水率'!E17,'11_W0_含水率'!G17,'11_W0_含水率'!I17))</x:f>
        <x:v>36.925</x:v>
      </x:c>
      <x:c r="G127" s="90" t="n">
        <x:f>IF(E127&lt;2,"",STDEV.S('11_W0_含水率'!C17,'11_W0_含水率'!E17,'11_W0_含水率'!G17,'11_W0_含水率'!I17))</x:f>
        <x:v>3.822193959843831</x:v>
      </x:c>
      <x:c r="H127" s="90" t="n">
        <x:f>IF(E127=0,"",MIN('11_W0_含水率'!C17,'11_W0_含水率'!E17,'11_W0_含水率'!G17,'11_W0_含水率'!I17))</x:f>
        <x:v>32</x:v>
      </x:c>
      <x:c r="I127" s="90" t="n">
        <x:f>IF(E127=0,"",MAX('11_W0_含水率'!C17,'11_W0_含水率'!E17,'11_W0_含水率'!G17,'11_W0_含水率'!I17))</x:f>
        <x:v>40</x:v>
      </x:c>
      <x:c r="J127" s="32" t="str">
        <x:v>%</x:v>
      </x:c>
    </x:row>
    <x:row r="128">
      <x:c r="A128" s="72" t="n">
        <x:v>46240.84783564815</x:v>
      </x:c>
      <x:c r="B128" s="32" t="str">
        <x:v>土壤含水率</x:v>
      </x:c>
      <x:c r="C128" s="32" t="str">
        <x:v>W0</x:v>
      </x:c>
      <x:c r="D128" s="32" t="str">
        <x:v>V1</x:v>
      </x:c>
      <x:c r="E128" s="86" t="n">
        <x:f>COUNT('11_W0_含水率'!B18,'11_W0_含水率'!D18,'11_W0_含水率'!F18,'11_W0_含水率'!H18)</x:f>
        <x:v>4</x:v>
      </x:c>
      <x:c r="F128" s="90" t="n">
        <x:f>IF(E128=0,"",AVERAGE('11_W0_含水率'!B18,'11_W0_含水率'!D18,'11_W0_含水率'!F18,'11_W0_含水率'!H18))</x:f>
        <x:v>37.875</x:v>
      </x:c>
      <x:c r="G128" s="90" t="n">
        <x:f>IF(E128&lt;2,"",STDEV.S('11_W0_含水率'!B18,'11_W0_含水率'!D18,'11_W0_含水率'!F18,'11_W0_含水率'!H18))</x:f>
        <x:v>1.481834448693018</x:v>
      </x:c>
      <x:c r="H128" s="90" t="n">
        <x:f>IF(E128=0,"",MIN('11_W0_含水率'!B18,'11_W0_含水率'!D18,'11_W0_含水率'!F18,'11_W0_含水率'!H18))</x:f>
        <x:v>35.8</x:v>
      </x:c>
      <x:c r="I128" s="90" t="n">
        <x:f>IF(E128=0,"",MAX('11_W0_含水率'!B18,'11_W0_含水率'!D18,'11_W0_含水率'!F18,'11_W0_含水率'!H18))</x:f>
        <x:v>39.2</x:v>
      </x:c>
      <x:c r="J128" s="32" t="str">
        <x:v>%</x:v>
      </x:c>
    </x:row>
    <x:row r="129">
      <x:c r="A129" s="72" t="n">
        <x:v>46240.84783564815</x:v>
      </x:c>
      <x:c r="B129" s="32" t="str">
        <x:v>土壤含水率</x:v>
      </x:c>
      <x:c r="C129" s="32" t="str">
        <x:v>W0</x:v>
      </x:c>
      <x:c r="D129" s="32" t="str">
        <x:v>V2</x:v>
      </x:c>
      <x:c r="E129" s="86" t="n">
        <x:f>COUNT('11_W0_含水率'!C18,'11_W0_含水率'!E18,'11_W0_含水率'!G18,'11_W0_含水率'!I18)</x:f>
        <x:v>4</x:v>
      </x:c>
      <x:c r="F129" s="90" t="n">
        <x:f>IF(E129=0,"",AVERAGE('11_W0_含水率'!C18,'11_W0_含水率'!E18,'11_W0_含水率'!G18,'11_W0_含水率'!I18))</x:f>
        <x:v>36.925000000000004</x:v>
      </x:c>
      <x:c r="G129" s="90" t="n">
        <x:f>IF(E129&lt;2,"",STDEV.S('11_W0_含水率'!C18,'11_W0_含水率'!E18,'11_W0_含水率'!G18,'11_W0_含水率'!I18))</x:f>
        <x:v>3.5892199709686214</x:v>
      </x:c>
      <x:c r="H129" s="90" t="n">
        <x:f>IF(E129=0,"",MIN('11_W0_含水率'!C18,'11_W0_含水率'!E18,'11_W0_含水率'!G18,'11_W0_含水率'!I18))</x:f>
        <x:v>32.1</x:v>
      </x:c>
      <x:c r="I129" s="90" t="n">
        <x:f>IF(E129=0,"",MAX('11_W0_含水率'!C18,'11_W0_含水率'!E18,'11_W0_含水率'!G18,'11_W0_含水率'!I18))</x:f>
        <x:v>39.9</x:v>
      </x:c>
      <x:c r="J129" s="32" t="str">
        <x:v>%</x:v>
      </x:c>
    </x:row>
    <x:row r="130">
      <x:c r="A130" s="72" t="n">
        <x:v>46240.85130787037</x:v>
      </x:c>
      <x:c r="B130" s="32" t="str">
        <x:v>土壤含水率</x:v>
      </x:c>
      <x:c r="C130" s="32" t="str">
        <x:v>W0</x:v>
      </x:c>
      <x:c r="D130" s="32" t="str">
        <x:v>V1</x:v>
      </x:c>
      <x:c r="E130" s="86" t="n">
        <x:f>COUNT('11_W0_含水率'!B19,'11_W0_含水率'!D19,'11_W0_含水率'!F19,'11_W0_含水率'!H19)</x:f>
        <x:v>4</x:v>
      </x:c>
      <x:c r="F130" s="90" t="n">
        <x:f>IF(E130=0,"",AVERAGE('11_W0_含水率'!B19,'11_W0_含水率'!D19,'11_W0_含水率'!F19,'11_W0_含水率'!H19))</x:f>
        <x:v>37.875</x:v>
      </x:c>
      <x:c r="G130" s="90" t="n">
        <x:f>IF(E130&lt;2,"",STDEV.S('11_W0_含水率'!B19,'11_W0_含水率'!D19,'11_W0_含水率'!F19,'11_W0_含水率'!H19))</x:f>
        <x:v>1.3865424623862033</x:v>
      </x:c>
      <x:c r="H130" s="90" t="n">
        <x:f>IF(E130=0,"",MIN('11_W0_含水率'!B19,'11_W0_含水率'!D19,'11_W0_含水率'!F19,'11_W0_含水率'!H19))</x:f>
        <x:v>36.2</x:v>
      </x:c>
      <x:c r="I130" s="90" t="n">
        <x:f>IF(E130=0,"",MAX('11_W0_含水率'!B19,'11_W0_含水率'!D19,'11_W0_含水率'!F19,'11_W0_含水率'!H19))</x:f>
        <x:v>39.5</x:v>
      </x:c>
      <x:c r="J130" s="32" t="str">
        <x:v>%</x:v>
      </x:c>
    </x:row>
    <x:row r="131">
      <x:c r="A131" s="72" t="n">
        <x:v>46240.85130787037</x:v>
      </x:c>
      <x:c r="B131" s="32" t="str">
        <x:v>土壤含水率</x:v>
      </x:c>
      <x:c r="C131" s="32" t="str">
        <x:v>W0</x:v>
      </x:c>
      <x:c r="D131" s="32" t="str">
        <x:v>V2</x:v>
      </x:c>
      <x:c r="E131" s="86" t="n">
        <x:f>COUNT('11_W0_含水率'!C19,'11_W0_含水率'!E19,'11_W0_含水率'!G19,'11_W0_含水率'!I19)</x:f>
        <x:v>4</x:v>
      </x:c>
      <x:c r="F131" s="90" t="n">
        <x:f>IF(E131=0,"",AVERAGE('11_W0_含水率'!C19,'11_W0_含水率'!E19,'11_W0_含水率'!G19,'11_W0_含水率'!I19))</x:f>
        <x:v>36.875</x:v>
      </x:c>
      <x:c r="G131" s="90" t="n">
        <x:f>IF(E131&lt;2,"",STDEV.S('11_W0_含水率'!C19,'11_W0_含水率'!E19,'11_W0_含水率'!G19,'11_W0_含水率'!I19))</x:f>
        <x:v>3.3360405672993036</x:v>
      </x:c>
      <x:c r="H131" s="90" t="n">
        <x:f>IF(E131=0,"",MIN('11_W0_含水率'!C19,'11_W0_含水率'!E19,'11_W0_含水率'!G19,'11_W0_含水率'!I19))</x:f>
        <x:v>32.2</x:v>
      </x:c>
      <x:c r="I131" s="90" t="n">
        <x:f>IF(E131=0,"",MAX('11_W0_含水率'!C19,'11_W0_含水率'!E19,'11_W0_含水率'!G19,'11_W0_含水率'!I19))</x:f>
        <x:v>39.6</x:v>
      </x:c>
      <x:c r="J131" s="32" t="str">
        <x:v>%</x:v>
      </x:c>
    </x:row>
    <x:row r="132">
      <x:c r="A132" s="72" t="n">
        <x:v>46240.854780092595</x:v>
      </x:c>
      <x:c r="B132" s="32" t="str">
        <x:v>土壤含水率</x:v>
      </x:c>
      <x:c r="C132" s="32" t="str">
        <x:v>W0</x:v>
      </x:c>
      <x:c r="D132" s="32" t="str">
        <x:v>V1</x:v>
      </x:c>
      <x:c r="E132" s="86" t="n">
        <x:f>COUNT('11_W0_含水率'!B20,'11_W0_含水率'!D20,'11_W0_含水率'!F20,'11_W0_含水率'!H20)</x:f>
        <x:v>4</x:v>
      </x:c>
      <x:c r="F132" s="90" t="n">
        <x:f>IF(E132=0,"",AVERAGE('11_W0_含水率'!B20,'11_W0_含水率'!D20,'11_W0_含水率'!F20,'11_W0_含水率'!H20))</x:f>
        <x:v>37.875</x:v>
      </x:c>
      <x:c r="G132" s="90" t="n">
        <x:f>IF(E132&lt;2,"",STDEV.S('11_W0_含水率'!B20,'11_W0_含水率'!D20,'11_W0_含水率'!F20,'11_W0_含水率'!H20))</x:f>
        <x:v>1.4361406616345058</x:v>
      </x:c>
      <x:c r="H132" s="90" t="n">
        <x:f>IF(E132=0,"",MIN('11_W0_含水率'!B20,'11_W0_含水率'!D20,'11_W0_含水率'!F20,'11_W0_含水率'!H20))</x:f>
        <x:v>36.6</x:v>
      </x:c>
      <x:c r="I132" s="90" t="n">
        <x:f>IF(E132=0,"",MAX('11_W0_含水率'!B20,'11_W0_含水率'!D20,'11_W0_含水率'!F20,'11_W0_含水率'!H20))</x:f>
        <x:v>39.9</x:v>
      </x:c>
      <x:c r="J132" s="32" t="str">
        <x:v>%</x:v>
      </x:c>
    </x:row>
    <x:row r="133">
      <x:c r="A133" s="72" t="n">
        <x:v>46240.854780092595</x:v>
      </x:c>
      <x:c r="B133" s="32" t="str">
        <x:v>土壤含水率</x:v>
      </x:c>
      <x:c r="C133" s="32" t="str">
        <x:v>W0</x:v>
      </x:c>
      <x:c r="D133" s="32" t="str">
        <x:v>V2</x:v>
      </x:c>
      <x:c r="E133" s="86" t="n">
        <x:f>COUNT('11_W0_含水率'!C20,'11_W0_含水率'!E20,'11_W0_含水率'!G20,'11_W0_含水率'!I20)</x:f>
        <x:v>4</x:v>
      </x:c>
      <x:c r="F133" s="90" t="n">
        <x:f>IF(E133=0,"",AVERAGE('11_W0_含水率'!C20,'11_W0_含水率'!E20,'11_W0_含水率'!G20,'11_W0_含水率'!I20))</x:f>
        <x:v>36.875</x:v>
      </x:c>
      <x:c r="G133" s="90" t="n">
        <x:f>IF(E133&lt;2,"",STDEV.S('11_W0_含水率'!C20,'11_W0_含水率'!E20,'11_W0_含水率'!G20,'11_W0_含水率'!I20))</x:f>
        <x:v>3.042340108096616</x:v>
      </x:c>
      <x:c r="H133" s="90" t="n">
        <x:f>IF(E133=0,"",MIN('11_W0_含水率'!C20,'11_W0_含水率'!E20,'11_W0_含水率'!G20,'11_W0_含水率'!I20))</x:f>
        <x:v>32.5</x:v>
      </x:c>
      <x:c r="I133" s="90" t="n">
        <x:f>IF(E133=0,"",MAX('11_W0_含水率'!C20,'11_W0_含水率'!E20,'11_W0_含水率'!G20,'11_W0_含水率'!I20))</x:f>
        <x:v>39.3</x:v>
      </x:c>
      <x:c r="J133" s="32" t="str">
        <x:v>%</x:v>
      </x:c>
    </x:row>
    <x:row r="134">
      <x:c r="A134" s="72" t="n">
        <x:v>46240.858252314814</x:v>
      </x:c>
      <x:c r="B134" s="32" t="str">
        <x:v>土壤含水率</x:v>
      </x:c>
      <x:c r="C134" s="32" t="str">
        <x:v>W0</x:v>
      </x:c>
      <x:c r="D134" s="32" t="str">
        <x:v>V1</x:v>
      </x:c>
      <x:c r="E134" s="86" t="n">
        <x:f>COUNT('11_W0_含水率'!B21,'11_W0_含水率'!D21,'11_W0_含水率'!F21,'11_W0_含水率'!H21)</x:f>
        <x:v>4</x:v>
      </x:c>
      <x:c r="F134" s="90" t="n">
        <x:f>IF(E134=0,"",AVERAGE('11_W0_含水率'!B21,'11_W0_含水率'!D21,'11_W0_含水率'!F21,'11_W0_含水率'!H21))</x:f>
        <x:v>37.925</x:v>
      </x:c>
      <x:c r="G134" s="90" t="n">
        <x:f>IF(E134&lt;2,"",STDEV.S('11_W0_含水率'!B21,'11_W0_含水率'!D21,'11_W0_含水率'!F21,'11_W0_含水率'!H21))</x:f>
        <x:v>1.6680827317612275</x:v>
      </x:c>
      <x:c r="H134" s="90" t="n">
        <x:f>IF(E134=0,"",MIN('11_W0_含水率'!B21,'11_W0_含水率'!D21,'11_W0_含水率'!F21,'11_W0_含水率'!H21))</x:f>
        <x:v>36.8</x:v>
      </x:c>
      <x:c r="I134" s="90" t="n">
        <x:f>IF(E134=0,"",MAX('11_W0_含水率'!B21,'11_W0_含水率'!D21,'11_W0_含水率'!F21,'11_W0_含水率'!H21))</x:f>
        <x:v>40.4</x:v>
      </x:c>
      <x:c r="J134" s="32" t="str">
        <x:v>%</x:v>
      </x:c>
    </x:row>
    <x:row r="135">
      <x:c r="A135" s="72" t="n">
        <x:v>46240.858252314814</x:v>
      </x:c>
      <x:c r="B135" s="32" t="str">
        <x:v>土壤含水率</x:v>
      </x:c>
      <x:c r="C135" s="32" t="str">
        <x:v>W0</x:v>
      </x:c>
      <x:c r="D135" s="32" t="str">
        <x:v>V2</x:v>
      </x:c>
      <x:c r="E135" s="86" t="n">
        <x:f>COUNT('11_W0_含水率'!C21,'11_W0_含水率'!E21,'11_W0_含水率'!G21,'11_W0_含水率'!I21)</x:f>
        <x:v>4</x:v>
      </x:c>
      <x:c r="F135" s="90" t="n">
        <x:f>IF(E135=0,"",AVERAGE('11_W0_含水率'!C21,'11_W0_含水率'!E21,'11_W0_含水率'!G21,'11_W0_含水率'!I21))</x:f>
        <x:v>36.875</x:v>
      </x:c>
      <x:c r="G135" s="90" t="n">
        <x:f>IF(E135&lt;2,"",STDEV.S('11_W0_含水率'!C21,'11_W0_含水率'!E21,'11_W0_含水率'!G21,'11_W0_含水率'!I21))</x:f>
        <x:v>2.6949025956423736</x:v>
      </x:c>
      <x:c r="H135" s="90" t="n">
        <x:f>IF(E135=0,"",MIN('11_W0_含水率'!C21,'11_W0_含水率'!E21,'11_W0_含水率'!G21,'11_W0_含水率'!I21))</x:f>
        <x:v>32.9</x:v>
      </x:c>
      <x:c r="I135" s="90" t="n">
        <x:f>IF(E135=0,"",MAX('11_W0_含水率'!C21,'11_W0_含水率'!E21,'11_W0_含水率'!G21,'11_W0_含水率'!I21))</x:f>
        <x:v>38.8</x:v>
      </x:c>
      <x:c r="J135" s="32" t="str">
        <x:v>%</x:v>
      </x:c>
    </x:row>
    <x:row r="136">
      <x:c r="A136" s="72" t="n">
        <x:v>46240.86172453704</x:v>
      </x:c>
      <x:c r="B136" s="32" t="str">
        <x:v>土壤含水率</x:v>
      </x:c>
      <x:c r="C136" s="32" t="str">
        <x:v>W0</x:v>
      </x:c>
      <x:c r="D136" s="32" t="str">
        <x:v>V1</x:v>
      </x:c>
      <x:c r="E136" s="86" t="n">
        <x:f>COUNT('11_W0_含水率'!B22,'11_W0_含水率'!D22,'11_W0_含水率'!F22,'11_W0_含水率'!H22)</x:f>
        <x:v>4</x:v>
      </x:c>
      <x:c r="F136" s="90" t="n">
        <x:f>IF(E136=0,"",AVERAGE('11_W0_含水率'!B22,'11_W0_含水率'!D22,'11_W0_含水率'!F22,'11_W0_含水率'!H22))</x:f>
        <x:v>37.925</x:v>
      </x:c>
      <x:c r="G136" s="90" t="n">
        <x:f>IF(E136&lt;2,"",STDEV.S('11_W0_含水率'!B22,'11_W0_含水率'!D22,'11_W0_含水率'!F22,'11_W0_含水率'!H22))</x:f>
        <x:v>1.917246289169268</x:v>
      </x:c>
      <x:c r="H136" s="90" t="n">
        <x:f>IF(E136=0,"",MIN('11_W0_含水率'!B22,'11_W0_含水率'!D22,'11_W0_含水率'!F22,'11_W0_含水率'!H22))</x:f>
        <x:v>36.9</x:v>
      </x:c>
      <x:c r="I136" s="90" t="n">
        <x:f>IF(E136=0,"",MAX('11_W0_含水率'!B22,'11_W0_含水率'!D22,'11_W0_含水率'!F22,'11_W0_含水率'!H22))</x:f>
        <x:v>40.8</x:v>
      </x:c>
      <x:c r="J136" s="32" t="str">
        <x:v>%</x:v>
      </x:c>
    </x:row>
    <x:row r="137">
      <x:c r="A137" s="72" t="n">
        <x:v>46240.86172453704</x:v>
      </x:c>
      <x:c r="B137" s="32" t="str">
        <x:v>土壤含水率</x:v>
      </x:c>
      <x:c r="C137" s="32" t="str">
        <x:v>W0</x:v>
      </x:c>
      <x:c r="D137" s="32" t="str">
        <x:v>V2</x:v>
      </x:c>
      <x:c r="E137" s="86" t="n">
        <x:f>COUNT('11_W0_含水率'!C22,'11_W0_含水率'!E22,'11_W0_含水率'!G22,'11_W0_含水率'!I22)</x:f>
        <x:v>4</x:v>
      </x:c>
      <x:c r="F137" s="90" t="n">
        <x:f>IF(E137=0,"",AVERAGE('11_W0_含水率'!C22,'11_W0_含水率'!E22,'11_W0_含水率'!G22,'11_W0_含水率'!I22))</x:f>
        <x:v>36.925</x:v>
      </x:c>
      <x:c r="G137" s="90" t="n">
        <x:f>IF(E137&lt;2,"",STDEV.S('11_W0_含水率'!C22,'11_W0_含水率'!E22,'11_W0_含水率'!G22,'11_W0_含水率'!I22))</x:f>
        <x:v>2.362731470142132</x:v>
      </x:c>
      <x:c r="H137" s="90" t="n">
        <x:f>IF(E137=0,"",MIN('11_W0_含水率'!C22,'11_W0_含水率'!E22,'11_W0_含水率'!G22,'11_W0_含水率'!I22))</x:f>
        <x:v>33.4</x:v>
      </x:c>
      <x:c r="I137" s="90" t="n">
        <x:f>IF(E137=0,"",MAX('11_W0_含水率'!C22,'11_W0_含水率'!E22,'11_W0_含水率'!G22,'11_W0_含水率'!I22))</x:f>
        <x:v>38.4</x:v>
      </x:c>
      <x:c r="J137" s="32" t="str">
        <x:v>%</x:v>
      </x:c>
    </x:row>
    <x:row r="138">
      <x:c r="A138" s="72" t="n">
        <x:v>46240.86519675926</x:v>
      </x:c>
      <x:c r="B138" s="32" t="str">
        <x:v>土壤含水率</x:v>
      </x:c>
      <x:c r="C138" s="32" t="str">
        <x:v>W0</x:v>
      </x:c>
      <x:c r="D138" s="32" t="str">
        <x:v>V1</x:v>
      </x:c>
      <x:c r="E138" s="86" t="n">
        <x:f>COUNT('11_W0_含水率'!B23,'11_W0_含水率'!D23,'11_W0_含水率'!F23,'11_W0_含水率'!H23)</x:f>
        <x:v>4</x:v>
      </x:c>
      <x:c r="F138" s="90" t="n">
        <x:f>IF(E138=0,"",AVERAGE('11_W0_含水率'!B23,'11_W0_含水率'!D23,'11_W0_含水率'!F23,'11_W0_含水率'!H23))</x:f>
        <x:v>37.95</x:v>
      </x:c>
      <x:c r="G138" s="90" t="n">
        <x:f>IF(E138&lt;2,"",STDEV.S('11_W0_含水率'!B23,'11_W0_含水率'!D23,'11_W0_含水率'!F23,'11_W0_含水率'!H23))</x:f>
        <x:v>2.254624876411446</x:v>
      </x:c>
      <x:c r="H138" s="90" t="n">
        <x:f>IF(E138=0,"",MIN('11_W0_含水率'!B23,'11_W0_含水率'!D23,'11_W0_含水率'!F23,'11_W0_含水率'!H23))</x:f>
        <x:v>36.4</x:v>
      </x:c>
      <x:c r="I138" s="90" t="n">
        <x:f>IF(E138=0,"",MAX('11_W0_含水率'!B23,'11_W0_含水率'!D23,'11_W0_含水率'!F23,'11_W0_含水率'!H23))</x:f>
        <x:v>41.3</x:v>
      </x:c>
      <x:c r="J138" s="32" t="str">
        <x:v>%</x:v>
      </x:c>
    </x:row>
    <x:row r="139">
      <x:c r="A139" s="72" t="n">
        <x:v>46240.86519675926</x:v>
      </x:c>
      <x:c r="B139" s="32" t="str">
        <x:v>土壤含水率</x:v>
      </x:c>
      <x:c r="C139" s="32" t="str">
        <x:v>W0</x:v>
      </x:c>
      <x:c r="D139" s="32" t="str">
        <x:v>V2</x:v>
      </x:c>
      <x:c r="E139" s="86" t="n">
        <x:f>COUNT('11_W0_含水率'!C23,'11_W0_含水率'!E23,'11_W0_含水率'!G23,'11_W0_含水率'!I23)</x:f>
        <x:v>4</x:v>
      </x:c>
      <x:c r="F139" s="90" t="n">
        <x:f>IF(E139=0,"",AVERAGE('11_W0_含水率'!C23,'11_W0_含水率'!E23,'11_W0_含水率'!G23,'11_W0_含水率'!I23))</x:f>
        <x:v>36.925</x:v>
      </x:c>
      <x:c r="G139" s="90" t="n">
        <x:f>IF(E139&lt;2,"",STDEV.S('11_W0_含水率'!C23,'11_W0_含水率'!E23,'11_W0_含水率'!G23,'11_W0_含水率'!I23))</x:f>
        <x:v>2.083866598417472</x:v>
      </x:c>
      <x:c r="H139" s="90" t="n">
        <x:f>IF(E139=0,"",MIN('11_W0_含水率'!C23,'11_W0_含水率'!E23,'11_W0_含水率'!G23,'11_W0_含水率'!I23))</x:f>
        <x:v>33.8</x:v>
      </x:c>
      <x:c r="I139" s="90" t="n">
        <x:f>IF(E139=0,"",MAX('11_W0_含水率'!C23,'11_W0_含水率'!E23,'11_W0_含水率'!G23,'11_W0_含水率'!I23))</x:f>
        <x:v>38</x:v>
      </x:c>
      <x:c r="J139" s="32" t="str">
        <x:v>%</x:v>
      </x:c>
    </x:row>
    <x:row r="140">
      <x:c r="A140" s="72" t="n">
        <x:v>46240.86866898148</x:v>
      </x:c>
      <x:c r="B140" s="32" t="str">
        <x:v>土壤含水率</x:v>
      </x:c>
      <x:c r="C140" s="32" t="str">
        <x:v>W0</x:v>
      </x:c>
      <x:c r="D140" s="32" t="str">
        <x:v>V1</x:v>
      </x:c>
      <x:c r="E140" s="86" t="n">
        <x:f>COUNT('11_W0_含水率'!B24,'11_W0_含水率'!D24,'11_W0_含水率'!F24,'11_W0_含水率'!H24)</x:f>
        <x:v>4</x:v>
      </x:c>
      <x:c r="F140" s="90" t="n">
        <x:f>IF(E140=0,"",AVERAGE('11_W0_含水率'!B24,'11_W0_含水率'!D24,'11_W0_含水率'!F24,'11_W0_含水率'!H24))</x:f>
        <x:v>37.949999999999996</x:v>
      </x:c>
      <x:c r="G140" s="90" t="n">
        <x:f>IF(E140&lt;2,"",STDEV.S('11_W0_含水率'!B24,'11_W0_含水率'!D24,'11_W0_含水率'!F24,'11_W0_含水率'!H24))</x:f>
        <x:v>2.6261505415087423</x:v>
      </x:c>
      <x:c r="H140" s="90" t="n">
        <x:f>IF(E140=0,"",MIN('11_W0_含水率'!B24,'11_W0_含水率'!D24,'11_W0_含水率'!F24,'11_W0_含水率'!H24))</x:f>
        <x:v>35.9</x:v>
      </x:c>
      <x:c r="I140" s="90" t="n">
        <x:f>IF(E140=0,"",MAX('11_W0_含水率'!B24,'11_W0_含水率'!D24,'11_W0_含水率'!F24,'11_W0_含水率'!H24))</x:f>
        <x:v>41.8</x:v>
      </x:c>
      <x:c r="J140" s="32" t="str">
        <x:v>%</x:v>
      </x:c>
    </x:row>
    <x:row r="141">
      <x:c r="A141" s="72" t="n">
        <x:v>46240.86866898148</x:v>
      </x:c>
      <x:c r="B141" s="32" t="str">
        <x:v>土壤含水率</x:v>
      </x:c>
      <x:c r="C141" s="32" t="str">
        <x:v>W0</x:v>
      </x:c>
      <x:c r="D141" s="32" t="str">
        <x:v>V2</x:v>
      </x:c>
      <x:c r="E141" s="86" t="n">
        <x:f>COUNT('11_W0_含水率'!C24,'11_W0_含水率'!E24,'11_W0_含水率'!G24,'11_W0_含水率'!I24)</x:f>
        <x:v>4</x:v>
      </x:c>
      <x:c r="F141" s="90" t="n">
        <x:f>IF(E141=0,"",AVERAGE('11_W0_含水率'!C24,'11_W0_含水率'!E24,'11_W0_含水率'!G24,'11_W0_含水率'!I24))</x:f>
        <x:v>36.95</x:v>
      </x:c>
      <x:c r="G141" s="90" t="n">
        <x:f>IF(E141&lt;2,"",STDEV.S('11_W0_含水率'!C24,'11_W0_含水率'!E24,'11_W0_含水率'!G24,'11_W0_含水率'!I24))</x:f>
        <x:v>1.7935068069752824</x:v>
      </x:c>
      <x:c r="H141" s="90" t="n">
        <x:f>IF(E141=0,"",MIN('11_W0_含水率'!C24,'11_W0_含水率'!E24,'11_W0_含水率'!G24,'11_W0_含水率'!I24))</x:f>
        <x:v>34.3</x:v>
      </x:c>
      <x:c r="I141" s="90" t="n">
        <x:f>IF(E141=0,"",MAX('11_W0_含水率'!C24,'11_W0_含水率'!E24,'11_W0_含水率'!G24,'11_W0_含水率'!I24))</x:f>
        <x:v>38.1</x:v>
      </x:c>
      <x:c r="J141" s="32" t="str">
        <x:v>%</x:v>
      </x:c>
    </x:row>
    <x:row r="142">
      <x:c r="A142" s="72" t="n">
        <x:v>46240.872141203705</x:v>
      </x:c>
      <x:c r="B142" s="32" t="str">
        <x:v>土壤含水率</x:v>
      </x:c>
      <x:c r="C142" s="32" t="str">
        <x:v>W0</x:v>
      </x:c>
      <x:c r="D142" s="32" t="str">
        <x:v>V1</x:v>
      </x:c>
      <x:c r="E142" s="86" t="n">
        <x:f>COUNT('11_W0_含水率'!B25,'11_W0_含水率'!D25,'11_W0_含水率'!F25,'11_W0_含水率'!H25)</x:f>
        <x:v>4</x:v>
      </x:c>
      <x:c r="F142" s="90" t="n">
        <x:f>IF(E142=0,"",AVERAGE('11_W0_含水率'!B25,'11_W0_含水率'!D25,'11_W0_含水率'!F25,'11_W0_含水率'!H25))</x:f>
        <x:v>37.95</x:v>
      </x:c>
      <x:c r="G142" s="90" t="n">
        <x:f>IF(E142&lt;2,"",STDEV.S('11_W0_含水率'!B25,'11_W0_含水率'!D25,'11_W0_含水率'!F25,'11_W0_含水率'!H25))</x:f>
        <x:v>2.9490111336966285</x:v>
      </x:c>
      <x:c r="H142" s="90" t="n">
        <x:f>IF(E142=0,"",MIN('11_W0_含水率'!B25,'11_W0_含水率'!D25,'11_W0_含水率'!F25,'11_W0_含水率'!H25))</x:f>
        <x:v>35.5</x:v>
      </x:c>
      <x:c r="I142" s="90" t="n">
        <x:f>IF(E142=0,"",MAX('11_W0_含水率'!B25,'11_W0_含水率'!D25,'11_W0_含水率'!F25,'11_W0_含水率'!H25))</x:f>
        <x:v>42.2</x:v>
      </x:c>
      <x:c r="J142" s="32" t="str">
        <x:v>%</x:v>
      </x:c>
    </x:row>
    <x:row r="143">
      <x:c r="A143" s="72" t="n">
        <x:v>46240.872141203705</x:v>
      </x:c>
      <x:c r="B143" s="32" t="str">
        <x:v>土壤含水率</x:v>
      </x:c>
      <x:c r="C143" s="32" t="str">
        <x:v>W0</x:v>
      </x:c>
      <x:c r="D143" s="32" t="str">
        <x:v>V2</x:v>
      </x:c>
      <x:c r="E143" s="86" t="n">
        <x:f>COUNT('11_W0_含水率'!C25,'11_W0_含水率'!E25,'11_W0_含水率'!G25,'11_W0_含水率'!I25)</x:f>
        <x:v>4</x:v>
      </x:c>
      <x:c r="F143" s="90" t="n">
        <x:f>IF(E143=0,"",AVERAGE('11_W0_含水率'!C25,'11_W0_含水率'!E25,'11_W0_含水率'!G25,'11_W0_含水率'!I25))</x:f>
        <x:v>36.949999999999996</x:v>
      </x:c>
      <x:c r="G143" s="90" t="n">
        <x:f>IF(E143&lt;2,"",STDEV.S('11_W0_含水率'!C25,'11_W0_含水率'!E25,'11_W0_含水率'!G25,'11_W0_含水率'!I25))</x:f>
        <x:v>1.537313674346696</x:v>
      </x:c>
      <x:c r="H143" s="90" t="n">
        <x:f>IF(E143=0,"",MIN('11_W0_含水率'!C25,'11_W0_含水率'!E25,'11_W0_含水率'!G25,'11_W0_含水率'!I25))</x:f>
        <x:v>34.8</x:v>
      </x:c>
      <x:c r="I143" s="90" t="n">
        <x:f>IF(E143=0,"",MAX('11_W0_含水率'!C25,'11_W0_含水率'!E25,'11_W0_含水率'!G25,'11_W0_含水率'!I25))</x:f>
        <x:v>38.2</x:v>
      </x:c>
      <x:c r="J143" s="32" t="str">
        <x:v>%</x:v>
      </x:c>
    </x:row>
    <x:row r="144">
      <x:c r="A144" s="72" t="n">
        <x:v>46240.875613425924</x:v>
      </x:c>
      <x:c r="B144" s="32" t="str">
        <x:v>土壤含水率</x:v>
      </x:c>
      <x:c r="C144" s="32" t="str">
        <x:v>W0</x:v>
      </x:c>
      <x:c r="D144" s="32" t="str">
        <x:v>V1</x:v>
      </x:c>
      <x:c r="E144" s="86" t="n">
        <x:f>COUNT('11_W0_含水率'!B26,'11_W0_含水率'!D26,'11_W0_含水率'!F26,'11_W0_含水率'!H26)</x:f>
        <x:v>4</x:v>
      </x:c>
      <x:c r="F144" s="90" t="n">
        <x:f>IF(E144=0,"",AVERAGE('11_W0_含水率'!B26,'11_W0_含水率'!D26,'11_W0_含水率'!F26,'11_W0_含水率'!H26))</x:f>
        <x:v>38</x:v>
      </x:c>
      <x:c r="G144" s="90" t="n">
        <x:f>IF(E144&lt;2,"",STDEV.S('11_W0_含水率'!B26,'11_W0_含水率'!D26,'11_W0_含水率'!F26,'11_W0_含水率'!H26))</x:f>
        <x:v>3.260879227038827</x:v>
      </x:c>
      <x:c r="H144" s="90" t="n">
        <x:f>IF(E144=0,"",MIN('11_W0_含水率'!B26,'11_W0_含水率'!D26,'11_W0_含水率'!F26,'11_W0_含水率'!H26))</x:f>
        <x:v>35.2</x:v>
      </x:c>
      <x:c r="I144" s="90" t="n">
        <x:f>IF(E144=0,"",MAX('11_W0_含水率'!B26,'11_W0_含水率'!D26,'11_W0_含水率'!F26,'11_W0_含水率'!H26))</x:f>
        <x:v>42.6</x:v>
      </x:c>
      <x:c r="J144" s="32" t="str">
        <x:v>%</x:v>
      </x:c>
    </x:row>
    <x:row r="145">
      <x:c r="A145" s="72" t="n">
        <x:v>46240.875613425924</x:v>
      </x:c>
      <x:c r="B145" s="32" t="str">
        <x:v>土壤含水率</x:v>
      </x:c>
      <x:c r="C145" s="32" t="str">
        <x:v>W0</x:v>
      </x:c>
      <x:c r="D145" s="32" t="str">
        <x:v>V2</x:v>
      </x:c>
      <x:c r="E145" s="86" t="n">
        <x:f>COUNT('11_W0_含水率'!C26,'11_W0_含水率'!E26,'11_W0_含水率'!G26,'11_W0_含水率'!I26)</x:f>
        <x:v>4</x:v>
      </x:c>
      <x:c r="F145" s="90" t="n">
        <x:f>IF(E145=0,"",AVERAGE('11_W0_含水率'!C26,'11_W0_含水率'!E26,'11_W0_含水率'!G26,'11_W0_含水率'!I26))</x:f>
        <x:v>36.95</x:v>
      </x:c>
      <x:c r="G145" s="90" t="n">
        <x:f>IF(E145&lt;2,"",STDEV.S('11_W0_含水率'!C26,'11_W0_含水率'!E26,'11_W0_含水率'!G26,'11_W0_含水率'!I26))</x:f>
        <x:v>1.4247806848774998</x:v>
      </x:c>
      <x:c r="H145" s="90" t="n">
        <x:f>IF(E145=0,"",MIN('11_W0_含水率'!C26,'11_W0_含水率'!E26,'11_W0_含水率'!G26,'11_W0_含水率'!I26))</x:f>
        <x:v>35.2</x:v>
      </x:c>
      <x:c r="I145" s="90" t="n">
        <x:f>IF(E145=0,"",MAX('11_W0_含水率'!C26,'11_W0_含水率'!E26,'11_W0_含水率'!G26,'11_W0_含水率'!I26))</x:f>
        <x:v>38.5</x:v>
      </x:c>
      <x:c r="J145" s="32" t="str">
        <x:v>%</x:v>
      </x:c>
    </x:row>
    <x:row r="146">
      <x:c r="A146" s="72" t="n">
        <x:v>46240.87908564815</x:v>
      </x:c>
      <x:c r="B146" s="32" t="str">
        <x:v>土壤含水率</x:v>
      </x:c>
      <x:c r="C146" s="32" t="str">
        <x:v>W0</x:v>
      </x:c>
      <x:c r="D146" s="32" t="str">
        <x:v>V1</x:v>
      </x:c>
      <x:c r="E146" s="86" t="n">
        <x:f>COUNT('11_W0_含水率'!B27,'11_W0_含水率'!D27,'11_W0_含水率'!F27,'11_W0_含水率'!H27)</x:f>
        <x:v>4</x:v>
      </x:c>
      <x:c r="F146" s="90" t="n">
        <x:f>IF(E146=0,"",AVERAGE('11_W0_含水率'!B27,'11_W0_含水率'!D27,'11_W0_含水率'!F27,'11_W0_含水率'!H27))</x:f>
        <x:v>38.05</x:v>
      </x:c>
      <x:c r="G146" s="90" t="n">
        <x:f>IF(E146&lt;2,"",STDEV.S('11_W0_含水率'!B27,'11_W0_含水率'!D27,'11_W0_含水率'!F27,'11_W0_含水率'!H27))</x:f>
        <x:v>3.4645827069552437</x:v>
      </x:c>
      <x:c r="H146" s="90" t="n">
        <x:f>IF(E146=0,"",MIN('11_W0_含水率'!B27,'11_W0_含水率'!D27,'11_W0_含水率'!F27,'11_W0_含水率'!H27))</x:f>
        <x:v>35.1</x:v>
      </x:c>
      <x:c r="I146" s="90" t="n">
        <x:f>IF(E146=0,"",MAX('11_W0_含水率'!B27,'11_W0_含水率'!D27,'11_W0_含水率'!F27,'11_W0_含水率'!H27))</x:f>
        <x:v>42.8</x:v>
      </x:c>
      <x:c r="J146" s="32" t="str">
        <x:v>%</x:v>
      </x:c>
    </x:row>
    <x:row r="147">
      <x:c r="A147" s="72" t="n">
        <x:v>46240.87908564815</x:v>
      </x:c>
      <x:c r="B147" s="32" t="str">
        <x:v>土壤含水率</x:v>
      </x:c>
      <x:c r="C147" s="32" t="str">
        <x:v>W0</x:v>
      </x:c>
      <x:c r="D147" s="32" t="str">
        <x:v>V2</x:v>
      </x:c>
      <x:c r="E147" s="86" t="n">
        <x:f>COUNT('11_W0_含水率'!C27,'11_W0_含水率'!E27,'11_W0_含水率'!G27,'11_W0_含水率'!I27)</x:f>
        <x:v>4</x:v>
      </x:c>
      <x:c r="F147" s="90" t="n">
        <x:f>IF(E147=0,"",AVERAGE('11_W0_含水率'!C27,'11_W0_含水率'!E27,'11_W0_含水率'!G27,'11_W0_含水率'!I27))</x:f>
        <x:v>37</x:v>
      </x:c>
      <x:c r="G147" s="90" t="n">
        <x:f>IF(E147&lt;2,"",STDEV.S('11_W0_含水率'!C27,'11_W0_含水率'!E27,'11_W0_含水率'!G27,'11_W0_含水率'!I27))</x:f>
        <x:v>1.449137674618942</x:v>
      </x:c>
      <x:c r="H147" s="90" t="n">
        <x:f>IF(E147=0,"",MIN('11_W0_含水率'!C27,'11_W0_含水率'!E27,'11_W0_含水率'!G27,'11_W0_含水率'!I27))</x:f>
        <x:v>35.6</x:v>
      </x:c>
      <x:c r="I147" s="90" t="n">
        <x:f>IF(E147=0,"",MAX('11_W0_含水率'!C27,'11_W0_含水率'!E27,'11_W0_含水率'!G27,'11_W0_含水率'!I27))</x:f>
        <x:v>38.9</x:v>
      </x:c>
      <x:c r="J147" s="32" t="str">
        <x:v>%</x:v>
      </x:c>
    </x:row>
    <x:row r="148">
      <x:c r="A148" s="72" t="n">
        <x:v>46240.88255787037</x:v>
      </x:c>
      <x:c r="B148" s="32" t="str">
        <x:v>土壤含水率</x:v>
      </x:c>
      <x:c r="C148" s="32" t="str">
        <x:v>W0</x:v>
      </x:c>
      <x:c r="D148" s="32" t="str">
        <x:v>V1</x:v>
      </x:c>
      <x:c r="E148" s="86" t="n">
        <x:f>COUNT('11_W0_含水率'!B28,'11_W0_含水率'!D28,'11_W0_含水率'!F28,'11_W0_含水率'!H28)</x:f>
        <x:v>4</x:v>
      </x:c>
      <x:c r="F148" s="90" t="n">
        <x:f>IF(E148=0,"",AVERAGE('11_W0_含水率'!B28,'11_W0_含水率'!D28,'11_W0_含水率'!F28,'11_W0_含水率'!H28))</x:f>
        <x:v>38.05</x:v>
      </x:c>
      <x:c r="G148" s="90" t="n">
        <x:f>IF(E148&lt;2,"",STDEV.S('11_W0_含水率'!B28,'11_W0_含水率'!D28,'11_W0_含水率'!F28,'11_W0_含水率'!H28))</x:f>
        <x:v>3.714386445520534</x:v>
      </x:c>
      <x:c r="H148" s="90" t="n">
        <x:f>IF(E148=0,"",MIN('11_W0_含水率'!B28,'11_W0_含水率'!D28,'11_W0_含水率'!F28,'11_W0_含水率'!H28))</x:f>
        <x:v>35</x:v>
      </x:c>
      <x:c r="I148" s="90" t="n">
        <x:f>IF(E148=0,"",MAX('11_W0_含水率'!B28,'11_W0_含水率'!D28,'11_W0_含水率'!F28,'11_W0_含水率'!H28))</x:f>
        <x:v>43</x:v>
      </x:c>
      <x:c r="J148" s="32" t="str">
        <x:v>%</x:v>
      </x:c>
    </x:row>
    <x:row r="149">
      <x:c r="A149" s="72" t="n">
        <x:v>46240.88255787037</x:v>
      </x:c>
      <x:c r="B149" s="32" t="str">
        <x:v>土壤含水率</x:v>
      </x:c>
      <x:c r="C149" s="32" t="str">
        <x:v>W0</x:v>
      </x:c>
      <x:c r="D149" s="32" t="str">
        <x:v>V2</x:v>
      </x:c>
      <x:c r="E149" s="86" t="n">
        <x:f>COUNT('11_W0_含水率'!C28,'11_W0_含水率'!E28,'11_W0_含水率'!G28,'11_W0_含水率'!I28)</x:f>
        <x:v>4</x:v>
      </x:c>
      <x:c r="F149" s="90" t="n">
        <x:f>IF(E149=0,"",AVERAGE('11_W0_含水率'!C28,'11_W0_含水率'!E28,'11_W0_含水率'!G28,'11_W0_含水率'!I28))</x:f>
        <x:v>37.05</x:v>
      </x:c>
      <x:c r="G149" s="90" t="n">
        <x:f>IF(E149&lt;2,"",STDEV.S('11_W0_含水率'!C28,'11_W0_含水率'!E28,'11_W0_含水率'!G28,'11_W0_含水率'!I28))</x:f>
        <x:v>1.6340134638368191</x:v>
      </x:c>
      <x:c r="H149" s="90" t="n">
        <x:f>IF(E149=0,"",MIN('11_W0_含水率'!C28,'11_W0_含水率'!E28,'11_W0_含水率'!G28,'11_W0_含水率'!I28))</x:f>
        <x:v>35.8</x:v>
      </x:c>
      <x:c r="I149" s="90" t="n">
        <x:f>IF(E149=0,"",MAX('11_W0_含水率'!C28,'11_W0_含水率'!E28,'11_W0_含水率'!G28,'11_W0_含水率'!I28))</x:f>
        <x:v>39.4</x:v>
      </x:c>
      <x:c r="J149" s="32" t="str">
        <x:v>%</x:v>
      </x:c>
    </x:row>
    <x:row r="150">
      <x:c r="A150" s="72" t="n">
        <x:v>46240.886030092595</x:v>
      </x:c>
      <x:c r="B150" s="32" t="str">
        <x:v>土壤含水率</x:v>
      </x:c>
      <x:c r="C150" s="32" t="str">
        <x:v>W0</x:v>
      </x:c>
      <x:c r="D150" s="32" t="str">
        <x:v>V1</x:v>
      </x:c>
      <x:c r="E150" s="86" t="n">
        <x:f>COUNT('11_W0_含水率'!B29,'11_W0_含水率'!D29,'11_W0_含水率'!F29,'11_W0_含水率'!H29)</x:f>
        <x:v>4</x:v>
      </x:c>
      <x:c r="F150" s="90" t="n">
        <x:f>IF(E150=0,"",AVERAGE('11_W0_含水率'!B29,'11_W0_含水率'!D29,'11_W0_含水率'!F29,'11_W0_含水率'!H29))</x:f>
        <x:v>38.075</x:v>
      </x:c>
      <x:c r="G150" s="90" t="n">
        <x:f>IF(E150&lt;2,"",STDEV.S('11_W0_含水率'!B29,'11_W0_含水率'!D29,'11_W0_含水率'!F29,'11_W0_含水率'!H29))</x:f>
        <x:v>3.8595120589698033</x:v>
      </x:c>
      <x:c r="H150" s="90" t="n">
        <x:f>IF(E150=0,"",MIN('11_W0_含水率'!B29,'11_W0_含水率'!D29,'11_W0_含水率'!F29,'11_W0_含水率'!H29))</x:f>
        <x:v>34.9</x:v>
      </x:c>
      <x:c r="I150" s="90" t="n">
        <x:f>IF(E150=0,"",MAX('11_W0_含水率'!B29,'11_W0_含水率'!D29,'11_W0_含水率'!F29,'11_W0_含水率'!H29))</x:f>
        <x:v>43</x:v>
      </x:c>
      <x:c r="J150" s="32" t="str">
        <x:v>%</x:v>
      </x:c>
    </x:row>
    <x:row r="151">
      <x:c r="A151" s="72" t="n">
        <x:v>46240.886030092595</x:v>
      </x:c>
      <x:c r="B151" s="32" t="str">
        <x:v>土壤含水率</x:v>
      </x:c>
      <x:c r="C151" s="32" t="str">
        <x:v>W0</x:v>
      </x:c>
      <x:c r="D151" s="32" t="str">
        <x:v>V2</x:v>
      </x:c>
      <x:c r="E151" s="86" t="n">
        <x:f>COUNT('11_W0_含水率'!C29,'11_W0_含水率'!E29,'11_W0_含水率'!G29,'11_W0_含水率'!I29)</x:f>
        <x:v>4</x:v>
      </x:c>
      <x:c r="F151" s="90" t="n">
        <x:f>IF(E151=0,"",AVERAGE('11_W0_含水率'!C29,'11_W0_含水率'!E29,'11_W0_含水率'!G29,'11_W0_含水率'!I29))</x:f>
        <x:v>37.05</x:v>
      </x:c>
      <x:c r="G151" s="90" t="n">
        <x:f>IF(E151&lt;2,"",STDEV.S('11_W0_含水率'!C29,'11_W0_含水率'!E29,'11_W0_含水率'!G29,'11_W0_含水率'!I29))</x:f>
        <x:v>1.8430047929038766</x:v>
      </x:c>
      <x:c r="H151" s="90" t="n">
        <x:f>IF(E151=0,"",MIN('11_W0_含水率'!C29,'11_W0_含水率'!E29,'11_W0_含水率'!G29,'11_W0_含水率'!I29))</x:f>
        <x:v>36</x:v>
      </x:c>
      <x:c r="I151" s="90" t="n">
        <x:f>IF(E151=0,"",MAX('11_W0_含水率'!C29,'11_W0_含水率'!E29,'11_W0_含水率'!G29,'11_W0_含水率'!I29))</x:f>
        <x:v>39.8</x:v>
      </x:c>
      <x:c r="J151" s="32" t="str">
        <x:v>%</x:v>
      </x:c>
    </x:row>
    <x:row r="152">
      <x:c r="A152" s="72" t="n">
        <x:v>46240.889502314814</x:v>
      </x:c>
      <x:c r="B152" s="32" t="str">
        <x:v>土壤含水率</x:v>
      </x:c>
      <x:c r="C152" s="32" t="str">
        <x:v>W0</x:v>
      </x:c>
      <x:c r="D152" s="32" t="str">
        <x:v>V1</x:v>
      </x:c>
      <x:c r="E152" s="86" t="n">
        <x:f>COUNT('11_W0_含水率'!B30,'11_W0_含水率'!D30,'11_W0_含水率'!F30,'11_W0_含水率'!H30)</x:f>
        <x:v>4</x:v>
      </x:c>
      <x:c r="F152" s="90" t="n">
        <x:f>IF(E152=0,"",AVERAGE('11_W0_含水率'!B30,'11_W0_含水率'!D30,'11_W0_含水率'!F30,'11_W0_含水率'!H30))</x:f>
        <x:v>38.075</x:v>
      </x:c>
      <x:c r="G152" s="90" t="n">
        <x:f>IF(E152&lt;2,"",STDEV.S('11_W0_含水率'!B30,'11_W0_含水率'!D30,'11_W0_含水率'!F30,'11_W0_含水率'!H30))</x:f>
        <x:v>4.0011456692635745</x:v>
      </x:c>
      <x:c r="H152" s="90" t="n">
        <x:f>IF(E152=0,"",MIN('11_W0_含水率'!B30,'11_W0_含水率'!D30,'11_W0_含水率'!F30,'11_W0_含水率'!H30))</x:f>
        <x:v>34.4</x:v>
      </x:c>
      <x:c r="I152" s="90" t="n">
        <x:f>IF(E152=0,"",MAX('11_W0_含水率'!B30,'11_W0_含水率'!D30,'11_W0_含水率'!F30,'11_W0_含水率'!H30))</x:f>
        <x:v>42.9</x:v>
      </x:c>
      <x:c r="J152" s="32" t="str">
        <x:v>%</x:v>
      </x:c>
    </x:row>
    <x:row r="153">
      <x:c r="A153" s="72" t="n">
        <x:v>46240.889502314814</x:v>
      </x:c>
      <x:c r="B153" s="32" t="str">
        <x:v>土壤含水率</x:v>
      </x:c>
      <x:c r="C153" s="32" t="str">
        <x:v>W0</x:v>
      </x:c>
      <x:c r="D153" s="32" t="str">
        <x:v>V2</x:v>
      </x:c>
      <x:c r="E153" s="86" t="n">
        <x:f>COUNT('11_W0_含水率'!C30,'11_W0_含水率'!E30,'11_W0_含水率'!G30,'11_W0_含水率'!I30)</x:f>
        <x:v>4</x:v>
      </x:c>
      <x:c r="F153" s="90" t="n">
        <x:f>IF(E153=0,"",AVERAGE('11_W0_含水率'!C30,'11_W0_含水率'!E30,'11_W0_含水率'!G30,'11_W0_含水率'!I30))</x:f>
        <x:v>37.075</x:v>
      </x:c>
      <x:c r="G153" s="90" t="n">
        <x:f>IF(E153&lt;2,"",STDEV.S('11_W0_含水率'!C30,'11_W0_含水率'!E30,'11_W0_含水率'!G30,'11_W0_含水率'!I30))</x:f>
        <x:v>2.1515498289992405</x:v>
      </x:c>
      <x:c r="H153" s="90" t="n">
        <x:f>IF(E153=0,"",MIN('11_W0_含水率'!C30,'11_W0_含水率'!E30,'11_W0_含水率'!G30,'11_W0_含水率'!I30))</x:f>
        <x:v>35.9</x:v>
      </x:c>
      <x:c r="I153" s="90" t="n">
        <x:f>IF(E153=0,"",MAX('11_W0_含水率'!C30,'11_W0_含水率'!E30,'11_W0_含水率'!G30,'11_W0_含水率'!I30))</x:f>
        <x:v>40.3</x:v>
      </x:c>
      <x:c r="J153" s="32" t="str">
        <x:v>%</x:v>
      </x:c>
    </x:row>
    <x:row r="154">
      <x:c r="A154" s="72" t="n">
        <x:v>46240.89297453704</x:v>
      </x:c>
      <x:c r="B154" s="32" t="str">
        <x:v>土壤含水率</x:v>
      </x:c>
      <x:c r="C154" s="32" t="str">
        <x:v>W0</x:v>
      </x:c>
      <x:c r="D154" s="32" t="str">
        <x:v>V1</x:v>
      </x:c>
      <x:c r="E154" s="86" t="n">
        <x:f>COUNT('11_W0_含水率'!B31,'11_W0_含水率'!D31,'11_W0_含水率'!F31,'11_W0_含水率'!H31)</x:f>
        <x:v>4</x:v>
      </x:c>
      <x:c r="F154" s="90" t="n">
        <x:f>IF(E154=0,"",AVERAGE('11_W0_含水率'!B31,'11_W0_含水率'!D31,'11_W0_含水率'!F31,'11_W0_含水率'!H31))</x:f>
        <x:v>38.075</x:v>
      </x:c>
      <x:c r="G154" s="90" t="n">
        <x:f>IF(E154&lt;2,"",STDEV.S('11_W0_含水率'!B31,'11_W0_含水率'!D31,'11_W0_含水率'!F31,'11_W0_含水率'!H31))</x:f>
        <x:v>4.009467961380081</x:v>
      </x:c>
      <x:c r="H154" s="90" t="n">
        <x:f>IF(E154=0,"",MIN('11_W0_含水率'!B31,'11_W0_含水率'!D31,'11_W0_含水率'!F31,'11_W0_含水率'!H31))</x:f>
        <x:v>34</x:v>
      </x:c>
      <x:c r="I154" s="90" t="n">
        <x:f>IF(E154=0,"",MAX('11_W0_含水率'!B31,'11_W0_含水率'!D31,'11_W0_含水率'!F31,'11_W0_含水率'!H31))</x:f>
        <x:v>42.6</x:v>
      </x:c>
      <x:c r="J154" s="32" t="str">
        <x:v>%</x:v>
      </x:c>
    </x:row>
    <x:row r="155">
      <x:c r="A155" s="72" t="n">
        <x:v>46240.89297453704</x:v>
      </x:c>
      <x:c r="B155" s="32" t="str">
        <x:v>土壤含水率</x:v>
      </x:c>
      <x:c r="C155" s="32" t="str">
        <x:v>W0</x:v>
      </x:c>
      <x:c r="D155" s="32" t="str">
        <x:v>V2</x:v>
      </x:c>
      <x:c r="E155" s="86" t="n">
        <x:f>COUNT('11_W0_含水率'!C31,'11_W0_含水率'!E31,'11_W0_含水率'!G31,'11_W0_含水率'!I31)</x:f>
        <x:v>4</x:v>
      </x:c>
      <x:c r="F155" s="90" t="n">
        <x:f>IF(E155=0,"",AVERAGE('11_W0_含水率'!C31,'11_W0_含水率'!E31,'11_W0_含水率'!G31,'11_W0_含水率'!I31))</x:f>
        <x:v>37.075</x:v>
      </x:c>
      <x:c r="G155" s="90" t="n">
        <x:f>IF(E155&lt;2,"",STDEV.S('11_W0_含水率'!C31,'11_W0_含水率'!E31,'11_W0_含水率'!G31,'11_W0_含水率'!I31))</x:f>
        <x:v>2.5051613387830587</x:v>
      </x:c>
      <x:c r="H155" s="90" t="n">
        <x:f>IF(E155=0,"",MIN('11_W0_含水率'!C31,'11_W0_含水率'!E31,'11_W0_含水率'!G31,'11_W0_含水率'!I31))</x:f>
        <x:v>35.4</x:v>
      </x:c>
      <x:c r="I155" s="90" t="n">
        <x:f>IF(E155=0,"",MAX('11_W0_含水率'!C31,'11_W0_含水率'!E31,'11_W0_含水率'!G31,'11_W0_含水率'!I31))</x:f>
        <x:v>40.8</x:v>
      </x:c>
      <x:c r="J155" s="32" t="str">
        <x:v>%</x:v>
      </x:c>
    </x:row>
    <x:row r="156">
      <x:c r="A156" s="72" t="n">
        <x:v>46240.89644675926</x:v>
      </x:c>
      <x:c r="B156" s="32" t="str">
        <x:v>土壤含水率</x:v>
      </x:c>
      <x:c r="C156" s="32" t="str">
        <x:v>W0</x:v>
      </x:c>
      <x:c r="D156" s="32" t="str">
        <x:v>V1</x:v>
      </x:c>
      <x:c r="E156" s="86" t="n">
        <x:f>COUNT('11_W0_含水率'!B32,'11_W0_含水率'!D32,'11_W0_含水率'!F32,'11_W0_含水率'!H32)</x:f>
        <x:v>4</x:v>
      </x:c>
      <x:c r="F156" s="90" t="n">
        <x:f>IF(E156=0,"",AVERAGE('11_W0_含水率'!B32,'11_W0_含水率'!D32,'11_W0_含水率'!F32,'11_W0_含水率'!H32))</x:f>
        <x:v>38.1</x:v>
      </x:c>
      <x:c r="G156" s="90" t="n">
        <x:f>IF(E156&lt;2,"",STDEV.S('11_W0_含水率'!B32,'11_W0_含水率'!D32,'11_W0_含水率'!F32,'11_W0_含水率'!H32))</x:f>
        <x:v>4.04062701404951</x:v>
      </x:c>
      <x:c r="H156" s="90" t="n">
        <x:f>IF(E156=0,"",MIN('11_W0_含水率'!B32,'11_W0_含水率'!D32,'11_W0_含水率'!F32,'11_W0_含水率'!H32))</x:f>
        <x:v>33.6</x:v>
      </x:c>
      <x:c r="I156" s="90" t="n">
        <x:f>IF(E156=0,"",MAX('11_W0_含水率'!B32,'11_W0_含水率'!D32,'11_W0_含水率'!F32,'11_W0_含水率'!H32))</x:f>
        <x:v>42.3</x:v>
      </x:c>
      <x:c r="J156" s="32" t="str">
        <x:v>%</x:v>
      </x:c>
    </x:row>
    <x:row r="157">
      <x:c r="A157" s="72" t="n">
        <x:v>46240.89644675926</x:v>
      </x:c>
      <x:c r="B157" s="32" t="str">
        <x:v>土壤含水率</x:v>
      </x:c>
      <x:c r="C157" s="32" t="str">
        <x:v>W0</x:v>
      </x:c>
      <x:c r="D157" s="32" t="str">
        <x:v>V2</x:v>
      </x:c>
      <x:c r="E157" s="86" t="n">
        <x:f>COUNT('11_W0_含水率'!C32,'11_W0_含水率'!E32,'11_W0_含水率'!G32,'11_W0_含水率'!I32)</x:f>
        <x:v>4</x:v>
      </x:c>
      <x:c r="F157" s="90" t="n">
        <x:f>IF(E157=0,"",AVERAGE('11_W0_含水率'!C32,'11_W0_含水率'!E32,'11_W0_含水率'!G32,'11_W0_含水率'!I32))</x:f>
        <x:v>37.075</x:v>
      </x:c>
      <x:c r="G157" s="90" t="n">
        <x:f>IF(E157&lt;2,"",STDEV.S('11_W0_含水率'!C32,'11_W0_含水率'!E32,'11_W0_含水率'!G32,'11_W0_含水率'!I32))</x:f>
        <x:v>2.8182441342083915</x:v>
      </x:c>
      <x:c r="H157" s="90" t="n">
        <x:f>IF(E157=0,"",MIN('11_W0_含水率'!C32,'11_W0_含水率'!E32,'11_W0_含水率'!G32,'11_W0_含水率'!I32))</x:f>
        <x:v>35</x:v>
      </x:c>
      <x:c r="I157" s="90" t="n">
        <x:f>IF(E157=0,"",MAX('11_W0_含水率'!C32,'11_W0_含水率'!E32,'11_W0_含水率'!G32,'11_W0_含水率'!I32))</x:f>
        <x:v>41.2</x:v>
      </x:c>
      <x:c r="J157" s="32" t="str">
        <x:v>%</x:v>
      </x:c>
    </x:row>
    <x:row r="158">
      <x:c r="A158" s="72" t="n">
        <x:v>46240.89991898148</x:v>
      </x:c>
      <x:c r="B158" s="32" t="str">
        <x:v>土壤含水率</x:v>
      </x:c>
      <x:c r="C158" s="32" t="str">
        <x:v>W0</x:v>
      </x:c>
      <x:c r="D158" s="32" t="str">
        <x:v>V1</x:v>
      </x:c>
      <x:c r="E158" s="86" t="n">
        <x:f>COUNT('11_W0_含水率'!B33,'11_W0_含水率'!D33,'11_W0_含水率'!F33,'11_W0_含水率'!H33)</x:f>
        <x:v>4</x:v>
      </x:c>
      <x:c r="F158" s="90" t="n">
        <x:f>IF(E158=0,"",AVERAGE('11_W0_含水率'!B33,'11_W0_含水率'!D33,'11_W0_含水率'!F33,'11_W0_含水率'!H33))</x:f>
        <x:v>38.099999999999994</x:v>
      </x:c>
      <x:c r="G158" s="90" t="n">
        <x:f>IF(E158&lt;2,"",STDEV.S('11_W0_含水率'!B33,'11_W0_含水率'!D33,'11_W0_含水率'!F33,'11_W0_含水率'!H33))</x:f>
        <x:v>3.9858081572833717</x:v>
      </x:c>
      <x:c r="H158" s="90" t="n">
        <x:f>IF(E158=0,"",MIN('11_W0_含水率'!B33,'11_W0_含水率'!D33,'11_W0_含水率'!F33,'11_W0_含水率'!H33))</x:f>
        <x:v>33.3</x:v>
      </x:c>
      <x:c r="I158" s="90" t="n">
        <x:f>IF(E158=0,"",MAX('11_W0_含水率'!B33,'11_W0_含水率'!D33,'11_W0_含水率'!F33,'11_W0_含水率'!H33))</x:f>
        <x:v>41.9</x:v>
      </x:c>
      <x:c r="J158" s="32" t="str">
        <x:v>%</x:v>
      </x:c>
    </x:row>
    <x:row r="159">
      <x:c r="A159" s="72" t="n">
        <x:v>46240.89991898148</x:v>
      </x:c>
      <x:c r="B159" s="32" t="str">
        <x:v>土壤含水率</x:v>
      </x:c>
      <x:c r="C159" s="32" t="str">
        <x:v>W0</x:v>
      </x:c>
      <x:c r="D159" s="32" t="str">
        <x:v>V2</x:v>
      </x:c>
      <x:c r="E159" s="86" t="n">
        <x:f>COUNT('11_W0_含水率'!C33,'11_W0_含水率'!E33,'11_W0_含水率'!G33,'11_W0_含水率'!I33)</x:f>
        <x:v>4</x:v>
      </x:c>
      <x:c r="F159" s="90" t="n">
        <x:f>IF(E159=0,"",AVERAGE('11_W0_含水率'!C33,'11_W0_含水率'!E33,'11_W0_含水率'!G33,'11_W0_含水率'!I33))</x:f>
        <x:v>37.1</x:v>
      </x:c>
      <x:c r="G159" s="90" t="n">
        <x:f>IF(E159&lt;2,"",STDEV.S('11_W0_含水率'!C33,'11_W0_含水率'!E33,'11_W0_含水率'!G33,'11_W0_含水率'!I33))</x:f>
        <x:v>3.1506613062445594</x:v>
      </x:c>
      <x:c r="H159" s="90" t="n">
        <x:f>IF(E159=0,"",MIN('11_W0_含水率'!C33,'11_W0_含水率'!E33,'11_W0_含水率'!G33,'11_W0_含水率'!I33))</x:f>
        <x:v>34.6</x:v>
      </x:c>
      <x:c r="I159" s="90" t="n">
        <x:f>IF(E159=0,"",MAX('11_W0_含水率'!C33,'11_W0_含水率'!E33,'11_W0_含水率'!G33,'11_W0_含水率'!I33))</x:f>
        <x:v>41.6</x:v>
      </x:c>
      <x:c r="J159" s="32" t="str">
        <x:v>%</x:v>
      </x:c>
    </x:row>
    <x:row r="160">
      <x:c r="A160" s="72" t="n">
        <x:v>46240.903391203705</x:v>
      </x:c>
      <x:c r="B160" s="32" t="str">
        <x:v>土壤含水率</x:v>
      </x:c>
      <x:c r="C160" s="32" t="str">
        <x:v>W0</x:v>
      </x:c>
      <x:c r="D160" s="32" t="str">
        <x:v>V1</x:v>
      </x:c>
      <x:c r="E160" s="86" t="n">
        <x:f>COUNT('11_W0_含水率'!B34,'11_W0_含水率'!D34,'11_W0_含水率'!F34,'11_W0_含水率'!H34)</x:f>
        <x:v>4</x:v>
      </x:c>
      <x:c r="F160" s="90" t="n">
        <x:f>IF(E160=0,"",AVERAGE('11_W0_含水率'!B34,'11_W0_含水率'!D34,'11_W0_含水率'!F34,'11_W0_含水率'!H34))</x:f>
        <x:v>38.075</x:v>
      </x:c>
      <x:c r="G160" s="90" t="n">
        <x:f>IF(E160&lt;2,"",STDEV.S('11_W0_含水率'!B34,'11_W0_含水率'!D34,'11_W0_含水率'!F34,'11_W0_含水率'!H34))</x:f>
        <x:v>3.915247970009902</x:v>
      </x:c>
      <x:c r="H160" s="90" t="n">
        <x:f>IF(E160=0,"",MIN('11_W0_含水率'!B34,'11_W0_含水率'!D34,'11_W0_含水率'!F34,'11_W0_含水率'!H34))</x:f>
        <x:v>33.1</x:v>
      </x:c>
      <x:c r="I160" s="90" t="n">
        <x:f>IF(E160=0,"",MAX('11_W0_含水率'!B34,'11_W0_含水率'!D34,'11_W0_含水率'!F34,'11_W0_含水率'!H34))</x:f>
        <x:v>41.4</x:v>
      </x:c>
      <x:c r="J160" s="32" t="str">
        <x:v>%</x:v>
      </x:c>
    </x:row>
    <x:row r="161">
      <x:c r="A161" s="72" t="n">
        <x:v>46240.903391203705</x:v>
      </x:c>
      <x:c r="B161" s="32" t="str">
        <x:v>土壤含水率</x:v>
      </x:c>
      <x:c r="C161" s="32" t="str">
        <x:v>W0</x:v>
      </x:c>
      <x:c r="D161" s="32" t="str">
        <x:v>V2</x:v>
      </x:c>
      <x:c r="E161" s="86" t="n">
        <x:f>COUNT('11_W0_含水率'!C34,'11_W0_含水率'!E34,'11_W0_含水率'!G34,'11_W0_含水率'!I34)</x:f>
        <x:v>4</x:v>
      </x:c>
      <x:c r="F161" s="90" t="n">
        <x:f>IF(E161=0,"",AVERAGE('11_W0_含水率'!C34,'11_W0_含水率'!E34,'11_W0_含水率'!G34,'11_W0_含水率'!I34))</x:f>
        <x:v>37.099999999999994</x:v>
      </x:c>
      <x:c r="G161" s="90" t="n">
        <x:f>IF(E161&lt;2,"",STDEV.S('11_W0_含水率'!C34,'11_W0_含水率'!E34,'11_W0_含水率'!G34,'11_W0_含水率'!I34))</x:f>
        <x:v>3.408812109811862</x:v>
      </x:c>
      <x:c r="H161" s="90" t="n">
        <x:f>IF(E161=0,"",MIN('11_W0_含水率'!C34,'11_W0_含水率'!E34,'11_W0_含水率'!G34,'11_W0_含水率'!I34))</x:f>
        <x:v>34.3</x:v>
      </x:c>
      <x:c r="I161" s="90" t="n">
        <x:f>IF(E161=0,"",MAX('11_W0_含水率'!C34,'11_W0_含水率'!E34,'11_W0_含水率'!G34,'11_W0_含水率'!I34))</x:f>
        <x:v>41.8</x:v>
      </x:c>
      <x:c r="J161" s="32" t="str">
        <x:v>%</x:v>
      </x:c>
    </x:row>
    <x:row r="162">
      <x:c r="A162" s="72" t="n">
        <x:v>46240.906863425924</x:v>
      </x:c>
      <x:c r="B162" s="32" t="str">
        <x:v>土壤含水率</x:v>
      </x:c>
      <x:c r="C162" s="32" t="str">
        <x:v>W0</x:v>
      </x:c>
      <x:c r="D162" s="32" t="str">
        <x:v>V1</x:v>
      </x:c>
      <x:c r="E162" s="86" t="n">
        <x:f>COUNT('11_W0_含水率'!B35,'11_W0_含水率'!D35,'11_W0_含水率'!F35,'11_W0_含水率'!H35)</x:f>
        <x:v>4</x:v>
      </x:c>
      <x:c r="F162" s="90" t="n">
        <x:f>IF(E162=0,"",AVERAGE('11_W0_含水率'!B35,'11_W0_含水率'!D35,'11_W0_含水率'!F35,'11_W0_含水率'!H35))</x:f>
        <x:v>38.05</x:v>
      </x:c>
      <x:c r="G162" s="90" t="n">
        <x:f>IF(E162&lt;2,"",STDEV.S('11_W0_含水率'!B35,'11_W0_含水率'!D35,'11_W0_含水率'!F35,'11_W0_含水率'!H35))</x:f>
        <x:v>3.781093316312977</x:v>
      </x:c>
      <x:c r="H162" s="90" t="n">
        <x:f>IF(E162=0,"",MIN('11_W0_含水率'!B35,'11_W0_含水率'!D35,'11_W0_含水率'!F35,'11_W0_含水率'!H35))</x:f>
        <x:v>33</x:v>
      </x:c>
      <x:c r="I162" s="90" t="n">
        <x:f>IF(E162=0,"",MAX('11_W0_含水率'!B35,'11_W0_含水率'!D35,'11_W0_含水率'!F35,'11_W0_含水率'!H35))</x:f>
        <x:v>41</x:v>
      </x:c>
      <x:c r="J162" s="32" t="str">
        <x:v>%</x:v>
      </x:c>
    </x:row>
    <x:row r="163">
      <x:c r="A163" s="72" t="n">
        <x:v>46240.906863425924</x:v>
      </x:c>
      <x:c r="B163" s="32" t="str">
        <x:v>土壤含水率</x:v>
      </x:c>
      <x:c r="C163" s="32" t="str">
        <x:v>W0</x:v>
      </x:c>
      <x:c r="D163" s="32" t="str">
        <x:v>V2</x:v>
      </x:c>
      <x:c r="E163" s="86" t="n">
        <x:f>COUNT('11_W0_含水率'!C35,'11_W0_含水率'!E35,'11_W0_含水率'!G35,'11_W0_含水率'!I35)</x:f>
        <x:v>4</x:v>
      </x:c>
      <x:c r="F163" s="90" t="n">
        <x:f>IF(E163=0,"",AVERAGE('11_W0_含水率'!C35,'11_W0_含水率'!E35,'11_W0_含水率'!G35,'11_W0_含水率'!I35))</x:f>
        <x:v>37.075</x:v>
      </x:c>
      <x:c r="G163" s="90" t="n">
        <x:f>IF(E163&lt;2,"",STDEV.S('11_W0_含水率'!C35,'11_W0_含水率'!E35,'11_W0_含水率'!G35,'11_W0_含水率'!I35))</x:f>
        <x:v>3.687252816574059</x:v>
      </x:c>
      <x:c r="H163" s="90" t="n">
        <x:f>IF(E163=0,"",MIN('11_W0_含水率'!C35,'11_W0_含水率'!E35,'11_W0_含水率'!G35,'11_W0_含水率'!I35))</x:f>
        <x:v>34.1</x:v>
      </x:c>
      <x:c r="I163" s="90" t="n">
        <x:f>IF(E163=0,"",MAX('11_W0_含水率'!C35,'11_W0_含水率'!E35,'11_W0_含水率'!G35,'11_W0_含水率'!I35))</x:f>
        <x:v>42</x:v>
      </x:c>
      <x:c r="J163" s="32" t="str">
        <x:v>%</x:v>
      </x:c>
    </x:row>
    <x:row r="164">
      <x:c r="A164" s="72" t="n">
        <x:v>46240.91033564815</x:v>
      </x:c>
      <x:c r="B164" s="32" t="str">
        <x:v>土壤含水率</x:v>
      </x:c>
      <x:c r="C164" s="32" t="str">
        <x:v>W0</x:v>
      </x:c>
      <x:c r="D164" s="32" t="str">
        <x:v>V1</x:v>
      </x:c>
      <x:c r="E164" s="86" t="n">
        <x:f>COUNT('11_W0_含水率'!B36,'11_W0_含水率'!D36,'11_W0_含水率'!F36,'11_W0_含水率'!H36)</x:f>
        <x:v>4</x:v>
      </x:c>
      <x:c r="F164" s="90" t="n">
        <x:f>IF(E164=0,"",AVERAGE('11_W0_含水率'!B36,'11_W0_含水率'!D36,'11_W0_含水率'!F36,'11_W0_含水率'!H36))</x:f>
        <x:v>38.025000000000006</x:v>
      </x:c>
      <x:c r="G164" s="90" t="n">
        <x:f>IF(E164&lt;2,"",STDEV.S('11_W0_含水率'!B36,'11_W0_含水率'!D36,'11_W0_含水率'!F36,'11_W0_含水率'!H36))</x:f>
        <x:v>3.6151302420060416</x:v>
      </x:c>
      <x:c r="H164" s="90" t="n">
        <x:f>IF(E164=0,"",MIN('11_W0_含水率'!B36,'11_W0_含水率'!D36,'11_W0_含水率'!F36,'11_W0_含水率'!H36))</x:f>
        <x:v>33</x:v>
      </x:c>
      <x:c r="I164" s="90" t="n">
        <x:f>IF(E164=0,"",MAX('11_W0_含水率'!B36,'11_W0_含水率'!D36,'11_W0_含水率'!F36,'11_W0_含水率'!H36))</x:f>
        <x:v>40.9</x:v>
      </x:c>
      <x:c r="J164" s="32" t="str">
        <x:v>%</x:v>
      </x:c>
    </x:row>
    <x:row r="165">
      <x:c r="A165" s="72" t="n">
        <x:v>46240.91033564815</x:v>
      </x:c>
      <x:c r="B165" s="32" t="str">
        <x:v>土壤含水率</x:v>
      </x:c>
      <x:c r="C165" s="32" t="str">
        <x:v>W0</x:v>
      </x:c>
      <x:c r="D165" s="32" t="str">
        <x:v>V2</x:v>
      </x:c>
      <x:c r="E165" s="86" t="n">
        <x:f>COUNT('11_W0_含水率'!C36,'11_W0_含水率'!E36,'11_W0_含水率'!G36,'11_W0_含水率'!I36)</x:f>
        <x:v>4</x:v>
      </x:c>
      <x:c r="F165" s="90" t="n">
        <x:f>IF(E165=0,"",AVERAGE('11_W0_含水率'!C36,'11_W0_含水率'!E36,'11_W0_含水率'!G36,'11_W0_含水率'!I36))</x:f>
        <x:v>37.05</x:v>
      </x:c>
      <x:c r="G165" s="90" t="n">
        <x:f>IF(E165&lt;2,"",STDEV.S('11_W0_含水率'!C36,'11_W0_含水率'!E36,'11_W0_含水率'!G36,'11_W0_含水率'!I36))</x:f>
        <x:v>3.885442917695056</x:v>
      </x:c>
      <x:c r="H165" s="90" t="n">
        <x:f>IF(E165=0,"",MIN('11_W0_含水率'!C36,'11_W0_含水率'!E36,'11_W0_含水率'!G36,'11_W0_含水率'!I36))</x:f>
        <x:v>33.9</x:v>
      </x:c>
      <x:c r="I165" s="90" t="n">
        <x:f>IF(E165=0,"",MAX('11_W0_含水率'!C36,'11_W0_含水率'!E36,'11_W0_含水率'!G36,'11_W0_含水率'!I36))</x:f>
        <x:v>42</x:v>
      </x:c>
      <x:c r="J165" s="32" t="str">
        <x:v>%</x:v>
      </x:c>
    </x:row>
    <x:row r="166">
      <x:c r="A166" s="72" t="n">
        <x:v>46240.91380787037</x:v>
      </x:c>
      <x:c r="B166" s="32" t="str">
        <x:v>土壤含水率</x:v>
      </x:c>
      <x:c r="C166" s="32" t="str">
        <x:v>W0</x:v>
      </x:c>
      <x:c r="D166" s="32" t="str">
        <x:v>V1</x:v>
      </x:c>
      <x:c r="E166" s="86" t="n">
        <x:f>COUNT('11_W0_含水率'!B37,'11_W0_含水率'!D37,'11_W0_含水率'!F37,'11_W0_含水率'!H37)</x:f>
        <x:v>4</x:v>
      </x:c>
      <x:c r="F166" s="90" t="n">
        <x:f>IF(E166=0,"",AVERAGE('11_W0_含水率'!B37,'11_W0_含水率'!D37,'11_W0_含水率'!F37,'11_W0_含水率'!H37))</x:f>
        <x:v>38</x:v>
      </x:c>
      <x:c r="G166" s="90" t="n">
        <x:f>IF(E166&lt;2,"",STDEV.S('11_W0_含水率'!B37,'11_W0_含水率'!D37,'11_W0_含水率'!F37,'11_W0_含水率'!H37))</x:f>
        <x:v>3.358571124749332</x:v>
      </x:c>
      <x:c r="H166" s="90" t="n">
        <x:f>IF(E166=0,"",MIN('11_W0_含水率'!B37,'11_W0_含水率'!D37,'11_W0_含水率'!F37,'11_W0_含水率'!H37))</x:f>
        <x:v>33.2</x:v>
      </x:c>
      <x:c r="I166" s="90" t="n">
        <x:f>IF(E166=0,"",MAX('11_W0_含水率'!B37,'11_W0_含水率'!D37,'11_W0_含水率'!F37,'11_W0_含水率'!H37))</x:f>
        <x:v>40.6</x:v>
      </x:c>
      <x:c r="J166" s="32" t="str">
        <x:v>%</x:v>
      </x:c>
    </x:row>
    <x:row r="167">
      <x:c r="A167" s="72" t="n">
        <x:v>46240.91380787037</x:v>
      </x:c>
      <x:c r="B167" s="32" t="str">
        <x:v>土壤含水率</x:v>
      </x:c>
      <x:c r="C167" s="32" t="str">
        <x:v>W0</x:v>
      </x:c>
      <x:c r="D167" s="32" t="str">
        <x:v>V2</x:v>
      </x:c>
      <x:c r="E167" s="86" t="n">
        <x:f>COUNT('11_W0_含水率'!C37,'11_W0_含水率'!E37,'11_W0_含水率'!G37,'11_W0_含水率'!I37)</x:f>
        <x:v>4</x:v>
      </x:c>
      <x:c r="F167" s="90" t="n">
        <x:f>IF(E167=0,"",AVERAGE('11_W0_含水率'!C37,'11_W0_含水率'!E37,'11_W0_含水率'!G37,'11_W0_含水率'!I37))</x:f>
        <x:v>37.025000000000006</x:v>
      </x:c>
      <x:c r="G167" s="90" t="n">
        <x:f>IF(E167&lt;2,"",STDEV.S('11_W0_含水率'!C37,'11_W0_含水率'!E37,'11_W0_含水率'!G37,'11_W0_含水率'!I37))</x:f>
        <x:v>4.05</x:v>
      </x:c>
      <x:c r="H167" s="90" t="n">
        <x:f>IF(E167=0,"",MIN('11_W0_含水率'!C37,'11_W0_含水率'!E37,'11_W0_含水率'!G37,'11_W0_含水率'!I37))</x:f>
        <x:v>33.4</x:v>
      </x:c>
      <x:c r="I167" s="90" t="n">
        <x:f>IF(E167=0,"",MAX('11_W0_含水率'!C37,'11_W0_含水率'!E37,'11_W0_含水率'!G37,'11_W0_含水率'!I37))</x:f>
        <x:v>41.9</x:v>
      </x:c>
      <x:c r="J167" s="32" t="str">
        <x:v>%</x:v>
      </x:c>
    </x:row>
    <x:row r="168">
      <x:c r="A168" s="72" t="n">
        <x:v>46240.917280092595</x:v>
      </x:c>
      <x:c r="B168" s="32" t="str">
        <x:v>土壤含水率</x:v>
      </x:c>
      <x:c r="C168" s="32" t="str">
        <x:v>W0</x:v>
      </x:c>
      <x:c r="D168" s="32" t="str">
        <x:v>V1</x:v>
      </x:c>
      <x:c r="E168" s="86" t="n">
        <x:f>COUNT('11_W0_含水率'!B38,'11_W0_含水率'!D38,'11_W0_含水率'!F38,'11_W0_含水率'!H38)</x:f>
        <x:v>4</x:v>
      </x:c>
      <x:c r="F168" s="90" t="n">
        <x:f>IF(E168=0,"",AVERAGE('11_W0_含水率'!B38,'11_W0_含水率'!D38,'11_W0_含水率'!F38,'11_W0_含水率'!H38))</x:f>
        <x:v>38</x:v>
      </x:c>
      <x:c r="G168" s="90" t="n">
        <x:f>IF(E168&lt;2,"",STDEV.S('11_W0_含水率'!B38,'11_W0_含水率'!D38,'11_W0_含水率'!F38,'11_W0_含水率'!H38))</x:f>
        <x:v>3.080043289739069</x:v>
      </x:c>
      <x:c r="H168" s="90" t="n">
        <x:f>IF(E168=0,"",MIN('11_W0_含水率'!B38,'11_W0_含水率'!D38,'11_W0_含水率'!F38,'11_W0_含水率'!H38))</x:f>
        <x:v>33.5</x:v>
      </x:c>
      <x:c r="I168" s="90" t="n">
        <x:f>IF(E168=0,"",MAX('11_W0_含水率'!B38,'11_W0_含水率'!D38,'11_W0_含水率'!F38,'11_W0_含水率'!H38))</x:f>
        <x:v>40.3</x:v>
      </x:c>
      <x:c r="J168" s="32" t="str">
        <x:v>%</x:v>
      </x:c>
    </x:row>
    <x:row r="169">
      <x:c r="A169" s="72" t="n">
        <x:v>46240.917280092595</x:v>
      </x:c>
      <x:c r="B169" s="32" t="str">
        <x:v>土壤含水率</x:v>
      </x:c>
      <x:c r="C169" s="32" t="str">
        <x:v>W0</x:v>
      </x:c>
      <x:c r="D169" s="32" t="str">
        <x:v>V2</x:v>
      </x:c>
      <x:c r="E169" s="86" t="n">
        <x:f>COUNT('11_W0_含水率'!C38,'11_W0_含水率'!E38,'11_W0_含水率'!G38,'11_W0_含水率'!I38)</x:f>
        <x:v>4</x:v>
      </x:c>
      <x:c r="F169" s="90" t="n">
        <x:f>IF(E169=0,"",AVERAGE('11_W0_含水率'!C38,'11_W0_含水率'!E38,'11_W0_含水率'!G38,'11_W0_含水率'!I38))</x:f>
        <x:v>37</x:v>
      </x:c>
      <x:c r="G169" s="90" t="n">
        <x:f>IF(E169&lt;2,"",STDEV.S('11_W0_含水率'!C38,'11_W0_含水率'!E38,'11_W0_含水率'!G38,'11_W0_含水率'!I38))</x:f>
        <x:v>4.075945698035406</x:v>
      </x:c>
      <x:c r="H169" s="90" t="n">
        <x:f>IF(E169=0,"",MIN('11_W0_含水率'!C38,'11_W0_含水率'!E38,'11_W0_含水率'!G38,'11_W0_含水率'!I38))</x:f>
        <x:v>33</x:v>
      </x:c>
      <x:c r="I169" s="90" t="n">
        <x:f>IF(E169=0,"",MAX('11_W0_含水率'!C38,'11_W0_含水率'!E38,'11_W0_含水率'!G38,'11_W0_含水率'!I38))</x:f>
        <x:v>41.6</x:v>
      </x:c>
      <x:c r="J169" s="32" t="str">
        <x:v>%</x:v>
      </x:c>
    </x:row>
    <x:row r="170">
      <x:c r="A170" s="72" t="n">
        <x:v>46240.920752314814</x:v>
      </x:c>
      <x:c r="B170" s="32" t="str">
        <x:v>土壤含水率</x:v>
      </x:c>
      <x:c r="C170" s="32" t="str">
        <x:v>W0</x:v>
      </x:c>
      <x:c r="D170" s="32" t="str">
        <x:v>V1</x:v>
      </x:c>
      <x:c r="E170" s="86" t="n">
        <x:f>COUNT('11_W0_含水率'!B39,'11_W0_含水率'!D39,'11_W0_含水率'!F39,'11_W0_含水率'!H39)</x:f>
        <x:v>4</x:v>
      </x:c>
      <x:c r="F170" s="90" t="n">
        <x:f>IF(E170=0,"",AVERAGE('11_W0_含水率'!B39,'11_W0_含水率'!D39,'11_W0_含水率'!F39,'11_W0_含水率'!H39))</x:f>
        <x:v>37.974999999999994</x:v>
      </x:c>
      <x:c r="G170" s="90" t="n">
        <x:f>IF(E170&lt;2,"",STDEV.S('11_W0_含水率'!B39,'11_W0_含水率'!D39,'11_W0_含水率'!F39,'11_W0_含水率'!H39))</x:f>
        <x:v>2.7536339626028727</x:v>
      </x:c>
      <x:c r="H170" s="90" t="n">
        <x:f>IF(E170=0,"",MIN('11_W0_含水率'!B39,'11_W0_含水率'!D39,'11_W0_含水率'!F39,'11_W0_含水率'!H39))</x:f>
        <x:v>33.9</x:v>
      </x:c>
      <x:c r="I170" s="90" t="n">
        <x:f>IF(E170=0,"",MAX('11_W0_含水率'!B39,'11_W0_含水率'!D39,'11_W0_含水率'!F39,'11_W0_含水率'!H39))</x:f>
        <x:v>39.9</x:v>
      </x:c>
      <x:c r="J170" s="32" t="str">
        <x:v>%</x:v>
      </x:c>
    </x:row>
    <x:row r="171">
      <x:c r="A171" s="72" t="n">
        <x:v>46240.920752314814</x:v>
      </x:c>
      <x:c r="B171" s="32" t="str">
        <x:v>土壤含水率</x:v>
      </x:c>
      <x:c r="C171" s="32" t="str">
        <x:v>W0</x:v>
      </x:c>
      <x:c r="D171" s="32" t="str">
        <x:v>V2</x:v>
      </x:c>
      <x:c r="E171" s="86" t="n">
        <x:f>COUNT('11_W0_含水率'!C39,'11_W0_含水率'!E39,'11_W0_含水率'!G39,'11_W0_含水率'!I39)</x:f>
        <x:v>4</x:v>
      </x:c>
      <x:c r="F171" s="90" t="n">
        <x:f>IF(E171=0,"",AVERAGE('11_W0_含水率'!C39,'11_W0_含水率'!E39,'11_W0_含水率'!G39,'11_W0_含水率'!I39))</x:f>
        <x:v>37</x:v>
      </x:c>
      <x:c r="G171" s="90" t="n">
        <x:f>IF(E171&lt;2,"",STDEV.S('11_W0_含水率'!C39,'11_W0_含水率'!E39,'11_W0_含水率'!G39,'11_W0_含水率'!I39))</x:f>
        <x:v>4.11744257195329</x:v>
      </x:c>
      <x:c r="H171" s="90" t="n">
        <x:f>IF(E171=0,"",MIN('11_W0_含水率'!C39,'11_W0_含水率'!E39,'11_W0_含水率'!G39,'11_W0_含水率'!I39))</x:f>
        <x:v>32.6</x:v>
      </x:c>
      <x:c r="I171" s="90" t="n">
        <x:f>IF(E171=0,"",MAX('11_W0_含水率'!C39,'11_W0_含水率'!E39,'11_W0_含水率'!G39,'11_W0_含水率'!I39))</x:f>
        <x:v>41.3</x:v>
      </x:c>
      <x:c r="J171" s="32" t="str">
        <x:v>%</x:v>
      </x:c>
    </x:row>
    <x:row r="172">
      <x:c r="A172" s="72" t="n">
        <x:v>46240.92422453704</x:v>
      </x:c>
      <x:c r="B172" s="32" t="str">
        <x:v>土壤含水率</x:v>
      </x:c>
      <x:c r="C172" s="32" t="str">
        <x:v>W0</x:v>
      </x:c>
      <x:c r="D172" s="32" t="str">
        <x:v>V1</x:v>
      </x:c>
      <x:c r="E172" s="86" t="n">
        <x:f>COUNT('11_W0_含水率'!B40,'11_W0_含水率'!D40,'11_W0_含水率'!F40,'11_W0_含水率'!H40)</x:f>
        <x:v>4</x:v>
      </x:c>
      <x:c r="F172" s="90" t="n">
        <x:f>IF(E172=0,"",AVERAGE('11_W0_含水率'!B40,'11_W0_含水率'!D40,'11_W0_含水率'!F40,'11_W0_含水率'!H40))</x:f>
        <x:v>37.95</x:v>
      </x:c>
      <x:c r="G172" s="90" t="n">
        <x:f>IF(E172&lt;2,"",STDEV.S('11_W0_含水率'!B40,'11_W0_含水率'!D40,'11_W0_含水率'!F40,'11_W0_含水率'!H40))</x:f>
        <x:v>2.439262183530095</x:v>
      </x:c>
      <x:c r="H172" s="90" t="n">
        <x:f>IF(E172=0,"",MIN('11_W0_含水率'!B40,'11_W0_含水率'!D40,'11_W0_含水率'!F40,'11_W0_含水率'!H40))</x:f>
        <x:v>34.3</x:v>
      </x:c>
      <x:c r="I172" s="90" t="n">
        <x:f>IF(E172=0,"",MAX('11_W0_含水率'!B40,'11_W0_含水率'!D40,'11_W0_含水率'!F40,'11_W0_含水率'!H40))</x:f>
        <x:v>39.4</x:v>
      </x:c>
      <x:c r="J172" s="32" t="str">
        <x:v>%</x:v>
      </x:c>
    </x:row>
    <x:row r="173">
      <x:c r="A173" s="72" t="n">
        <x:v>46240.92422453704</x:v>
      </x:c>
      <x:c r="B173" s="32" t="str">
        <x:v>土壤含水率</x:v>
      </x:c>
      <x:c r="C173" s="32" t="str">
        <x:v>W0</x:v>
      </x:c>
      <x:c r="D173" s="32" t="str">
        <x:v>V2</x:v>
      </x:c>
      <x:c r="E173" s="86" t="n">
        <x:f>COUNT('11_W0_含水率'!C40,'11_W0_含水率'!E40,'11_W0_含水率'!G40,'11_W0_含水率'!I40)</x:f>
        <x:v>4</x:v>
      </x:c>
      <x:c r="F173" s="90" t="n">
        <x:f>IF(E173=0,"",AVERAGE('11_W0_含水率'!C40,'11_W0_含水率'!E40,'11_W0_含水率'!G40,'11_W0_含水率'!I40))</x:f>
        <x:v>36.974999999999994</x:v>
      </x:c>
      <x:c r="G173" s="90" t="n">
        <x:f>IF(E173&lt;2,"",STDEV.S('11_W0_含水率'!C40,'11_W0_含水率'!E40,'11_W0_含水率'!G40,'11_W0_含水率'!I40))</x:f>
        <x:v>4.0639676835985465</x:v>
      </x:c>
      <x:c r="H173" s="90" t="n">
        <x:f>IF(E173=0,"",MIN('11_W0_含水率'!C40,'11_W0_含水率'!E40,'11_W0_含水率'!G40,'11_W0_含水率'!I40))</x:f>
        <x:v>32.3</x:v>
      </x:c>
      <x:c r="I173" s="90" t="n">
        <x:f>IF(E173=0,"",MAX('11_W0_含水率'!C40,'11_W0_含水率'!E40,'11_W0_含水率'!G40,'11_W0_含水率'!I40))</x:f>
        <x:v>40.9</x:v>
      </x:c>
      <x:c r="J173" s="32" t="str">
        <x:v>%</x:v>
      </x:c>
    </x:row>
    <x:row r="174">
      <x:c r="A174" s="72" t="n">
        <x:v>46240.92769675926</x:v>
      </x:c>
      <x:c r="B174" s="32" t="str">
        <x:v>土壤含水率</x:v>
      </x:c>
      <x:c r="C174" s="32" t="str">
        <x:v>W0</x:v>
      </x:c>
      <x:c r="D174" s="32" t="str">
        <x:v>V1</x:v>
      </x:c>
      <x:c r="E174" s="86" t="n">
        <x:f>COUNT('11_W0_含水率'!B41,'11_W0_含水率'!D41,'11_W0_含水率'!F41,'11_W0_含水率'!H41)</x:f>
        <x:v>4</x:v>
      </x:c>
      <x:c r="F174" s="90" t="n">
        <x:f>IF(E174=0,"",AVERAGE('11_W0_含水率'!B41,'11_W0_含水率'!D41,'11_W0_含水率'!F41,'11_W0_含水率'!H41))</x:f>
        <x:v>37.925</x:v>
      </x:c>
      <x:c r="G174" s="90" t="n">
        <x:f>IF(E174&lt;2,"",STDEV.S('11_W0_含水率'!B41,'11_W0_含水率'!D41,'11_W0_含水率'!F41,'11_W0_含水率'!H41))</x:f>
        <x:v>2.083866598417472</x:v>
      </x:c>
      <x:c r="H174" s="90" t="n">
        <x:f>IF(E174=0,"",MIN('11_W0_含水率'!B41,'11_W0_含水率'!D41,'11_W0_含水率'!F41,'11_W0_含水率'!H41))</x:f>
        <x:v>34.8</x:v>
      </x:c>
      <x:c r="I174" s="90" t="n">
        <x:f>IF(E174=0,"",MAX('11_W0_含水率'!B41,'11_W0_含水率'!D41,'11_W0_含水率'!F41,'11_W0_含水率'!H41))</x:f>
        <x:v>39</x:v>
      </x:c>
      <x:c r="J174" s="32" t="str">
        <x:v>%</x:v>
      </x:c>
    </x:row>
    <x:row r="175">
      <x:c r="A175" s="72" t="n">
        <x:v>46240.92769675926</x:v>
      </x:c>
      <x:c r="B175" s="32" t="str">
        <x:v>土壤含水率</x:v>
      </x:c>
      <x:c r="C175" s="32" t="str">
        <x:v>W0</x:v>
      </x:c>
      <x:c r="D175" s="32" t="str">
        <x:v>V2</x:v>
      </x:c>
      <x:c r="E175" s="86" t="n">
        <x:f>COUNT('11_W0_含水率'!C41,'11_W0_含水率'!E41,'11_W0_含水率'!G41,'11_W0_含水率'!I41)</x:f>
        <x:v>4</x:v>
      </x:c>
      <x:c r="F175" s="90" t="n">
        <x:f>IF(E175=0,"",AVERAGE('11_W0_含水率'!C41,'11_W0_含水率'!E41,'11_W0_含水率'!G41,'11_W0_含水率'!I41))</x:f>
        <x:v>36.95</x:v>
      </x:c>
      <x:c r="G175" s="90" t="n">
        <x:f>IF(E175&lt;2,"",STDEV.S('11_W0_含水率'!C41,'11_W0_含水率'!E41,'11_W0_含水率'!G41,'11_W0_含水率'!I41))</x:f>
        <x:v>3.977017307815829</x:v>
      </x:c>
      <x:c r="H175" s="90" t="n">
        <x:f>IF(E175=0,"",MIN('11_W0_含水率'!C41,'11_W0_含水率'!E41,'11_W0_含水率'!G41,'11_W0_含水率'!I41))</x:f>
        <x:v>32.1</x:v>
      </x:c>
      <x:c r="I175" s="90" t="n">
        <x:f>IF(E175=0,"",MAX('11_W0_含水率'!C41,'11_W0_含水率'!E41,'11_W0_含水率'!G41,'11_W0_含水率'!I41))</x:f>
        <x:v>40.4</x:v>
      </x:c>
      <x:c r="J175" s="32" t="str">
        <x:v>%</x:v>
      </x:c>
    </x:row>
    <x:row r="176">
      <x:c r="A176" s="72" t="n">
        <x:v>46240.93116898148</x:v>
      </x:c>
      <x:c r="B176" s="32" t="str">
        <x:v>土壤含水率</x:v>
      </x:c>
      <x:c r="C176" s="32" t="str">
        <x:v>W0</x:v>
      </x:c>
      <x:c r="D176" s="32" t="str">
        <x:v>V1</x:v>
      </x:c>
      <x:c r="E176" s="86" t="n">
        <x:f>COUNT('11_W0_含水率'!B42,'11_W0_含水率'!D42,'11_W0_含水率'!F42,'11_W0_含水率'!H42)</x:f>
        <x:v>4</x:v>
      </x:c>
      <x:c r="F176" s="90" t="n">
        <x:f>IF(E176=0,"",AVERAGE('11_W0_含水率'!B42,'11_W0_含水率'!D42,'11_W0_含水率'!F42,'11_W0_含水率'!H42))</x:f>
        <x:v>37.9</x:v>
      </x:c>
      <x:c r="G176" s="90" t="n">
        <x:f>IF(E176&lt;2,"",STDEV.S('11_W0_含水率'!B42,'11_W0_含水率'!D42,'11_W0_含水率'!F42,'11_W0_含水率'!H42))</x:f>
        <x:v>1.7530925056406286</x:v>
      </x:c>
      <x:c r="H176" s="90" t="n">
        <x:f>IF(E176=0,"",MIN('11_W0_含水率'!B42,'11_W0_含水率'!D42,'11_W0_含水率'!F42,'11_W0_含水率'!H42))</x:f>
        <x:v>35.3</x:v>
      </x:c>
      <x:c r="I176" s="90" t="n">
        <x:f>IF(E176=0,"",MAX('11_W0_含水率'!B42,'11_W0_含水率'!D42,'11_W0_含水率'!F42,'11_W0_含水率'!H42))</x:f>
        <x:v>39</x:v>
      </x:c>
      <x:c r="J176" s="32" t="str">
        <x:v>%</x:v>
      </x:c>
    </x:row>
    <x:row r="177">
      <x:c r="A177" s="72" t="n">
        <x:v>46240.93116898148</x:v>
      </x:c>
      <x:c r="B177" s="32" t="str">
        <x:v>土壤含水率</x:v>
      </x:c>
      <x:c r="C177" s="32" t="str">
        <x:v>W0</x:v>
      </x:c>
      <x:c r="D177" s="32" t="str">
        <x:v>V2</x:v>
      </x:c>
      <x:c r="E177" s="86" t="n">
        <x:f>COUNT('11_W0_含水率'!C42,'11_W0_含水率'!E42,'11_W0_含水率'!G42,'11_W0_含水率'!I42)</x:f>
        <x:v>4</x:v>
      </x:c>
      <x:c r="F177" s="90" t="n">
        <x:f>IF(E177=0,"",AVERAGE('11_W0_含水率'!C42,'11_W0_含水率'!E42,'11_W0_含水率'!G42,'11_W0_含水率'!I42))</x:f>
        <x:v>36.925</x:v>
      </x:c>
      <x:c r="G177" s="90" t="n">
        <x:f>IF(E177&lt;2,"",STDEV.S('11_W0_含水率'!C42,'11_W0_含水率'!E42,'11_W0_含水率'!G42,'11_W0_含水率'!I42))</x:f>
        <x:v>3.822193959843831</x:v>
      </x:c>
      <x:c r="H177" s="90" t="n">
        <x:f>IF(E177=0,"",MIN('11_W0_含水率'!C42,'11_W0_含水率'!E42,'11_W0_含水率'!G42,'11_W0_含水率'!I42))</x:f>
        <x:v>32</x:v>
      </x:c>
      <x:c r="I177" s="90" t="n">
        <x:f>IF(E177=0,"",MAX('11_W0_含水率'!C42,'11_W0_含水率'!E42,'11_W0_含水率'!G42,'11_W0_含水率'!I42))</x:f>
        <x:v>40</x:v>
      </x:c>
      <x:c r="J177" s="32" t="str">
        <x:v>%</x:v>
      </x:c>
    </x:row>
    <x:row r="178">
      <x:c r="A178" s="72" t="n">
        <x:v>46240.934641203705</x:v>
      </x:c>
      <x:c r="B178" s="32" t="str">
        <x:v>土壤含水率</x:v>
      </x:c>
      <x:c r="C178" s="32" t="str">
        <x:v>W0</x:v>
      </x:c>
      <x:c r="D178" s="32" t="str">
        <x:v>V1</x:v>
      </x:c>
      <x:c r="E178" s="86" t="n">
        <x:f>COUNT('11_W0_含水率'!B43,'11_W0_含水率'!D43,'11_W0_含水率'!F43,'11_W0_含水率'!H43)</x:f>
        <x:v>4</x:v>
      </x:c>
      <x:c r="F178" s="90" t="n">
        <x:f>IF(E178=0,"",AVERAGE('11_W0_含水率'!B43,'11_W0_含水率'!D43,'11_W0_含水率'!F43,'11_W0_含水率'!H43))</x:f>
        <x:v>37.9</x:v>
      </x:c>
      <x:c r="G178" s="90" t="n">
        <x:f>IF(E178&lt;2,"",STDEV.S('11_W0_含水率'!B43,'11_W0_含水率'!D43,'11_W0_含水率'!F43,'11_W0_含水率'!H43))</x:f>
        <x:v>1.483239697419135</x:v>
      </x:c>
      <x:c r="H178" s="90" t="n">
        <x:f>IF(E178=0,"",MIN('11_W0_含水率'!B43,'11_W0_含水率'!D43,'11_W0_含水率'!F43,'11_W0_含水率'!H43))</x:f>
        <x:v>35.8</x:v>
      </x:c>
      <x:c r="I178" s="90" t="n">
        <x:f>IF(E178=0,"",MAX('11_W0_含水率'!B43,'11_W0_含水率'!D43,'11_W0_含水率'!F43,'11_W0_含水率'!H43))</x:f>
        <x:v>39.2</x:v>
      </x:c>
      <x:c r="J178" s="32" t="str">
        <x:v>%</x:v>
      </x:c>
    </x:row>
    <x:row r="179">
      <x:c r="A179" s="72" t="n">
        <x:v>46240.934641203705</x:v>
      </x:c>
      <x:c r="B179" s="32" t="str">
        <x:v>土壤含水率</x:v>
      </x:c>
      <x:c r="C179" s="32" t="str">
        <x:v>W0</x:v>
      </x:c>
      <x:c r="D179" s="32" t="str">
        <x:v>V2</x:v>
      </x:c>
      <x:c r="E179" s="86" t="n">
        <x:f>COUNT('11_W0_含水率'!C43,'11_W0_含水率'!E43,'11_W0_含水率'!G43,'11_W0_含水率'!I43)</x:f>
        <x:v>4</x:v>
      </x:c>
      <x:c r="F179" s="90" t="n">
        <x:f>IF(E179=0,"",AVERAGE('11_W0_含水率'!C43,'11_W0_含水率'!E43,'11_W0_含水率'!G43,'11_W0_含水率'!I43))</x:f>
        <x:v>36.9</x:v>
      </x:c>
      <x:c r="G179" s="90" t="n">
        <x:f>IF(E179&lt;2,"",STDEV.S('11_W0_含水率'!C43,'11_W0_含水率'!E43,'11_W0_含水率'!G43,'11_W0_含水率'!I43))</x:f>
        <x:v>3.6340977789083584</x:v>
      </x:c>
      <x:c r="H179" s="90" t="n">
        <x:f>IF(E179=0,"",MIN('11_W0_含水率'!C43,'11_W0_含水率'!E43,'11_W0_含水率'!G43,'11_W0_含水率'!I43))</x:f>
        <x:v>32</x:v>
      </x:c>
      <x:c r="I179" s="90" t="n">
        <x:f>IF(E179=0,"",MAX('11_W0_含水率'!C43,'11_W0_含水率'!E43,'11_W0_含水率'!G43,'11_W0_含水率'!I43))</x:f>
        <x:v>39.9</x:v>
      </x:c>
      <x:c r="J179" s="32" t="str">
        <x:v>%</x:v>
      </x:c>
    </x:row>
    <x:row r="180">
      <x:c r="A180" s="72" t="n">
        <x:v>46240.938113425924</x:v>
      </x:c>
      <x:c r="B180" s="32" t="str">
        <x:v>土壤含水率</x:v>
      </x:c>
      <x:c r="C180" s="32" t="str">
        <x:v>W0</x:v>
      </x:c>
      <x:c r="D180" s="32" t="str">
        <x:v>V1</x:v>
      </x:c>
      <x:c r="E180" s="86" t="n">
        <x:f>COUNT('11_W0_含水率'!B44,'11_W0_含水率'!D44,'11_W0_含水率'!F44,'11_W0_含水率'!H44)</x:f>
        <x:v>4</x:v>
      </x:c>
      <x:c r="F180" s="90" t="n">
        <x:f>IF(E180=0,"",AVERAGE('11_W0_含水率'!B44,'11_W0_含水率'!D44,'11_W0_含水率'!F44,'11_W0_含水率'!H44))</x:f>
        <x:v>37.900000000000006</x:v>
      </x:c>
      <x:c r="G180" s="90" t="n">
        <x:f>IF(E180&lt;2,"",STDEV.S('11_W0_含水率'!B44,'11_W0_含水率'!D44,'11_W0_含水率'!F44,'11_W0_含水率'!H44))</x:f>
        <x:v>1.3784048752090206</x:v>
      </x:c>
      <x:c r="H180" s="90" t="n">
        <x:f>IF(E180=0,"",MIN('11_W0_含水率'!B44,'11_W0_含水率'!D44,'11_W0_含水率'!F44,'11_W0_含水率'!H44))</x:f>
        <x:v>36.2</x:v>
      </x:c>
      <x:c r="I180" s="90" t="n">
        <x:f>IF(E180=0,"",MAX('11_W0_含水率'!B44,'11_W0_含水率'!D44,'11_W0_含水率'!F44,'11_W0_含水率'!H44))</x:f>
        <x:v>39.5</x:v>
      </x:c>
      <x:c r="J180" s="32" t="str">
        <x:v>%</x:v>
      </x:c>
    </x:row>
    <x:row r="181">
      <x:c r="A181" s="72" t="n">
        <x:v>46240.938113425924</x:v>
      </x:c>
      <x:c r="B181" s="32" t="str">
        <x:v>土壤含水率</x:v>
      </x:c>
      <x:c r="C181" s="32" t="str">
        <x:v>W0</x:v>
      </x:c>
      <x:c r="D181" s="32" t="str">
        <x:v>V2</x:v>
      </x:c>
      <x:c r="E181" s="86" t="n">
        <x:f>COUNT('11_W0_含水率'!C44,'11_W0_含水率'!E44,'11_W0_含水率'!G44,'11_W0_含水率'!I44)</x:f>
        <x:v>4</x:v>
      </x:c>
      <x:c r="F181" s="90" t="n">
        <x:f>IF(E181=0,"",AVERAGE('11_W0_含水率'!C44,'11_W0_含水率'!E44,'11_W0_含水率'!G44,'11_W0_含水率'!I44))</x:f>
        <x:v>36.9</x:v>
      </x:c>
      <x:c r="G181" s="90" t="n">
        <x:f>IF(E181&lt;2,"",STDEV.S('11_W0_含水率'!C44,'11_W0_含水率'!E44,'11_W0_含水率'!G44,'11_W0_含水率'!I44))</x:f>
        <x:v>3.3565855667130937</x:v>
      </x:c>
      <x:c r="H181" s="90" t="n">
        <x:f>IF(E181=0,"",MIN('11_W0_含水率'!C44,'11_W0_含水率'!E44,'11_W0_含水率'!G44,'11_W0_含水率'!I44))</x:f>
        <x:v>32.2</x:v>
      </x:c>
      <x:c r="I181" s="90" t="n">
        <x:f>IF(E181=0,"",MAX('11_W0_含水率'!C44,'11_W0_含水率'!E44,'11_W0_含水率'!G44,'11_W0_含水率'!I44))</x:f>
        <x:v>39.6</x:v>
      </x:c>
      <x:c r="J181" s="32" t="str">
        <x:v>%</x:v>
      </x:c>
    </x:row>
    <x:row r="182">
      <x:c r="A182" s="72" t="n">
        <x:v>46240.94158564815</x:v>
      </x:c>
      <x:c r="B182" s="32" t="str">
        <x:v>土壤含水率</x:v>
      </x:c>
      <x:c r="C182" s="32" t="str">
        <x:v>W0</x:v>
      </x:c>
      <x:c r="D182" s="32" t="str">
        <x:v>V1</x:v>
      </x:c>
      <x:c r="E182" s="86" t="n">
        <x:f>COUNT('11_W0_含水率'!B45,'11_W0_含水率'!D45,'11_W0_含水率'!F45,'11_W0_含水率'!H45)</x:f>
        <x:v>4</x:v>
      </x:c>
      <x:c r="F182" s="90" t="n">
        <x:f>IF(E182=0,"",AVERAGE('11_W0_含水率'!B45,'11_W0_含水率'!D45,'11_W0_含水率'!F45,'11_W0_含水率'!H45))</x:f>
        <x:v>37.925</x:v>
      </x:c>
      <x:c r="G182" s="90" t="n">
        <x:f>IF(E182&lt;2,"",STDEV.S('11_W0_含水率'!B45,'11_W0_含水率'!D45,'11_W0_含水率'!F45,'11_W0_含水率'!H45))</x:f>
        <x:v>1.4198004554631372</x:v>
      </x:c>
      <x:c r="H182" s="90" t="n">
        <x:f>IF(E182=0,"",MIN('11_W0_含水率'!B45,'11_W0_含水率'!D45,'11_W0_含水率'!F45,'11_W0_含水率'!H45))</x:f>
        <x:v>36.6</x:v>
      </x:c>
      <x:c r="I182" s="90" t="n">
        <x:f>IF(E182=0,"",MAX('11_W0_含水率'!B45,'11_W0_含水率'!D45,'11_W0_含水率'!F45,'11_W0_含水率'!H45))</x:f>
        <x:v>39.9</x:v>
      </x:c>
      <x:c r="J182" s="32" t="str">
        <x:v>%</x:v>
      </x:c>
    </x:row>
    <x:row r="183">
      <x:c r="A183" s="72" t="n">
        <x:v>46240.94158564815</x:v>
      </x:c>
      <x:c r="B183" s="32" t="str">
        <x:v>土壤含水率</x:v>
      </x:c>
      <x:c r="C183" s="32" t="str">
        <x:v>W0</x:v>
      </x:c>
      <x:c r="D183" s="32" t="str">
        <x:v>V2</x:v>
      </x:c>
      <x:c r="E183" s="86" t="n">
        <x:f>COUNT('11_W0_含水率'!C45,'11_W0_含水率'!E45,'11_W0_含水率'!G45,'11_W0_含水率'!I45)</x:f>
        <x:v>4</x:v>
      </x:c>
      <x:c r="F183" s="90" t="n">
        <x:f>IF(E183=0,"",AVERAGE('11_W0_含水率'!C45,'11_W0_含水率'!E45,'11_W0_含水率'!G45,'11_W0_含水率'!I45))</x:f>
        <x:v>36.900000000000006</x:v>
      </x:c>
      <x:c r="G183" s="90" t="n">
        <x:f>IF(E183&lt;2,"",STDEV.S('11_W0_含水率'!C45,'11_W0_含水率'!E45,'11_W0_含水率'!G45,'11_W0_含水率'!I45))</x:f>
        <x:v>3.0605010483034745</x:v>
      </x:c>
      <x:c r="H183" s="90" t="n">
        <x:f>IF(E183=0,"",MIN('11_W0_含水率'!C45,'11_W0_含水率'!E45,'11_W0_含水率'!G45,'11_W0_含水率'!I45))</x:f>
        <x:v>32.5</x:v>
      </x:c>
      <x:c r="I183" s="90" t="n">
        <x:f>IF(E183=0,"",MAX('11_W0_含水率'!C45,'11_W0_含水率'!E45,'11_W0_含水率'!G45,'11_W0_含水率'!I45))</x:f>
        <x:v>39.3</x:v>
      </x:c>
      <x:c r="J183" s="32" t="str">
        <x:v>%</x:v>
      </x:c>
    </x:row>
    <x:row r="184">
      <x:c r="A184" s="72" t="n">
        <x:v>46240.94505787037</x:v>
      </x:c>
      <x:c r="B184" s="32" t="str">
        <x:v>土壤含水率</x:v>
      </x:c>
      <x:c r="C184" s="32" t="str">
        <x:v>W0</x:v>
      </x:c>
      <x:c r="D184" s="32" t="str">
        <x:v>V1</x:v>
      </x:c>
      <x:c r="E184" s="86" t="n">
        <x:f>COUNT('11_W0_含水率'!B46,'11_W0_含水率'!D46,'11_W0_含水率'!F46,'11_W0_含水率'!H46)</x:f>
        <x:v>4</x:v>
      </x:c>
      <x:c r="F184" s="90" t="n">
        <x:f>IF(E184=0,"",AVERAGE('11_W0_含水率'!B46,'11_W0_含水率'!D46,'11_W0_含水率'!F46,'11_W0_含水率'!H46))</x:f>
        <x:v>37.9</x:v>
      </x:c>
      <x:c r="G184" s="90" t="n">
        <x:f>IF(E184&lt;2,"",STDEV.S('11_W0_含水率'!B46,'11_W0_含水率'!D46,'11_W0_含水率'!F46,'11_W0_含水率'!H46))</x:f>
        <x:v>1.6186414056238638</x:v>
      </x:c>
      <x:c r="H184" s="90" t="n">
        <x:f>IF(E184=0,"",MIN('11_W0_含水率'!B46,'11_W0_含水率'!D46,'11_W0_含水率'!F46,'11_W0_含水率'!H46))</x:f>
        <x:v>36.8</x:v>
      </x:c>
      <x:c r="I184" s="90" t="n">
        <x:f>IF(E184=0,"",MAX('11_W0_含水率'!B46,'11_W0_含水率'!D46,'11_W0_含水率'!F46,'11_W0_含水率'!H46))</x:f>
        <x:v>40.3</x:v>
      </x:c>
      <x:c r="J184" s="32" t="str">
        <x:v>%</x:v>
      </x:c>
    </x:row>
    <x:row r="185">
      <x:c r="A185" s="72" t="n">
        <x:v>46240.94505787037</x:v>
      </x:c>
      <x:c r="B185" s="32" t="str">
        <x:v>土壤含水率</x:v>
      </x:c>
      <x:c r="C185" s="32" t="str">
        <x:v>W0</x:v>
      </x:c>
      <x:c r="D185" s="32" t="str">
        <x:v>V2</x:v>
      </x:c>
      <x:c r="E185" s="86" t="n">
        <x:f>COUNT('11_W0_含水率'!C46,'11_W0_含水率'!E46,'11_W0_含水率'!G46,'11_W0_含水率'!I46)</x:f>
        <x:v>4</x:v>
      </x:c>
      <x:c r="F185" s="90" t="n">
        <x:f>IF(E185=0,"",AVERAGE('11_W0_含水率'!C46,'11_W0_含水率'!E46,'11_W0_含水率'!G46,'11_W0_含水率'!I46))</x:f>
        <x:v>36.925</x:v>
      </x:c>
      <x:c r="G185" s="90" t="n">
        <x:f>IF(E185&lt;2,"",STDEV.S('11_W0_含水率'!C46,'11_W0_含水率'!E46,'11_W0_含水率'!G46,'11_W0_含水率'!I46))</x:f>
        <x:v>2.7354158733179856</x:v>
      </x:c>
      <x:c r="H185" s="90" t="n">
        <x:f>IF(E185=0,"",MIN('11_W0_含水率'!C46,'11_W0_含水率'!E46,'11_W0_含水率'!G46,'11_W0_含水率'!I46))</x:f>
        <x:v>32.9</x:v>
      </x:c>
      <x:c r="I185" s="90" t="n">
        <x:f>IF(E185=0,"",MAX('11_W0_含水率'!C46,'11_W0_含水率'!E46,'11_W0_含水率'!G46,'11_W0_含水率'!I46))</x:f>
        <x:v>38.9</x:v>
      </x:c>
      <x:c r="J185" s="32" t="str">
        <x:v>%</x:v>
      </x:c>
    </x:row>
    <x:row r="186">
      <x:c r="A186" s="72" t="n">
        <x:v>46240.948530092595</x:v>
      </x:c>
      <x:c r="B186" s="32" t="str">
        <x:v>土壤含水率</x:v>
      </x:c>
      <x:c r="C186" s="32" t="str">
        <x:v>W0</x:v>
      </x:c>
      <x:c r="D186" s="32" t="str">
        <x:v>V1</x:v>
      </x:c>
      <x:c r="E186" s="86" t="n">
        <x:f>COUNT('11_W0_含水率'!B47,'11_W0_含水率'!D47,'11_W0_含水率'!F47,'11_W0_含水率'!H47)</x:f>
        <x:v>4</x:v>
      </x:c>
      <x:c r="F186" s="90" t="n">
        <x:f>IF(E186=0,"",AVERAGE('11_W0_含水率'!B47,'11_W0_含水率'!D47,'11_W0_含水率'!F47,'11_W0_含水率'!H47))</x:f>
        <x:v>37.925</x:v>
      </x:c>
      <x:c r="G186" s="90" t="n">
        <x:f>IF(E186&lt;2,"",STDEV.S('11_W0_含水率'!B47,'11_W0_含水率'!D47,'11_W0_含水率'!F47,'11_W0_含水率'!H47))</x:f>
        <x:v>1.917246289169268</x:v>
      </x:c>
      <x:c r="H186" s="90" t="n">
        <x:f>IF(E186=0,"",MIN('11_W0_含水率'!B47,'11_W0_含水率'!D47,'11_W0_含水率'!F47,'11_W0_含水率'!H47))</x:f>
        <x:v>36.9</x:v>
      </x:c>
      <x:c r="I186" s="90" t="n">
        <x:f>IF(E186=0,"",MAX('11_W0_含水率'!B47,'11_W0_含水率'!D47,'11_W0_含水率'!F47,'11_W0_含水率'!H47))</x:f>
        <x:v>40.8</x:v>
      </x:c>
      <x:c r="J186" s="32" t="str">
        <x:v>%</x:v>
      </x:c>
    </x:row>
    <x:row r="187">
      <x:c r="A187" s="72" t="n">
        <x:v>46240.948530092595</x:v>
      </x:c>
      <x:c r="B187" s="32" t="str">
        <x:v>土壤含水率</x:v>
      </x:c>
      <x:c r="C187" s="32" t="str">
        <x:v>W0</x:v>
      </x:c>
      <x:c r="D187" s="32" t="str">
        <x:v>V2</x:v>
      </x:c>
      <x:c r="E187" s="86" t="n">
        <x:f>COUNT('11_W0_含水率'!C47,'11_W0_含水率'!E47,'11_W0_含水率'!G47,'11_W0_含水率'!I47)</x:f>
        <x:v>4</x:v>
      </x:c>
      <x:c r="F187" s="90" t="n">
        <x:f>IF(E187=0,"",AVERAGE('11_W0_含水率'!C47,'11_W0_含水率'!E47,'11_W0_含水率'!G47,'11_W0_含水率'!I47))</x:f>
        <x:v>36.9</x:v>
      </x:c>
      <x:c r="G187" s="90" t="n">
        <x:f>IF(E187&lt;2,"",STDEV.S('11_W0_含水率'!C47,'11_W0_含水率'!E47,'11_W0_含水率'!G47,'11_W0_含水率'!I47))</x:f>
        <x:v>2.4124676163629646</x:v>
      </x:c>
      <x:c r="H187" s="90" t="n">
        <x:f>IF(E187=0,"",MIN('11_W0_含水率'!C47,'11_W0_含水率'!E47,'11_W0_含水率'!G47,'11_W0_含水率'!I47))</x:f>
        <x:v>33.3</x:v>
      </x:c>
      <x:c r="I187" s="90" t="n">
        <x:f>IF(E187=0,"",MAX('11_W0_含水率'!C47,'11_W0_含水率'!E47,'11_W0_含水率'!G47,'11_W0_含水率'!I47))</x:f>
        <x:v>38.4</x:v>
      </x:c>
      <x:c r="J187" s="32" t="str">
        <x:v>%</x:v>
      </x:c>
    </x:row>
    <x:row r="188">
      <x:c r="A188" s="72" t="n">
        <x:v>46240.952002314814</x:v>
      </x:c>
      <x:c r="B188" s="32" t="str">
        <x:v>土壤含水率</x:v>
      </x:c>
      <x:c r="C188" s="32" t="str">
        <x:v>W0</x:v>
      </x:c>
      <x:c r="D188" s="32" t="str">
        <x:v>V1</x:v>
      </x:c>
      <x:c r="E188" s="86" t="n">
        <x:f>COUNT('11_W0_含水率'!B48,'11_W0_含水率'!D48,'11_W0_含水率'!F48,'11_W0_含水率'!H48)</x:f>
        <x:v>4</x:v>
      </x:c>
      <x:c r="F188" s="90" t="n">
        <x:f>IF(E188=0,"",AVERAGE('11_W0_含水率'!B48,'11_W0_含水率'!D48,'11_W0_含水率'!F48,'11_W0_含水率'!H48))</x:f>
        <x:v>37.925</x:v>
      </x:c>
      <x:c r="G188" s="90" t="n">
        <x:f>IF(E188&lt;2,"",STDEV.S('11_W0_含水率'!B48,'11_W0_含水率'!D48,'11_W0_含水率'!F48,'11_W0_含水率'!H48))</x:f>
        <x:v>2.2677080940897123</x:v>
      </x:c>
      <x:c r="H188" s="90" t="n">
        <x:f>IF(E188=0,"",MIN('11_W0_含水率'!B48,'11_W0_含水率'!D48,'11_W0_含水率'!F48,'11_W0_含水率'!H48))</x:f>
        <x:v>36.4</x:v>
      </x:c>
      <x:c r="I188" s="90" t="n">
        <x:f>IF(E188=0,"",MAX('11_W0_含水率'!B48,'11_W0_含水率'!D48,'11_W0_含水率'!F48,'11_W0_含水率'!H48))</x:f>
        <x:v>41.3</x:v>
      </x:c>
      <x:c r="J188" s="32" t="str">
        <x:v>%</x:v>
      </x:c>
    </x:row>
    <x:row r="189">
      <x:c r="A189" s="72" t="n">
        <x:v>46240.952002314814</x:v>
      </x:c>
      <x:c r="B189" s="32" t="str">
        <x:v>土壤含水率</x:v>
      </x:c>
      <x:c r="C189" s="32" t="str">
        <x:v>W0</x:v>
      </x:c>
      <x:c r="D189" s="32" t="str">
        <x:v>V2</x:v>
      </x:c>
      <x:c r="E189" s="86" t="n">
        <x:f>COUNT('11_W0_含水率'!C48,'11_W0_含水率'!E48,'11_W0_含水率'!G48,'11_W0_含水率'!I48)</x:f>
        <x:v>4</x:v>
      </x:c>
      <x:c r="F189" s="90" t="n">
        <x:f>IF(E189=0,"",AVERAGE('11_W0_含水率'!C48,'11_W0_含水率'!E48,'11_W0_含水率'!G48,'11_W0_含水率'!I48))</x:f>
        <x:v>36.925</x:v>
      </x:c>
      <x:c r="G189" s="90" t="n">
        <x:f>IF(E189&lt;2,"",STDEV.S('11_W0_含水率'!C48,'11_W0_含水率'!E48,'11_W0_含水率'!G48,'11_W0_含水率'!I48))</x:f>
        <x:v>2.083866598417472</x:v>
      </x:c>
      <x:c r="H189" s="90" t="n">
        <x:f>IF(E189=0,"",MIN('11_W0_含水率'!C48,'11_W0_含水率'!E48,'11_W0_含水率'!G48,'11_W0_含水率'!I48))</x:f>
        <x:v>33.8</x:v>
      </x:c>
      <x:c r="I189" s="90" t="n">
        <x:f>IF(E189=0,"",MAX('11_W0_含水率'!C48,'11_W0_含水率'!E48,'11_W0_含水率'!G48,'11_W0_含水率'!I48))</x:f>
        <x:v>38</x:v>
      </x:c>
      <x:c r="J189" s="32" t="str">
        <x:v>%</x:v>
      </x:c>
    </x:row>
    <x:row r="190">
      <x:c r="A190" s="72" t="n">
        <x:v>46240.95547453704</x:v>
      </x:c>
      <x:c r="B190" s="32" t="str">
        <x:v>土壤含水率</x:v>
      </x:c>
      <x:c r="C190" s="32" t="str">
        <x:v>W0</x:v>
      </x:c>
      <x:c r="D190" s="32" t="str">
        <x:v>V1</x:v>
      </x:c>
      <x:c r="E190" s="86" t="n">
        <x:f>COUNT('11_W0_含水率'!B49,'11_W0_含水率'!D49,'11_W0_含水率'!F49,'11_W0_含水率'!H49)</x:f>
        <x:v>4</x:v>
      </x:c>
      <x:c r="F190" s="90" t="n">
        <x:f>IF(E190=0,"",AVERAGE('11_W0_含水率'!B49,'11_W0_含水率'!D49,'11_W0_含水率'!F49,'11_W0_含水率'!H49))</x:f>
        <x:v>37.974999999999994</x:v>
      </x:c>
      <x:c r="G190" s="90" t="n">
        <x:f>IF(E190&lt;2,"",STDEV.S('11_W0_含水率'!B49,'11_W0_含水率'!D49,'11_W0_含水率'!F49,'11_W0_含水率'!H49))</x:f>
        <x:v>2.600480724789167</x:v>
      </x:c>
      <x:c r="H190" s="90" t="n">
        <x:f>IF(E190=0,"",MIN('11_W0_含水率'!B49,'11_W0_含水率'!D49,'11_W0_含水率'!F49,'11_W0_含水率'!H49))</x:f>
        <x:v>36</x:v>
      </x:c>
      <x:c r="I190" s="90" t="n">
        <x:f>IF(E190=0,"",MAX('11_W0_含水率'!B49,'11_W0_含水率'!D49,'11_W0_含水率'!F49,'11_W0_含水率'!H49))</x:f>
        <x:v>41.8</x:v>
      </x:c>
      <x:c r="J190" s="32" t="str">
        <x:v>%</x:v>
      </x:c>
    </x:row>
    <x:row r="191">
      <x:c r="A191" s="72" t="n">
        <x:v>46240.95547453704</x:v>
      </x:c>
      <x:c r="B191" s="32" t="str">
        <x:v>土壤含水率</x:v>
      </x:c>
      <x:c r="C191" s="32" t="str">
        <x:v>W0</x:v>
      </x:c>
      <x:c r="D191" s="32" t="str">
        <x:v>V2</x:v>
      </x:c>
      <x:c r="E191" s="86" t="n">
        <x:f>COUNT('11_W0_含水率'!C49,'11_W0_含水率'!E49,'11_W0_含水率'!G49,'11_W0_含水率'!I49)</x:f>
        <x:v>4</x:v>
      </x:c>
      <x:c r="F191" s="90" t="n">
        <x:f>IF(E191=0,"",AVERAGE('11_W0_含水率'!C49,'11_W0_含水率'!E49,'11_W0_含水率'!G49,'11_W0_含水率'!I49))</x:f>
        <x:v>36.925</x:v>
      </x:c>
      <x:c r="G191" s="90" t="n">
        <x:f>IF(E191&lt;2,"",STDEV.S('11_W0_含水率'!C49,'11_W0_含水率'!E49,'11_W0_含水率'!G49,'11_W0_含水率'!I49))</x:f>
        <x:v>1.7727097901235849</x:v>
      </x:c>
      <x:c r="H191" s="90" t="n">
        <x:f>IF(E191=0,"",MIN('11_W0_含水率'!C49,'11_W0_含水率'!E49,'11_W0_含水率'!G49,'11_W0_含水率'!I49))</x:f>
        <x:v>34.3</x:v>
      </x:c>
      <x:c r="I191" s="90" t="n">
        <x:f>IF(E191=0,"",MAX('11_W0_含水率'!C49,'11_W0_含水率'!E49,'11_W0_含水率'!G49,'11_W0_含水率'!I49))</x:f>
        <x:v>38</x:v>
      </x:c>
      <x:c r="J191" s="32" t="str">
        <x:v>%</x:v>
      </x:c>
    </x:row>
    <x:row r="192">
      <x:c r="A192" s="72" t="n">
        <x:v>46240.95894675926</x:v>
      </x:c>
      <x:c r="B192" s="32" t="str">
        <x:v>土壤含水率</x:v>
      </x:c>
      <x:c r="C192" s="32" t="str">
        <x:v>W0</x:v>
      </x:c>
      <x:c r="D192" s="32" t="str">
        <x:v>V1</x:v>
      </x:c>
      <x:c r="E192" s="86" t="n">
        <x:f>COUNT('11_W0_含水率'!B50,'11_W0_含水率'!D50,'11_W0_含水率'!F50,'11_W0_含水率'!H50)</x:f>
        <x:v>4</x:v>
      </x:c>
      <x:c r="F192" s="90" t="n">
        <x:f>IF(E192=0,"",AVERAGE('11_W0_含水率'!B50,'11_W0_含水率'!D50,'11_W0_含水率'!F50,'11_W0_含水率'!H50))</x:f>
        <x:v>38</x:v>
      </x:c>
      <x:c r="G192" s="90" t="n">
        <x:f>IF(E192&lt;2,"",STDEV.S('11_W0_含水率'!B50,'11_W0_含水率'!D50,'11_W0_含水率'!F50,'11_W0_含水率'!H50))</x:f>
        <x:v>2.9063149634316425</x:v>
      </x:c>
      <x:c r="H192" s="90" t="n">
        <x:f>IF(E192=0,"",MIN('11_W0_含水率'!B50,'11_W0_含水率'!D50,'11_W0_含水率'!F50,'11_W0_含水率'!H50))</x:f>
        <x:v>35.6</x:v>
      </x:c>
      <x:c r="I192" s="90" t="n">
        <x:f>IF(E192=0,"",MAX('11_W0_含水率'!B50,'11_W0_含水率'!D50,'11_W0_含水率'!F50,'11_W0_含水率'!H50))</x:f>
        <x:v>42.2</x:v>
      </x:c>
      <x:c r="J192" s="32" t="str">
        <x:v>%</x:v>
      </x:c>
    </x:row>
    <x:row r="193">
      <x:c r="A193" s="72" t="n">
        <x:v>46240.95894675926</x:v>
      </x:c>
      <x:c r="B193" s="32" t="str">
        <x:v>土壤含水率</x:v>
      </x:c>
      <x:c r="C193" s="32" t="str">
        <x:v>W0</x:v>
      </x:c>
      <x:c r="D193" s="32" t="str">
        <x:v>V2</x:v>
      </x:c>
      <x:c r="E193" s="86" t="n">
        <x:f>COUNT('11_W0_含水率'!C50,'11_W0_含水率'!E50,'11_W0_含水率'!G50,'11_W0_含水率'!I50)</x:f>
        <x:v>4</x:v>
      </x:c>
      <x:c r="F193" s="90" t="n">
        <x:f>IF(E193=0,"",AVERAGE('11_W0_含水率'!C50,'11_W0_含水率'!E50,'11_W0_含水率'!G50,'11_W0_含水率'!I50))</x:f>
        <x:v>36.974999999999994</x:v>
      </x:c>
      <x:c r="G193" s="90" t="n">
        <x:f>IF(E193&lt;2,"",STDEV.S('11_W0_含水率'!C50,'11_W0_含水率'!E50,'11_W0_含水率'!G50,'11_W0_含水率'!I50))</x:f>
        <x:v>1.5370426148939416</x:v>
      </x:c>
      <x:c r="H193" s="90" t="n">
        <x:f>IF(E193=0,"",MIN('11_W0_含水率'!C50,'11_W0_含水率'!E50,'11_W0_含水率'!G50,'11_W0_含水率'!I50))</x:f>
        <x:v>34.8</x:v>
      </x:c>
      <x:c r="I193" s="90" t="n">
        <x:f>IF(E193=0,"",MAX('11_W0_含水率'!C50,'11_W0_含水率'!E50,'11_W0_含水率'!G50,'11_W0_含水率'!I50))</x:f>
        <x:v>38.2</x:v>
      </x:c>
      <x:c r="J193" s="32" t="str">
        <x:v>%</x:v>
      </x:c>
    </x:row>
    <x:row r="194">
      <x:c r="A194" s="72" t="n">
        <x:v>46240.96241898148</x:v>
      </x:c>
      <x:c r="B194" s="32" t="str">
        <x:v>土壤含水率</x:v>
      </x:c>
      <x:c r="C194" s="32" t="str">
        <x:v>W0</x:v>
      </x:c>
      <x:c r="D194" s="32" t="str">
        <x:v>V1</x:v>
      </x:c>
      <x:c r="E194" s="86" t="n">
        <x:f>COUNT('11_W0_含水率'!B51,'11_W0_含水率'!D51,'11_W0_含水率'!F51,'11_W0_含水率'!H51)</x:f>
        <x:v>4</x:v>
      </x:c>
      <x:c r="F194" s="90" t="n">
        <x:f>IF(E194=0,"",AVERAGE('11_W0_含水率'!B51,'11_W0_含水率'!D51,'11_W0_含水率'!F51,'11_W0_含水率'!H51))</x:f>
        <x:v>38.05</x:v>
      </x:c>
      <x:c r="G194" s="90" t="n">
        <x:f>IF(E194&lt;2,"",STDEV.S('11_W0_含水率'!B51,'11_W0_含水率'!D51,'11_W0_含水率'!F51,'11_W0_含水率'!H51))</x:f>
        <x:v>3.21506868770586</x:v>
      </x:c>
      <x:c r="H194" s="90" t="n">
        <x:f>IF(E194=0,"",MIN('11_W0_含水率'!B51,'11_W0_含水率'!D51,'11_W0_含水率'!F51,'11_W0_含水率'!H51))</x:f>
        <x:v>35.3</x:v>
      </x:c>
      <x:c r="I194" s="90" t="n">
        <x:f>IF(E194=0,"",MAX('11_W0_含水率'!B51,'11_W0_含水率'!D51,'11_W0_含水率'!F51,'11_W0_含水率'!H51))</x:f>
        <x:v>42.6</x:v>
      </x:c>
      <x:c r="J194" s="32" t="str">
        <x:v>%</x:v>
      </x:c>
    </x:row>
    <x:row r="195">
      <x:c r="A195" s="72" t="n">
        <x:v>46240.96241898148</x:v>
      </x:c>
      <x:c r="B195" s="32" t="str">
        <x:v>土壤含水率</x:v>
      </x:c>
      <x:c r="C195" s="32" t="str">
        <x:v>W0</x:v>
      </x:c>
      <x:c r="D195" s="32" t="str">
        <x:v>V2</x:v>
      </x:c>
      <x:c r="E195" s="86" t="n">
        <x:f>COUNT('11_W0_含水率'!C51,'11_W0_含水率'!E51,'11_W0_含水率'!G51,'11_W0_含水率'!I51)</x:f>
        <x:v>4</x:v>
      </x:c>
      <x:c r="F195" s="90" t="n">
        <x:f>IF(E195=0,"",AVERAGE('11_W0_含水率'!C51,'11_W0_含水率'!E51,'11_W0_含水率'!G51,'11_W0_含水率'!I51))</x:f>
        <x:v>37</x:v>
      </x:c>
      <x:c r="G195" s="90" t="n">
        <x:f>IF(E195&lt;2,"",STDEV.S('11_W0_含水率'!C51,'11_W0_含水率'!E51,'11_W0_含水率'!G51,'11_W0_含水率'!I51))</x:f>
        <x:v>1.430617582258328</x:v>
      </x:c>
      <x:c r="H195" s="90" t="n">
        <x:f>IF(E195=0,"",MIN('11_W0_含水率'!C51,'11_W0_含水率'!E51,'11_W0_含水率'!G51,'11_W0_含水率'!I51))</x:f>
        <x:v>35.2</x:v>
      </x:c>
      <x:c r="I195" s="90" t="n">
        <x:f>IF(E195=0,"",MAX('11_W0_含水率'!C51,'11_W0_含水率'!E51,'11_W0_含水率'!G51,'11_W0_含水率'!I51))</x:f>
        <x:v>38.5</x:v>
      </x:c>
      <x:c r="J195" s="32" t="str">
        <x:v>%</x:v>
      </x:c>
    </x:row>
    <x:row r="196">
      <x:c r="A196" s="72" t="n">
        <x:v>46240.965891203705</x:v>
      </x:c>
      <x:c r="B196" s="32" t="str">
        <x:v>土壤含水率</x:v>
      </x:c>
      <x:c r="C196" s="32" t="str">
        <x:v>W0</x:v>
      </x:c>
      <x:c r="D196" s="32" t="str">
        <x:v>V1</x:v>
      </x:c>
      <x:c r="E196" s="86" t="n">
        <x:f>COUNT('11_W0_含水率'!B52,'11_W0_含水率'!D52,'11_W0_含水率'!F52,'11_W0_含水率'!H52)</x:f>
        <x:v>4</x:v>
      </x:c>
      <x:c r="F196" s="90" t="n">
        <x:f>IF(E196=0,"",AVERAGE('11_W0_含水率'!B52,'11_W0_含水率'!D52,'11_W0_含水率'!F52,'11_W0_含水率'!H52))</x:f>
        <x:v>38.05</x:v>
      </x:c>
      <x:c r="G196" s="90" t="n">
        <x:f>IF(E196&lt;2,"",STDEV.S('11_W0_含水率'!B52,'11_W0_含水率'!D52,'11_W0_含水率'!F52,'11_W0_含水率'!H52))</x:f>
        <x:v>3.441414437892263</x:v>
      </x:c>
      <x:c r="H196" s="90" t="n">
        <x:f>IF(E196=0,"",MIN('11_W0_含水率'!B52,'11_W0_含水率'!D52,'11_W0_含水率'!F52,'11_W0_含水率'!H52))</x:f>
        <x:v>35.1</x:v>
      </x:c>
      <x:c r="I196" s="90" t="n">
        <x:f>IF(E196=0,"",MAX('11_W0_含水率'!B52,'11_W0_含水率'!D52,'11_W0_含水率'!F52,'11_W0_含水率'!H52))</x:f>
        <x:v>42.8</x:v>
      </x:c>
      <x:c r="J196" s="32" t="str">
        <x:v>%</x:v>
      </x:c>
    </x:row>
    <x:row r="197">
      <x:c r="A197" s="72" t="n">
        <x:v>46240.965891203705</x:v>
      </x:c>
      <x:c r="B197" s="32" t="str">
        <x:v>土壤含水率</x:v>
      </x:c>
      <x:c r="C197" s="32" t="str">
        <x:v>W0</x:v>
      </x:c>
      <x:c r="D197" s="32" t="str">
        <x:v>V2</x:v>
      </x:c>
      <x:c r="E197" s="86" t="n">
        <x:f>COUNT('11_W0_含水率'!C52,'11_W0_含水率'!E52,'11_W0_含水率'!G52,'11_W0_含水率'!I52)</x:f>
        <x:v>4</x:v>
      </x:c>
      <x:c r="F197" s="90" t="n">
        <x:f>IF(E197=0,"",AVERAGE('11_W0_含水率'!C52,'11_W0_含水率'!E52,'11_W0_含水率'!G52,'11_W0_含水率'!I52))</x:f>
        <x:v>37.05</x:v>
      </x:c>
      <x:c r="G197" s="90" t="n">
        <x:f>IF(E197&lt;2,"",STDEV.S('11_W0_含水率'!C52,'11_W0_含水率'!E52,'11_W0_含水率'!G52,'11_W0_含水率'!I52))</x:f>
        <x:v>1.4387494569938153</x:v>
      </x:c>
      <x:c r="H197" s="90" t="n">
        <x:f>IF(E197=0,"",MIN('11_W0_含水率'!C52,'11_W0_含水率'!E52,'11_W0_含水率'!G52,'11_W0_含水率'!I52))</x:f>
        <x:v>35.6</x:v>
      </x:c>
      <x:c r="I197" s="90" t="n">
        <x:f>IF(E197=0,"",MAX('11_W0_含水率'!C52,'11_W0_含水率'!E52,'11_W0_含水率'!G52,'11_W0_含水率'!I52))</x:f>
        <x:v>38.9</x:v>
      </x:c>
      <x:c r="J197" s="32" t="str">
        <x:v>%</x:v>
      </x:c>
    </x:row>
    <x:row r="198">
      <x:c r="A198" s="72" t="n">
        <x:v>46240.969363425924</x:v>
      </x:c>
      <x:c r="B198" s="32" t="str">
        <x:v>土壤含水率</x:v>
      </x:c>
      <x:c r="C198" s="32" t="str">
        <x:v>W0</x:v>
      </x:c>
      <x:c r="D198" s="32" t="str">
        <x:v>V1</x:v>
      </x:c>
      <x:c r="E198" s="86" t="n">
        <x:f>COUNT('11_W0_含水率'!B53,'11_W0_含水率'!D53,'11_W0_含水率'!F53,'11_W0_含水率'!H53)</x:f>
        <x:v>4</x:v>
      </x:c>
      <x:c r="F198" s="90" t="n">
        <x:f>IF(E198=0,"",AVERAGE('11_W0_含水率'!B53,'11_W0_含水率'!D53,'11_W0_含水率'!F53,'11_W0_含水率'!H53))</x:f>
        <x:v>38.075</x:v>
      </x:c>
      <x:c r="G198" s="90" t="n">
        <x:f>IF(E198&lt;2,"",STDEV.S('11_W0_含水率'!B53,'11_W0_含水率'!D53,'11_W0_含水率'!F53,'11_W0_含水率'!H53))</x:f>
        <x:v>3.6908671067921155</x:v>
      </x:c>
      <x:c r="H198" s="90" t="n">
        <x:f>IF(E198=0,"",MIN('11_W0_含水率'!B53,'11_W0_含水率'!D53,'11_W0_含水率'!F53,'11_W0_含水率'!H53))</x:f>
        <x:v>35</x:v>
      </x:c>
      <x:c r="I198" s="90" t="n">
        <x:f>IF(E198=0,"",MAX('11_W0_含水率'!B53,'11_W0_含水率'!D53,'11_W0_含水率'!F53,'11_W0_含水率'!H53))</x:f>
        <x:v>43</x:v>
      </x:c>
      <x:c r="J198" s="32" t="str">
        <x:v>%</x:v>
      </x:c>
    </x:row>
    <x:row r="199">
      <x:c r="A199" s="72" t="n">
        <x:v>46240.969363425924</x:v>
      </x:c>
      <x:c r="B199" s="32" t="str">
        <x:v>土壤含水率</x:v>
      </x:c>
      <x:c r="C199" s="32" t="str">
        <x:v>W0</x:v>
      </x:c>
      <x:c r="D199" s="32" t="str">
        <x:v>V2</x:v>
      </x:c>
      <x:c r="E199" s="86" t="n">
        <x:f>COUNT('11_W0_含水率'!C53,'11_W0_含水率'!E53,'11_W0_含水率'!G53,'11_W0_含水率'!I53)</x:f>
        <x:v>4</x:v>
      </x:c>
      <x:c r="F199" s="90" t="n">
        <x:f>IF(E199=0,"",AVERAGE('11_W0_含水率'!C53,'11_W0_含水率'!E53,'11_W0_含水率'!G53,'11_W0_含水率'!I53))</x:f>
        <x:v>37.05</x:v>
      </x:c>
      <x:c r="G199" s="90" t="n">
        <x:f>IF(E199&lt;2,"",STDEV.S('11_W0_含水率'!C53,'11_W0_含水率'!E53,'11_W0_含水率'!G53,'11_W0_含水率'!I53))</x:f>
        <x:v>1.584297951775485</x:v>
      </x:c>
      <x:c r="H199" s="90" t="n">
        <x:f>IF(E199=0,"",MIN('11_W0_含水率'!C53,'11_W0_含水率'!E53,'11_W0_含水率'!G53,'11_W0_含水率'!I53))</x:f>
        <x:v>35.8</x:v>
      </x:c>
      <x:c r="I199" s="90" t="n">
        <x:f>IF(E199=0,"",MAX('11_W0_含水率'!C53,'11_W0_含水率'!E53,'11_W0_含水率'!G53,'11_W0_含水率'!I53))</x:f>
        <x:v>39.3</x:v>
      </x:c>
      <x:c r="J199" s="32" t="str">
        <x:v>%</x:v>
      </x:c>
    </x:row>
    <x:row r="200">
      <x:c r="A200" s="72" t="n">
        <x:v>46240.80269675926</x:v>
      </x:c>
      <x:c r="B200" s="32" t="str">
        <x:v>土壤温度</x:v>
      </x:c>
      <x:c r="C200" s="32" t="str">
        <x:v>W0</x:v>
      </x:c>
      <x:c r="D200" s="32" t="str">
        <x:v>V1</x:v>
      </x:c>
      <x:c r="E200" s="86" t="n">
        <x:f>COUNT('12_W0_温度'!B5,'12_W0_温度'!D5,'12_W0_温度'!F5,'12_W0_温度'!H5)</x:f>
        <x:v>4</x:v>
      </x:c>
      <x:c r="F200" s="90" t="n">
        <x:f>IF(E200=0,"",AVERAGE('12_W0_温度'!B5,'12_W0_温度'!D5,'12_W0_温度'!F5,'12_W0_温度'!H5))</x:f>
        <x:v>25.125</x:v>
      </x:c>
      <x:c r="G200" s="90" t="n">
        <x:f>IF(E200&lt;2,"",STDEV.S('12_W0_温度'!B5,'12_W0_温度'!D5,'12_W0_温度'!F5,'12_W0_温度'!H5))</x:f>
        <x:v>0.4031128874149287</x:v>
      </x:c>
      <x:c r="H200" s="90" t="n">
        <x:f>IF(E200=0,"",MIN('12_W0_温度'!B5,'12_W0_温度'!D5,'12_W0_温度'!F5,'12_W0_温度'!H5))</x:f>
        <x:v>24.7</x:v>
      </x:c>
      <x:c r="I200" s="90" t="n">
        <x:f>IF(E200=0,"",MAX('12_W0_温度'!B5,'12_W0_温度'!D5,'12_W0_温度'!F5,'12_W0_温度'!H5))</x:f>
        <x:v>25.6</x:v>
      </x:c>
      <x:c r="J200" s="32" t="str">
        <x:v>℃</x:v>
      </x:c>
    </x:row>
    <x:row r="201">
      <x:c r="A201" s="72" t="n">
        <x:v>46240.80269675926</x:v>
      </x:c>
      <x:c r="B201" s="32" t="str">
        <x:v>土壤温度</x:v>
      </x:c>
      <x:c r="C201" s="32" t="str">
        <x:v>W0</x:v>
      </x:c>
      <x:c r="D201" s="32" t="str">
        <x:v>V2</x:v>
      </x:c>
      <x:c r="E201" s="86" t="n">
        <x:f>COUNT('12_W0_温度'!C5,'12_W0_温度'!E5,'12_W0_温度'!G5,'12_W0_温度'!I5)</x:f>
        <x:v>4</x:v>
      </x:c>
      <x:c r="F201" s="90" t="n">
        <x:f>IF(E201=0,"",AVERAGE('12_W0_温度'!C5,'12_W0_温度'!E5,'12_W0_温度'!G5,'12_W0_温度'!I5))</x:f>
        <x:v>25.125</x:v>
      </x:c>
      <x:c r="G201" s="90" t="n">
        <x:f>IF(E201&lt;2,"",STDEV.S('12_W0_温度'!C5,'12_W0_温度'!E5,'12_W0_温度'!G5,'12_W0_温度'!I5))</x:f>
        <x:v>0.41129875597510207</x:v>
      </x:c>
      <x:c r="H201" s="90" t="n">
        <x:f>IF(E201=0,"",MIN('12_W0_温度'!C5,'12_W0_温度'!E5,'12_W0_温度'!G5,'12_W0_温度'!I5))</x:f>
        <x:v>24.6</x:v>
      </x:c>
      <x:c r="I201" s="90" t="n">
        <x:f>IF(E201=0,"",MAX('12_W0_温度'!C5,'12_W0_温度'!E5,'12_W0_温度'!G5,'12_W0_温度'!I5))</x:f>
        <x:v>25.6</x:v>
      </x:c>
      <x:c r="J201" s="32" t="str">
        <x:v>℃</x:v>
      </x:c>
    </x:row>
    <x:row r="202">
      <x:c r="A202" s="72" t="n">
        <x:v>46240.80616898148</x:v>
      </x:c>
      <x:c r="B202" s="32" t="str">
        <x:v>土壤温度</x:v>
      </x:c>
      <x:c r="C202" s="32" t="str">
        <x:v>W0</x:v>
      </x:c>
      <x:c r="D202" s="32" t="str">
        <x:v>V1</x:v>
      </x:c>
      <x:c r="E202" s="86" t="n">
        <x:f>COUNT('12_W0_温度'!B6,'12_W0_温度'!D6,'12_W0_温度'!F6,'12_W0_温度'!H6)</x:f>
        <x:v>4</x:v>
      </x:c>
      <x:c r="F202" s="90" t="n">
        <x:f>IF(E202=0,"",AVERAGE('12_W0_温度'!B6,'12_W0_温度'!D6,'12_W0_温度'!F6,'12_W0_温度'!H6))</x:f>
        <x:v>25.099999999999998</x:v>
      </x:c>
      <x:c r="G202" s="90" t="n">
        <x:f>IF(E202&lt;2,"",STDEV.S('12_W0_温度'!B6,'12_W0_温度'!D6,'12_W0_温度'!F6,'12_W0_温度'!H6))</x:f>
        <x:v>0.40824829046386274</x:v>
      </x:c>
      <x:c r="H202" s="90" t="n">
        <x:f>IF(E202=0,"",MIN('12_W0_温度'!B6,'12_W0_温度'!D6,'12_W0_温度'!F6,'12_W0_温度'!H6))</x:f>
        <x:v>24.7</x:v>
      </x:c>
      <x:c r="I202" s="90" t="n">
        <x:f>IF(E202=0,"",MAX('12_W0_温度'!B6,'12_W0_温度'!D6,'12_W0_温度'!F6,'12_W0_温度'!H6))</x:f>
        <x:v>25.5</x:v>
      </x:c>
      <x:c r="J202" s="32" t="str">
        <x:v>℃</x:v>
      </x:c>
    </x:row>
    <x:row r="203">
      <x:c r="A203" s="72" t="n">
        <x:v>46240.80616898148</x:v>
      </x:c>
      <x:c r="B203" s="32" t="str">
        <x:v>土壤温度</x:v>
      </x:c>
      <x:c r="C203" s="32" t="str">
        <x:v>W0</x:v>
      </x:c>
      <x:c r="D203" s="32" t="str">
        <x:v>V2</x:v>
      </x:c>
      <x:c r="E203" s="86" t="n">
        <x:f>COUNT('12_W0_温度'!C6,'12_W0_温度'!E6,'12_W0_温度'!G6,'12_W0_温度'!I6)</x:f>
        <x:v>4</x:v>
      </x:c>
      <x:c r="F203" s="90" t="n">
        <x:f>IF(E203=0,"",AVERAGE('12_W0_温度'!C6,'12_W0_温度'!E6,'12_W0_温度'!G6,'12_W0_温度'!I6))</x:f>
        <x:v>25.125</x:v>
      </x:c>
      <x:c r="G203" s="90" t="n">
        <x:f>IF(E203&lt;2,"",STDEV.S('12_W0_温度'!C6,'12_W0_温度'!E6,'12_W0_温度'!G6,'12_W0_温度'!I6))</x:f>
        <x:v>0.4031128874149287</x:v>
      </x:c>
      <x:c r="H203" s="90" t="n">
        <x:f>IF(E203=0,"",MIN('12_W0_温度'!C6,'12_W0_温度'!E6,'12_W0_温度'!G6,'12_W0_温度'!I6))</x:f>
        <x:v>24.7</x:v>
      </x:c>
      <x:c r="I203" s="90" t="n">
        <x:f>IF(E203=0,"",MAX('12_W0_温度'!C6,'12_W0_温度'!E6,'12_W0_温度'!G6,'12_W0_温度'!I6))</x:f>
        <x:v>25.6</x:v>
      </x:c>
      <x:c r="J203" s="32" t="str">
        <x:v>℃</x:v>
      </x:c>
    </x:row>
    <x:row r="204">
      <x:c r="A204" s="72" t="n">
        <x:v>46240.809641203705</x:v>
      </x:c>
      <x:c r="B204" s="32" t="str">
        <x:v>土壤温度</x:v>
      </x:c>
      <x:c r="C204" s="32" t="str">
        <x:v>W0</x:v>
      </x:c>
      <x:c r="D204" s="32" t="str">
        <x:v>V1</x:v>
      </x:c>
      <x:c r="E204" s="86" t="n">
        <x:f>COUNT('12_W0_温度'!B7,'12_W0_温度'!D7,'12_W0_温度'!F7,'12_W0_温度'!H7)</x:f>
        <x:v>4</x:v>
      </x:c>
      <x:c r="F204" s="90" t="n">
        <x:f>IF(E204=0,"",AVERAGE('12_W0_温度'!B7,'12_W0_温度'!D7,'12_W0_温度'!F7,'12_W0_温度'!H7))</x:f>
        <x:v>25.099999999999998</x:v>
      </x:c>
      <x:c r="G204" s="90" t="n">
        <x:f>IF(E204&lt;2,"",STDEV.S('12_W0_温度'!B7,'12_W0_温度'!D7,'12_W0_温度'!F7,'12_W0_温度'!H7))</x:f>
        <x:v>0.40824829046386274</x:v>
      </x:c>
      <x:c r="H204" s="90" t="n">
        <x:f>IF(E204=0,"",MIN('12_W0_温度'!B7,'12_W0_温度'!D7,'12_W0_温度'!F7,'12_W0_温度'!H7))</x:f>
        <x:v>24.7</x:v>
      </x:c>
      <x:c r="I204" s="90" t="n">
        <x:f>IF(E204=0,"",MAX('12_W0_温度'!B7,'12_W0_温度'!D7,'12_W0_温度'!F7,'12_W0_温度'!H7))</x:f>
        <x:v>25.5</x:v>
      </x:c>
      <x:c r="J204" s="32" t="str">
        <x:v>℃</x:v>
      </x:c>
    </x:row>
    <x:row r="205">
      <x:c r="A205" s="72" t="n">
        <x:v>46240.809641203705</x:v>
      </x:c>
      <x:c r="B205" s="32" t="str">
        <x:v>土壤温度</x:v>
      </x:c>
      <x:c r="C205" s="32" t="str">
        <x:v>W0</x:v>
      </x:c>
      <x:c r="D205" s="32" t="str">
        <x:v>V2</x:v>
      </x:c>
      <x:c r="E205" s="86" t="n">
        <x:f>COUNT('12_W0_温度'!C7,'12_W0_温度'!E7,'12_W0_温度'!G7,'12_W0_温度'!I7)</x:f>
        <x:v>4</x:v>
      </x:c>
      <x:c r="F205" s="90" t="n">
        <x:f>IF(E205=0,"",AVERAGE('12_W0_温度'!C7,'12_W0_温度'!E7,'12_W0_温度'!G7,'12_W0_温度'!I7))</x:f>
        <x:v>25.099999999999998</x:v>
      </x:c>
      <x:c r="G205" s="90" t="n">
        <x:f>IF(E205&lt;2,"",STDEV.S('12_W0_温度'!C7,'12_W0_温度'!E7,'12_W0_温度'!G7,'12_W0_温度'!I7))</x:f>
        <x:v>0.40824829046386274</x:v>
      </x:c>
      <x:c r="H205" s="90" t="n">
        <x:f>IF(E205=0,"",MIN('12_W0_温度'!C7,'12_W0_温度'!E7,'12_W0_温度'!G7,'12_W0_温度'!I7))</x:f>
        <x:v>24.7</x:v>
      </x:c>
      <x:c r="I205" s="90" t="n">
        <x:f>IF(E205=0,"",MAX('12_W0_温度'!C7,'12_W0_温度'!E7,'12_W0_温度'!G7,'12_W0_温度'!I7))</x:f>
        <x:v>25.5</x:v>
      </x:c>
      <x:c r="J205" s="32" t="str">
        <x:v>℃</x:v>
      </x:c>
    </x:row>
    <x:row r="206">
      <x:c r="A206" s="72" t="n">
        <x:v>46240.813113425924</x:v>
      </x:c>
      <x:c r="B206" s="32" t="str">
        <x:v>土壤温度</x:v>
      </x:c>
      <x:c r="C206" s="32" t="str">
        <x:v>W0</x:v>
      </x:c>
      <x:c r="D206" s="32" t="str">
        <x:v>V1</x:v>
      </x:c>
      <x:c r="E206" s="86" t="n">
        <x:f>COUNT('12_W0_温度'!B8,'12_W0_温度'!D8,'12_W0_温度'!F8,'12_W0_温度'!H8)</x:f>
        <x:v>4</x:v>
      </x:c>
      <x:c r="F206" s="90" t="n">
        <x:f>IF(E206=0,"",AVERAGE('12_W0_温度'!B8,'12_W0_温度'!D8,'12_W0_温度'!F8,'12_W0_温度'!H8))</x:f>
        <x:v>25.15</x:v>
      </x:c>
      <x:c r="G206" s="90" t="n">
        <x:f>IF(E206&lt;2,"",STDEV.S('12_W0_温度'!B8,'12_W0_温度'!D8,'12_W0_温度'!F8,'12_W0_温度'!H8))</x:f>
        <x:v>0.3872983346207426</x:v>
      </x:c>
      <x:c r="H206" s="90" t="n">
        <x:f>IF(E206=0,"",MIN('12_W0_温度'!B8,'12_W0_温度'!D8,'12_W0_温度'!F8,'12_W0_温度'!H8))</x:f>
        <x:v>24.7</x:v>
      </x:c>
      <x:c r="I206" s="90" t="n">
        <x:f>IF(E206=0,"",MAX('12_W0_温度'!B8,'12_W0_温度'!D8,'12_W0_温度'!F8,'12_W0_温度'!H8))</x:f>
        <x:v>25.6</x:v>
      </x:c>
      <x:c r="J206" s="32" t="str">
        <x:v>℃</x:v>
      </x:c>
    </x:row>
    <x:row r="207">
      <x:c r="A207" s="72" t="n">
        <x:v>46240.813113425924</x:v>
      </x:c>
      <x:c r="B207" s="32" t="str">
        <x:v>土壤温度</x:v>
      </x:c>
      <x:c r="C207" s="32" t="str">
        <x:v>W0</x:v>
      </x:c>
      <x:c r="D207" s="32" t="str">
        <x:v>V2</x:v>
      </x:c>
      <x:c r="E207" s="86" t="n">
        <x:f>COUNT('12_W0_温度'!C8,'12_W0_温度'!E8,'12_W0_温度'!G8,'12_W0_温度'!I8)</x:f>
        <x:v>4</x:v>
      </x:c>
      <x:c r="F207" s="90" t="n">
        <x:f>IF(E207=0,"",AVERAGE('12_W0_温度'!C8,'12_W0_温度'!E8,'12_W0_温度'!G8,'12_W0_温度'!I8))</x:f>
        <x:v>25.099999999999998</x:v>
      </x:c>
      <x:c r="G207" s="90" t="n">
        <x:f>IF(E207&lt;2,"",STDEV.S('12_W0_温度'!C8,'12_W0_温度'!E8,'12_W0_温度'!G8,'12_W0_温度'!I8))</x:f>
        <x:v>0.40824829046386274</x:v>
      </x:c>
      <x:c r="H207" s="90" t="n">
        <x:f>IF(E207=0,"",MIN('12_W0_温度'!C8,'12_W0_温度'!E8,'12_W0_温度'!G8,'12_W0_温度'!I8))</x:f>
        <x:v>24.7</x:v>
      </x:c>
      <x:c r="I207" s="90" t="n">
        <x:f>IF(E207=0,"",MAX('12_W0_温度'!C8,'12_W0_温度'!E8,'12_W0_温度'!G8,'12_W0_温度'!I8))</x:f>
        <x:v>25.5</x:v>
      </x:c>
      <x:c r="J207" s="32" t="str">
        <x:v>℃</x:v>
      </x:c>
    </x:row>
    <x:row r="208">
      <x:c r="A208" s="72" t="n">
        <x:v>46240.81658564815</x:v>
      </x:c>
      <x:c r="B208" s="32" t="str">
        <x:v>土壤温度</x:v>
      </x:c>
      <x:c r="C208" s="32" t="str">
        <x:v>W0</x:v>
      </x:c>
      <x:c r="D208" s="32" t="str">
        <x:v>V1</x:v>
      </x:c>
      <x:c r="E208" s="86" t="n">
        <x:f>COUNT('12_W0_温度'!B9,'12_W0_温度'!D9,'12_W0_温度'!F9,'12_W0_温度'!H9)</x:f>
        <x:v>4</x:v>
      </x:c>
      <x:c r="F208" s="90" t="n">
        <x:f>IF(E208=0,"",AVERAGE('12_W0_温度'!B9,'12_W0_温度'!D9,'12_W0_温度'!F9,'12_W0_温度'!H9))</x:f>
        <x:v>25.125</x:v>
      </x:c>
      <x:c r="G208" s="90" t="n">
        <x:f>IF(E208&lt;2,"",STDEV.S('12_W0_温度'!B9,'12_W0_温度'!D9,'12_W0_温度'!F9,'12_W0_温度'!H9))</x:f>
        <x:v>0.41129875597510207</x:v>
      </x:c>
      <x:c r="H208" s="90" t="n">
        <x:f>IF(E208=0,"",MIN('12_W0_温度'!B9,'12_W0_温度'!D9,'12_W0_温度'!F9,'12_W0_温度'!H9))</x:f>
        <x:v>24.6</x:v>
      </x:c>
      <x:c r="I208" s="90" t="n">
        <x:f>IF(E208=0,"",MAX('12_W0_温度'!B9,'12_W0_温度'!D9,'12_W0_温度'!F9,'12_W0_温度'!H9))</x:f>
        <x:v>25.6</x:v>
      </x:c>
      <x:c r="J208" s="32" t="str">
        <x:v>℃</x:v>
      </x:c>
    </x:row>
    <x:row r="209">
      <x:c r="A209" s="72" t="n">
        <x:v>46240.81658564815</x:v>
      </x:c>
      <x:c r="B209" s="32" t="str">
        <x:v>土壤温度</x:v>
      </x:c>
      <x:c r="C209" s="32" t="str">
        <x:v>W0</x:v>
      </x:c>
      <x:c r="D209" s="32" t="str">
        <x:v>V2</x:v>
      </x:c>
      <x:c r="E209" s="86" t="n">
        <x:f>COUNT('12_W0_温度'!C9,'12_W0_温度'!E9,'12_W0_温度'!G9,'12_W0_温度'!I9)</x:f>
        <x:v>4</x:v>
      </x:c>
      <x:c r="F209" s="90" t="n">
        <x:f>IF(E209=0,"",AVERAGE('12_W0_温度'!C9,'12_W0_温度'!E9,'12_W0_温度'!G9,'12_W0_温度'!I9))</x:f>
        <x:v>25.15</x:v>
      </x:c>
      <x:c r="G209" s="90" t="n">
        <x:f>IF(E209&lt;2,"",STDEV.S('12_W0_温度'!C9,'12_W0_温度'!E9,'12_W0_温度'!G9,'12_W0_温度'!I9))</x:f>
        <x:v>0.3872983346207426</x:v>
      </x:c>
      <x:c r="H209" s="90" t="n">
        <x:f>IF(E209=0,"",MIN('12_W0_温度'!C9,'12_W0_温度'!E9,'12_W0_温度'!G9,'12_W0_温度'!I9))</x:f>
        <x:v>24.7</x:v>
      </x:c>
      <x:c r="I209" s="90" t="n">
        <x:f>IF(E209=0,"",MAX('12_W0_温度'!C9,'12_W0_温度'!E9,'12_W0_温度'!G9,'12_W0_温度'!I9))</x:f>
        <x:v>25.6</x:v>
      </x:c>
      <x:c r="J209" s="32" t="str">
        <x:v>℃</x:v>
      </x:c>
    </x:row>
    <x:row r="210">
      <x:c r="A210" s="72" t="n">
        <x:v>46240.82005787037</x:v>
      </x:c>
      <x:c r="B210" s="32" t="str">
        <x:v>土壤温度</x:v>
      </x:c>
      <x:c r="C210" s="32" t="str">
        <x:v>W0</x:v>
      </x:c>
      <x:c r="D210" s="32" t="str">
        <x:v>V1</x:v>
      </x:c>
      <x:c r="E210" s="86" t="n">
        <x:f>COUNT('12_W0_温度'!B10,'12_W0_温度'!D10,'12_W0_温度'!F10,'12_W0_温度'!H10)</x:f>
        <x:v>4</x:v>
      </x:c>
      <x:c r="F210" s="90" t="n">
        <x:f>IF(E210=0,"",AVERAGE('12_W0_温度'!B10,'12_W0_温度'!D10,'12_W0_温度'!F10,'12_W0_温度'!H10))</x:f>
        <x:v>25.125000000000004</x:v>
      </x:c>
      <x:c r="G210" s="90" t="n">
        <x:f>IF(E210&lt;2,"",STDEV.S('12_W0_温度'!B10,'12_W0_温度'!D10,'12_W0_温度'!F10,'12_W0_温度'!H10))</x:f>
        <x:v>0.41129875597510207</x:v>
      </x:c>
      <x:c r="H210" s="90" t="n">
        <x:f>IF(E210=0,"",MIN('12_W0_温度'!B10,'12_W0_温度'!D10,'12_W0_温度'!F10,'12_W0_温度'!H10))</x:f>
        <x:v>24.6</x:v>
      </x:c>
      <x:c r="I210" s="90" t="n">
        <x:f>IF(E210=0,"",MAX('12_W0_温度'!B10,'12_W0_温度'!D10,'12_W0_温度'!F10,'12_W0_温度'!H10))</x:f>
        <x:v>25.6</x:v>
      </x:c>
      <x:c r="J210" s="32" t="str">
        <x:v>℃</x:v>
      </x:c>
    </x:row>
    <x:row r="211">
      <x:c r="A211" s="72" t="n">
        <x:v>46240.82005787037</x:v>
      </x:c>
      <x:c r="B211" s="32" t="str">
        <x:v>土壤温度</x:v>
      </x:c>
      <x:c r="C211" s="32" t="str">
        <x:v>W0</x:v>
      </x:c>
      <x:c r="D211" s="32" t="str">
        <x:v>V2</x:v>
      </x:c>
      <x:c r="E211" s="86" t="n">
        <x:f>COUNT('12_W0_温度'!C10,'12_W0_温度'!E10,'12_W0_温度'!G10,'12_W0_温度'!I10)</x:f>
        <x:v>4</x:v>
      </x:c>
      <x:c r="F211" s="90" t="n">
        <x:f>IF(E211=0,"",AVERAGE('12_W0_温度'!C10,'12_W0_温度'!E10,'12_W0_温度'!G10,'12_W0_温度'!I10))</x:f>
        <x:v>25.125</x:v>
      </x:c>
      <x:c r="G211" s="90" t="n">
        <x:f>IF(E211&lt;2,"",STDEV.S('12_W0_温度'!C10,'12_W0_温度'!E10,'12_W0_温度'!G10,'12_W0_温度'!I10))</x:f>
        <x:v>0.41129875597510207</x:v>
      </x:c>
      <x:c r="H211" s="90" t="n">
        <x:f>IF(E211=0,"",MIN('12_W0_温度'!C10,'12_W0_温度'!E10,'12_W0_温度'!G10,'12_W0_温度'!I10))</x:f>
        <x:v>24.6</x:v>
      </x:c>
      <x:c r="I211" s="90" t="n">
        <x:f>IF(E211=0,"",MAX('12_W0_温度'!C10,'12_W0_温度'!E10,'12_W0_温度'!G10,'12_W0_温度'!I10))</x:f>
        <x:v>25.6</x:v>
      </x:c>
      <x:c r="J211" s="32" t="str">
        <x:v>℃</x:v>
      </x:c>
    </x:row>
    <x:row r="212">
      <x:c r="A212" s="72" t="n">
        <x:v>46240.823530092595</x:v>
      </x:c>
      <x:c r="B212" s="32" t="str">
        <x:v>土壤温度</x:v>
      </x:c>
      <x:c r="C212" s="32" t="str">
        <x:v>W0</x:v>
      </x:c>
      <x:c r="D212" s="32" t="str">
        <x:v>V1</x:v>
      </x:c>
      <x:c r="E212" s="86" t="n">
        <x:f>COUNT('12_W0_温度'!B11,'12_W0_温度'!D11,'12_W0_温度'!F11,'12_W0_温度'!H11)</x:f>
        <x:v>4</x:v>
      </x:c>
      <x:c r="F212" s="90" t="n">
        <x:f>IF(E212=0,"",AVERAGE('12_W0_温度'!B11,'12_W0_温度'!D11,'12_W0_温度'!F11,'12_W0_温度'!H11))</x:f>
        <x:v>25.099999999999998</x:v>
      </x:c>
      <x:c r="G212" s="90" t="n">
        <x:f>IF(E212&lt;2,"",STDEV.S('12_W0_温度'!B11,'12_W0_温度'!D11,'12_W0_温度'!F11,'12_W0_温度'!H11))</x:f>
        <x:v>0.4396968652757643</x:v>
      </x:c>
      <x:c r="H212" s="90" t="n">
        <x:f>IF(E212=0,"",MIN('12_W0_温度'!B11,'12_W0_温度'!D11,'12_W0_温度'!F11,'12_W0_温度'!H11))</x:f>
        <x:v>24.6</x:v>
      </x:c>
      <x:c r="I212" s="90" t="n">
        <x:f>IF(E212=0,"",MAX('12_W0_温度'!B11,'12_W0_温度'!D11,'12_W0_温度'!F11,'12_W0_温度'!H11))</x:f>
        <x:v>25.6</x:v>
      </x:c>
      <x:c r="J212" s="32" t="str">
        <x:v>℃</x:v>
      </x:c>
    </x:row>
    <x:row r="213">
      <x:c r="A213" s="72" t="n">
        <x:v>46240.823530092595</x:v>
      </x:c>
      <x:c r="B213" s="32" t="str">
        <x:v>土壤温度</x:v>
      </x:c>
      <x:c r="C213" s="32" t="str">
        <x:v>W0</x:v>
      </x:c>
      <x:c r="D213" s="32" t="str">
        <x:v>V2</x:v>
      </x:c>
      <x:c r="E213" s="86" t="n">
        <x:f>COUNT('12_W0_温度'!C11,'12_W0_温度'!E11,'12_W0_温度'!G11,'12_W0_温度'!I11)</x:f>
        <x:v>4</x:v>
      </x:c>
      <x:c r="F213" s="90" t="n">
        <x:f>IF(E213=0,"",AVERAGE('12_W0_温度'!C11,'12_W0_温度'!E11,'12_W0_温度'!G11,'12_W0_温度'!I11))</x:f>
        <x:v>25.125000000000004</x:v>
      </x:c>
      <x:c r="G213" s="90" t="n">
        <x:f>IF(E213&lt;2,"",STDEV.S('12_W0_温度'!C11,'12_W0_温度'!E11,'12_W0_温度'!G11,'12_W0_温度'!I11))</x:f>
        <x:v>0.41129875597510207</x:v>
      </x:c>
      <x:c r="H213" s="90" t="n">
        <x:f>IF(E213=0,"",MIN('12_W0_温度'!C11,'12_W0_温度'!E11,'12_W0_温度'!G11,'12_W0_温度'!I11))</x:f>
        <x:v>24.6</x:v>
      </x:c>
      <x:c r="I213" s="90" t="n">
        <x:f>IF(E213=0,"",MAX('12_W0_温度'!C11,'12_W0_温度'!E11,'12_W0_温度'!G11,'12_W0_温度'!I11))</x:f>
        <x:v>25.6</x:v>
      </x:c>
      <x:c r="J213" s="32" t="str">
        <x:v>℃</x:v>
      </x:c>
    </x:row>
    <x:row r="214">
      <x:c r="A214" s="72" t="n">
        <x:v>46240.827002314814</x:v>
      </x:c>
      <x:c r="B214" s="32" t="str">
        <x:v>土壤温度</x:v>
      </x:c>
      <x:c r="C214" s="32" t="str">
        <x:v>W0</x:v>
      </x:c>
      <x:c r="D214" s="32" t="str">
        <x:v>V1</x:v>
      </x:c>
      <x:c r="E214" s="86" t="n">
        <x:f>COUNT('12_W0_温度'!B12,'12_W0_温度'!D12,'12_W0_温度'!F12,'12_W0_温度'!H12)</x:f>
        <x:v>4</x:v>
      </x:c>
      <x:c r="F214" s="90" t="n">
        <x:f>IF(E214=0,"",AVERAGE('12_W0_温度'!B12,'12_W0_温度'!D12,'12_W0_温度'!F12,'12_W0_温度'!H12))</x:f>
        <x:v>25.1</x:v>
      </x:c>
      <x:c r="G214" s="90" t="n">
        <x:f>IF(E214&lt;2,"",STDEV.S('12_W0_温度'!B12,'12_W0_温度'!D12,'12_W0_温度'!F12,'12_W0_温度'!H12))</x:f>
        <x:v>0.40824829046386274</x:v>
      </x:c>
      <x:c r="H214" s="90" t="n">
        <x:f>IF(E214=0,"",MIN('12_W0_温度'!B12,'12_W0_温度'!D12,'12_W0_温度'!F12,'12_W0_温度'!H12))</x:f>
        <x:v>24.7</x:v>
      </x:c>
      <x:c r="I214" s="90" t="n">
        <x:f>IF(E214=0,"",MAX('12_W0_温度'!B12,'12_W0_温度'!D12,'12_W0_温度'!F12,'12_W0_温度'!H12))</x:f>
        <x:v>25.5</x:v>
      </x:c>
      <x:c r="J214" s="32" t="str">
        <x:v>℃</x:v>
      </x:c>
    </x:row>
    <x:row r="215">
      <x:c r="A215" s="72" t="n">
        <x:v>46240.827002314814</x:v>
      </x:c>
      <x:c r="B215" s="32" t="str">
        <x:v>土壤温度</x:v>
      </x:c>
      <x:c r="C215" s="32" t="str">
        <x:v>W0</x:v>
      </x:c>
      <x:c r="D215" s="32" t="str">
        <x:v>V2</x:v>
      </x:c>
      <x:c r="E215" s="86" t="n">
        <x:f>COUNT('12_W0_温度'!C12,'12_W0_温度'!E12,'12_W0_温度'!G12,'12_W0_温度'!I12)</x:f>
        <x:v>4</x:v>
      </x:c>
      <x:c r="F215" s="90" t="n">
        <x:f>IF(E215=0,"",AVERAGE('12_W0_温度'!C12,'12_W0_温度'!E12,'12_W0_温度'!G12,'12_W0_温度'!I12))</x:f>
        <x:v>25.099999999999998</x:v>
      </x:c>
      <x:c r="G215" s="90" t="n">
        <x:f>IF(E215&lt;2,"",STDEV.S('12_W0_温度'!C12,'12_W0_温度'!E12,'12_W0_温度'!G12,'12_W0_温度'!I12))</x:f>
        <x:v>0.4396968652757643</x:v>
      </x:c>
      <x:c r="H215" s="90" t="n">
        <x:f>IF(E215=0,"",MIN('12_W0_温度'!C12,'12_W0_温度'!E12,'12_W0_温度'!G12,'12_W0_温度'!I12))</x:f>
        <x:v>24.6</x:v>
      </x:c>
      <x:c r="I215" s="90" t="n">
        <x:f>IF(E215=0,"",MAX('12_W0_温度'!C12,'12_W0_温度'!E12,'12_W0_温度'!G12,'12_W0_温度'!I12))</x:f>
        <x:v>25.6</x:v>
      </x:c>
      <x:c r="J215" s="32" t="str">
        <x:v>℃</x:v>
      </x:c>
    </x:row>
    <x:row r="216">
      <x:c r="A216" s="72" t="n">
        <x:v>46240.83047453704</x:v>
      </x:c>
      <x:c r="B216" s="32" t="str">
        <x:v>土壤温度</x:v>
      </x:c>
      <x:c r="C216" s="32" t="str">
        <x:v>W0</x:v>
      </x:c>
      <x:c r="D216" s="32" t="str">
        <x:v>V1</x:v>
      </x:c>
      <x:c r="E216" s="86" t="n">
        <x:f>COUNT('12_W0_温度'!B13,'12_W0_温度'!D13,'12_W0_温度'!F13,'12_W0_温度'!H13)</x:f>
        <x:v>4</x:v>
      </x:c>
      <x:c r="F216" s="90" t="n">
        <x:f>IF(E216=0,"",AVERAGE('12_W0_温度'!B13,'12_W0_温度'!D13,'12_W0_温度'!F13,'12_W0_温度'!H13))</x:f>
        <x:v>25.075</x:v>
      </x:c>
      <x:c r="G216" s="90" t="n">
        <x:f>IF(E216&lt;2,"",STDEV.S('12_W0_温度'!B13,'12_W0_温度'!D13,'12_W0_温度'!F13,'12_W0_温度'!H13))</x:f>
        <x:v>0.4349329450233297</x:v>
      </x:c>
      <x:c r="H216" s="90" t="n">
        <x:f>IF(E216=0,"",MIN('12_W0_温度'!B13,'12_W0_温度'!D13,'12_W0_温度'!F13,'12_W0_温度'!H13))</x:f>
        <x:v>24.7</x:v>
      </x:c>
      <x:c r="I216" s="90" t="n">
        <x:f>IF(E216=0,"",MAX('12_W0_温度'!B13,'12_W0_温度'!D13,'12_W0_温度'!F13,'12_W0_温度'!H13))</x:f>
        <x:v>25.5</x:v>
      </x:c>
      <x:c r="J216" s="32" t="str">
        <x:v>℃</x:v>
      </x:c>
    </x:row>
    <x:row r="217">
      <x:c r="A217" s="72" t="n">
        <x:v>46240.83047453704</x:v>
      </x:c>
      <x:c r="B217" s="32" t="str">
        <x:v>土壤温度</x:v>
      </x:c>
      <x:c r="C217" s="32" t="str">
        <x:v>W0</x:v>
      </x:c>
      <x:c r="D217" s="32" t="str">
        <x:v>V2</x:v>
      </x:c>
      <x:c r="E217" s="86" t="n">
        <x:f>COUNT('12_W0_温度'!C13,'12_W0_温度'!E13,'12_W0_温度'!G13,'12_W0_温度'!I13)</x:f>
        <x:v>4</x:v>
      </x:c>
      <x:c r="F217" s="90" t="n">
        <x:f>IF(E217=0,"",AVERAGE('12_W0_温度'!C13,'12_W0_温度'!E13,'12_W0_温度'!G13,'12_W0_温度'!I13))</x:f>
        <x:v>25.1</x:v>
      </x:c>
      <x:c r="G217" s="90" t="n">
        <x:f>IF(E217&lt;2,"",STDEV.S('12_W0_温度'!C13,'12_W0_温度'!E13,'12_W0_温度'!G13,'12_W0_温度'!I13))</x:f>
        <x:v>0.40824829046386274</x:v>
      </x:c>
      <x:c r="H217" s="90" t="n">
        <x:f>IF(E217=0,"",MIN('12_W0_温度'!C13,'12_W0_温度'!E13,'12_W0_温度'!G13,'12_W0_温度'!I13))</x:f>
        <x:v>24.7</x:v>
      </x:c>
      <x:c r="I217" s="90" t="n">
        <x:f>IF(E217=0,"",MAX('12_W0_温度'!C13,'12_W0_温度'!E13,'12_W0_温度'!G13,'12_W0_温度'!I13))</x:f>
        <x:v>25.5</x:v>
      </x:c>
      <x:c r="J217" s="32" t="str">
        <x:v>℃</x:v>
      </x:c>
    </x:row>
    <x:row r="218">
      <x:c r="A218" s="72" t="n">
        <x:v>46240.83394675926</x:v>
      </x:c>
      <x:c r="B218" s="32" t="str">
        <x:v>土壤温度</x:v>
      </x:c>
      <x:c r="C218" s="32" t="str">
        <x:v>W0</x:v>
      </x:c>
      <x:c r="D218" s="32" t="str">
        <x:v>V1</x:v>
      </x:c>
      <x:c r="E218" s="86" t="n">
        <x:f>COUNT('12_W0_温度'!B14,'12_W0_温度'!D14,'12_W0_温度'!F14,'12_W0_温度'!H14)</x:f>
        <x:v>4</x:v>
      </x:c>
      <x:c r="F218" s="90" t="n">
        <x:f>IF(E218=0,"",AVERAGE('12_W0_温度'!B14,'12_W0_温度'!D14,'12_W0_温度'!F14,'12_W0_温度'!H14))</x:f>
        <x:v>25.1</x:v>
      </x:c>
      <x:c r="G218" s="90" t="n">
        <x:f>IF(E218&lt;2,"",STDEV.S('12_W0_温度'!B14,'12_W0_温度'!D14,'12_W0_温度'!F14,'12_W0_温度'!H14))</x:f>
        <x:v>0.42426406871192923</x:v>
      </x:c>
      <x:c r="H218" s="90" t="n">
        <x:f>IF(E218=0,"",MIN('12_W0_温度'!B14,'12_W0_温度'!D14,'12_W0_温度'!F14,'12_W0_温度'!H14))</x:f>
        <x:v>24.7</x:v>
      </x:c>
      <x:c r="I218" s="90" t="n">
        <x:f>IF(E218=0,"",MAX('12_W0_温度'!B14,'12_W0_温度'!D14,'12_W0_温度'!F14,'12_W0_温度'!H14))</x:f>
        <x:v>25.6</x:v>
      </x:c>
      <x:c r="J218" s="32" t="str">
        <x:v>℃</x:v>
      </x:c>
    </x:row>
    <x:row r="219">
      <x:c r="A219" s="72" t="n">
        <x:v>46240.83394675926</x:v>
      </x:c>
      <x:c r="B219" s="32" t="str">
        <x:v>土壤温度</x:v>
      </x:c>
      <x:c r="C219" s="32" t="str">
        <x:v>W0</x:v>
      </x:c>
      <x:c r="D219" s="32" t="str">
        <x:v>V2</x:v>
      </x:c>
      <x:c r="E219" s="86" t="n">
        <x:f>COUNT('12_W0_温度'!C14,'12_W0_温度'!E14,'12_W0_温度'!G14,'12_W0_温度'!I14)</x:f>
        <x:v>4</x:v>
      </x:c>
      <x:c r="F219" s="90" t="n">
        <x:f>IF(E219=0,"",AVERAGE('12_W0_温度'!C14,'12_W0_温度'!E14,'12_W0_温度'!G14,'12_W0_温度'!I14))</x:f>
        <x:v>25.075</x:v>
      </x:c>
      <x:c r="G219" s="90" t="n">
        <x:f>IF(E219&lt;2,"",STDEV.S('12_W0_温度'!C14,'12_W0_温度'!E14,'12_W0_温度'!G14,'12_W0_温度'!I14))</x:f>
        <x:v>0.4349329450233297</x:v>
      </x:c>
      <x:c r="H219" s="90" t="n">
        <x:f>IF(E219=0,"",MIN('12_W0_温度'!C14,'12_W0_温度'!E14,'12_W0_温度'!G14,'12_W0_温度'!I14))</x:f>
        <x:v>24.7</x:v>
      </x:c>
      <x:c r="I219" s="90" t="n">
        <x:f>IF(E219=0,"",MAX('12_W0_温度'!C14,'12_W0_温度'!E14,'12_W0_温度'!G14,'12_W0_温度'!I14))</x:f>
        <x:v>25.5</x:v>
      </x:c>
      <x:c r="J219" s="32" t="str">
        <x:v>℃</x:v>
      </x:c>
    </x:row>
    <x:row r="220">
      <x:c r="A220" s="72" t="n">
        <x:v>46240.83741898148</x:v>
      </x:c>
      <x:c r="B220" s="32" t="str">
        <x:v>土壤温度</x:v>
      </x:c>
      <x:c r="C220" s="32" t="str">
        <x:v>W0</x:v>
      </x:c>
      <x:c r="D220" s="32" t="str">
        <x:v>V1</x:v>
      </x:c>
      <x:c r="E220" s="86" t="n">
        <x:f>COUNT('12_W0_温度'!B15,'12_W0_温度'!D15,'12_W0_温度'!F15,'12_W0_温度'!H15)</x:f>
        <x:v>4</x:v>
      </x:c>
      <x:c r="F220" s="90" t="n">
        <x:f>IF(E220=0,"",AVERAGE('12_W0_温度'!B15,'12_W0_温度'!D15,'12_W0_温度'!F15,'12_W0_温度'!H15))</x:f>
        <x:v>25.075000000000003</x:v>
      </x:c>
      <x:c r="G220" s="90" t="n">
        <x:f>IF(E220&lt;2,"",STDEV.S('12_W0_温度'!B15,'12_W0_温度'!D15,'12_W0_温度'!F15,'12_W0_温度'!H15))</x:f>
        <x:v>0.4272001872658768</x:v>
      </x:c>
      <x:c r="H220" s="90" t="n">
        <x:f>IF(E220=0,"",MIN('12_W0_温度'!B15,'12_W0_温度'!D15,'12_W0_温度'!F15,'12_W0_温度'!H15))</x:f>
        <x:v>24.6</x:v>
      </x:c>
      <x:c r="I220" s="90" t="n">
        <x:f>IF(E220=0,"",MAX('12_W0_温度'!B15,'12_W0_温度'!D15,'12_W0_温度'!F15,'12_W0_温度'!H15))</x:f>
        <x:v>25.6</x:v>
      </x:c>
      <x:c r="J220" s="32" t="str">
        <x:v>℃</x:v>
      </x:c>
    </x:row>
    <x:row r="221">
      <x:c r="A221" s="72" t="n">
        <x:v>46240.83741898148</x:v>
      </x:c>
      <x:c r="B221" s="32" t="str">
        <x:v>土壤温度</x:v>
      </x:c>
      <x:c r="C221" s="32" t="str">
        <x:v>W0</x:v>
      </x:c>
      <x:c r="D221" s="32" t="str">
        <x:v>V2</x:v>
      </x:c>
      <x:c r="E221" s="86" t="n">
        <x:f>COUNT('12_W0_温度'!C15,'12_W0_温度'!E15,'12_W0_温度'!G15,'12_W0_温度'!I15)</x:f>
        <x:v>4</x:v>
      </x:c>
      <x:c r="F221" s="90" t="n">
        <x:f>IF(E221=0,"",AVERAGE('12_W0_温度'!C15,'12_W0_温度'!E15,'12_W0_温度'!G15,'12_W0_温度'!I15))</x:f>
        <x:v>25.1</x:v>
      </x:c>
      <x:c r="G221" s="90" t="n">
        <x:f>IF(E221&lt;2,"",STDEV.S('12_W0_温度'!C15,'12_W0_温度'!E15,'12_W0_温度'!G15,'12_W0_温度'!I15))</x:f>
        <x:v>0.42426406871192923</x:v>
      </x:c>
      <x:c r="H221" s="90" t="n">
        <x:f>IF(E221=0,"",MIN('12_W0_温度'!C15,'12_W0_温度'!E15,'12_W0_温度'!G15,'12_W0_温度'!I15))</x:f>
        <x:v>24.7</x:v>
      </x:c>
      <x:c r="I221" s="90" t="n">
        <x:f>IF(E221=0,"",MAX('12_W0_温度'!C15,'12_W0_温度'!E15,'12_W0_温度'!G15,'12_W0_温度'!I15))</x:f>
        <x:v>25.6</x:v>
      </x:c>
      <x:c r="J221" s="32" t="str">
        <x:v>℃</x:v>
      </x:c>
    </x:row>
    <x:row r="222">
      <x:c r="A222" s="72" t="n">
        <x:v>46240.840891203705</x:v>
      </x:c>
      <x:c r="B222" s="32" t="str">
        <x:v>土壤温度</x:v>
      </x:c>
      <x:c r="C222" s="32" t="str">
        <x:v>W0</x:v>
      </x:c>
      <x:c r="D222" s="32" t="str">
        <x:v>V1</x:v>
      </x:c>
      <x:c r="E222" s="86" t="n">
        <x:f>COUNT('12_W0_温度'!B16,'12_W0_温度'!D16,'12_W0_温度'!F16,'12_W0_温度'!H16)</x:f>
        <x:v>4</x:v>
      </x:c>
      <x:c r="F222" s="90" t="n">
        <x:f>IF(E222=0,"",AVERAGE('12_W0_温度'!B16,'12_W0_温度'!D16,'12_W0_温度'!F16,'12_W0_温度'!H16))</x:f>
        <x:v>25.1</x:v>
      </x:c>
      <x:c r="G222" s="90" t="n">
        <x:f>IF(E222&lt;2,"",STDEV.S('12_W0_温度'!B16,'12_W0_温度'!D16,'12_W0_温度'!F16,'12_W0_温度'!H16))</x:f>
        <x:v>0.408248290463863</x:v>
      </x:c>
      <x:c r="H222" s="90" t="n">
        <x:f>IF(E222=0,"",MIN('12_W0_温度'!B16,'12_W0_温度'!D16,'12_W0_温度'!F16,'12_W0_温度'!H16))</x:f>
        <x:v>24.6</x:v>
      </x:c>
      <x:c r="I222" s="90" t="n">
        <x:f>IF(E222=0,"",MAX('12_W0_温度'!B16,'12_W0_温度'!D16,'12_W0_温度'!F16,'12_W0_温度'!H16))</x:f>
        <x:v>25.6</x:v>
      </x:c>
      <x:c r="J222" s="32" t="str">
        <x:v>℃</x:v>
      </x:c>
    </x:row>
    <x:row r="223">
      <x:c r="A223" s="72" t="n">
        <x:v>46240.840891203705</x:v>
      </x:c>
      <x:c r="B223" s="32" t="str">
        <x:v>土壤温度</x:v>
      </x:c>
      <x:c r="C223" s="32" t="str">
        <x:v>W0</x:v>
      </x:c>
      <x:c r="D223" s="32" t="str">
        <x:v>V2</x:v>
      </x:c>
      <x:c r="E223" s="86" t="n">
        <x:f>COUNT('12_W0_温度'!C16,'12_W0_温度'!E16,'12_W0_温度'!G16,'12_W0_温度'!I16)</x:f>
        <x:v>4</x:v>
      </x:c>
      <x:c r="F223" s="90" t="n">
        <x:f>IF(E223=0,"",AVERAGE('12_W0_温度'!C16,'12_W0_温度'!E16,'12_W0_温度'!G16,'12_W0_温度'!I16))</x:f>
        <x:v>25.075000000000003</x:v>
      </x:c>
      <x:c r="G223" s="90" t="n">
        <x:f>IF(E223&lt;2,"",STDEV.S('12_W0_温度'!C16,'12_W0_温度'!E16,'12_W0_温度'!G16,'12_W0_温度'!I16))</x:f>
        <x:v>0.4272001872658768</x:v>
      </x:c>
      <x:c r="H223" s="90" t="n">
        <x:f>IF(E223=0,"",MIN('12_W0_温度'!C16,'12_W0_温度'!E16,'12_W0_温度'!G16,'12_W0_温度'!I16))</x:f>
        <x:v>24.6</x:v>
      </x:c>
      <x:c r="I223" s="90" t="n">
        <x:f>IF(E223=0,"",MAX('12_W0_温度'!C16,'12_W0_温度'!E16,'12_W0_温度'!G16,'12_W0_温度'!I16))</x:f>
        <x:v>25.6</x:v>
      </x:c>
      <x:c r="J223" s="32" t="str">
        <x:v>℃</x:v>
      </x:c>
    </x:row>
    <x:row r="224">
      <x:c r="A224" s="72" t="n">
        <x:v>46240.844363425924</x:v>
      </x:c>
      <x:c r="B224" s="32" t="str">
        <x:v>土壤温度</x:v>
      </x:c>
      <x:c r="C224" s="32" t="str">
        <x:v>W0</x:v>
      </x:c>
      <x:c r="D224" s="32" t="str">
        <x:v>V1</x:v>
      </x:c>
      <x:c r="E224" s="86" t="n">
        <x:f>COUNT('12_W0_温度'!B17,'12_W0_温度'!D17,'12_W0_温度'!F17,'12_W0_温度'!H17)</x:f>
        <x:v>4</x:v>
      </x:c>
      <x:c r="F224" s="90" t="n">
        <x:f>IF(E224=0,"",AVERAGE('12_W0_温度'!B17,'12_W0_温度'!D17,'12_W0_温度'!F17,'12_W0_温度'!H17))</x:f>
        <x:v>25.074999999999996</x:v>
      </x:c>
      <x:c r="G224" s="90" t="n">
        <x:f>IF(E224&lt;2,"",STDEV.S('12_W0_温度'!B17,'12_W0_温度'!D17,'12_W0_温度'!F17,'12_W0_温度'!H17))</x:f>
        <x:v>0.4272001872658767</x:v>
      </x:c>
      <x:c r="H224" s="90" t="n">
        <x:f>IF(E224=0,"",MIN('12_W0_温度'!B17,'12_W0_温度'!D17,'12_W0_温度'!F17,'12_W0_温度'!H17))</x:f>
        <x:v>24.6</x:v>
      </x:c>
      <x:c r="I224" s="90" t="n">
        <x:f>IF(E224=0,"",MAX('12_W0_温度'!B17,'12_W0_温度'!D17,'12_W0_温度'!F17,'12_W0_温度'!H17))</x:f>
        <x:v>25.6</x:v>
      </x:c>
      <x:c r="J224" s="32" t="str">
        <x:v>℃</x:v>
      </x:c>
    </x:row>
    <x:row r="225">
      <x:c r="A225" s="72" t="n">
        <x:v>46240.844363425924</x:v>
      </x:c>
      <x:c r="B225" s="32" t="str">
        <x:v>土壤温度</x:v>
      </x:c>
      <x:c r="C225" s="32" t="str">
        <x:v>W0</x:v>
      </x:c>
      <x:c r="D225" s="32" t="str">
        <x:v>V2</x:v>
      </x:c>
      <x:c r="E225" s="86" t="n">
        <x:f>COUNT('12_W0_温度'!C17,'12_W0_温度'!E17,'12_W0_温度'!G17,'12_W0_温度'!I17)</x:f>
        <x:v>4</x:v>
      </x:c>
      <x:c r="F225" s="90" t="n">
        <x:f>IF(E225=0,"",AVERAGE('12_W0_温度'!C17,'12_W0_温度'!E17,'12_W0_温度'!G17,'12_W0_温度'!I17))</x:f>
        <x:v>25.1</x:v>
      </x:c>
      <x:c r="G225" s="90" t="n">
        <x:f>IF(E225&lt;2,"",STDEV.S('12_W0_温度'!C17,'12_W0_温度'!E17,'12_W0_温度'!G17,'12_W0_温度'!I17))</x:f>
        <x:v>0.408248290463863</x:v>
      </x:c>
      <x:c r="H225" s="90" t="n">
        <x:f>IF(E225=0,"",MIN('12_W0_温度'!C17,'12_W0_温度'!E17,'12_W0_温度'!G17,'12_W0_温度'!I17))</x:f>
        <x:v>24.6</x:v>
      </x:c>
      <x:c r="I225" s="90" t="n">
        <x:f>IF(E225=0,"",MAX('12_W0_温度'!C17,'12_W0_温度'!E17,'12_W0_温度'!G17,'12_W0_温度'!I17))</x:f>
        <x:v>25.6</x:v>
      </x:c>
      <x:c r="J225" s="32" t="str">
        <x:v>℃</x:v>
      </x:c>
    </x:row>
    <x:row r="226">
      <x:c r="A226" s="72" t="n">
        <x:v>46240.84783564815</x:v>
      </x:c>
      <x:c r="B226" s="32" t="str">
        <x:v>土壤温度</x:v>
      </x:c>
      <x:c r="C226" s="32" t="str">
        <x:v>W0</x:v>
      </x:c>
      <x:c r="D226" s="32" t="str">
        <x:v>V1</x:v>
      </x:c>
      <x:c r="E226" s="86" t="n">
        <x:f>COUNT('12_W0_温度'!B18,'12_W0_温度'!D18,'12_W0_温度'!F18,'12_W0_温度'!H18)</x:f>
        <x:v>4</x:v>
      </x:c>
      <x:c r="F226" s="90" t="n">
        <x:f>IF(E226=0,"",AVERAGE('12_W0_温度'!B18,'12_W0_温度'!D18,'12_W0_温度'!F18,'12_W0_温度'!H18))</x:f>
        <x:v>25.075</x:v>
      </x:c>
      <x:c r="G226" s="90" t="n">
        <x:f>IF(E226&lt;2,"",STDEV.S('12_W0_温度'!B18,'12_W0_温度'!D18,'12_W0_温度'!F18,'12_W0_温度'!H18))</x:f>
        <x:v>0.38622100754188243</x:v>
      </x:c>
      <x:c r="H226" s="90" t="n">
        <x:f>IF(E226=0,"",MIN('12_W0_温度'!B18,'12_W0_温度'!D18,'12_W0_温度'!F18,'12_W0_温度'!H18))</x:f>
        <x:v>24.7</x:v>
      </x:c>
      <x:c r="I226" s="90" t="n">
        <x:f>IF(E226=0,"",MAX('12_W0_温度'!B18,'12_W0_温度'!D18,'12_W0_温度'!F18,'12_W0_温度'!H18))</x:f>
        <x:v>25.5</x:v>
      </x:c>
      <x:c r="J226" s="32" t="str">
        <x:v>℃</x:v>
      </x:c>
    </x:row>
    <x:row r="227">
      <x:c r="A227" s="72" t="n">
        <x:v>46240.84783564815</x:v>
      </x:c>
      <x:c r="B227" s="32" t="str">
        <x:v>土壤温度</x:v>
      </x:c>
      <x:c r="C227" s="32" t="str">
        <x:v>W0</x:v>
      </x:c>
      <x:c r="D227" s="32" t="str">
        <x:v>V2</x:v>
      </x:c>
      <x:c r="E227" s="86" t="n">
        <x:f>COUNT('12_W0_温度'!C18,'12_W0_温度'!E18,'12_W0_温度'!G18,'12_W0_温度'!I18)</x:f>
        <x:v>4</x:v>
      </x:c>
      <x:c r="F227" s="90" t="n">
        <x:f>IF(E227=0,"",AVERAGE('12_W0_温度'!C18,'12_W0_温度'!E18,'12_W0_温度'!G18,'12_W0_温度'!I18))</x:f>
        <x:v>25.074999999999996</x:v>
      </x:c>
      <x:c r="G227" s="90" t="n">
        <x:f>IF(E227&lt;2,"",STDEV.S('12_W0_温度'!C18,'12_W0_温度'!E18,'12_W0_温度'!G18,'12_W0_温度'!I18))</x:f>
        <x:v>0.4272001872658767</x:v>
      </x:c>
      <x:c r="H227" s="90" t="n">
        <x:f>IF(E227=0,"",MIN('12_W0_温度'!C18,'12_W0_温度'!E18,'12_W0_温度'!G18,'12_W0_温度'!I18))</x:f>
        <x:v>24.6</x:v>
      </x:c>
      <x:c r="I227" s="90" t="n">
        <x:f>IF(E227=0,"",MAX('12_W0_温度'!C18,'12_W0_温度'!E18,'12_W0_温度'!G18,'12_W0_温度'!I18))</x:f>
        <x:v>25.6</x:v>
      </x:c>
      <x:c r="J227" s="32" t="str">
        <x:v>℃</x:v>
      </x:c>
    </x:row>
    <x:row r="228">
      <x:c r="A228" s="72" t="n">
        <x:v>46240.85130787037</x:v>
      </x:c>
      <x:c r="B228" s="32" t="str">
        <x:v>土壤温度</x:v>
      </x:c>
      <x:c r="C228" s="32" t="str">
        <x:v>W0</x:v>
      </x:c>
      <x:c r="D228" s="32" t="str">
        <x:v>V1</x:v>
      </x:c>
      <x:c r="E228" s="86" t="n">
        <x:f>COUNT('12_W0_温度'!B19,'12_W0_温度'!D19,'12_W0_温度'!F19,'12_W0_温度'!H19)</x:f>
        <x:v>4</x:v>
      </x:c>
      <x:c r="F228" s="90" t="n">
        <x:f>IF(E228=0,"",AVERAGE('12_W0_温度'!B19,'12_W0_温度'!D19,'12_W0_温度'!F19,'12_W0_温度'!H19))</x:f>
        <x:v>25.049999999999997</x:v>
      </x:c>
      <x:c r="G228" s="90" t="n">
        <x:f>IF(E228&lt;2,"",STDEV.S('12_W0_温度'!B19,'12_W0_温度'!D19,'12_W0_温度'!F19,'12_W0_温度'!H19))</x:f>
        <x:v>0.4041451884327376</x:v>
      </x:c>
      <x:c r="H228" s="90" t="n">
        <x:f>IF(E228=0,"",MIN('12_W0_温度'!B19,'12_W0_温度'!D19,'12_W0_温度'!F19,'12_W0_温度'!H19))</x:f>
        <x:v>24.7</x:v>
      </x:c>
      <x:c r="I228" s="90" t="n">
        <x:f>IF(E228=0,"",MAX('12_W0_温度'!B19,'12_W0_温度'!D19,'12_W0_温度'!F19,'12_W0_温度'!H19))</x:f>
        <x:v>25.4</x:v>
      </x:c>
      <x:c r="J228" s="32" t="str">
        <x:v>℃</x:v>
      </x:c>
    </x:row>
    <x:row r="229">
      <x:c r="A229" s="72" t="n">
        <x:v>46240.85130787037</x:v>
      </x:c>
      <x:c r="B229" s="32" t="str">
        <x:v>土壤温度</x:v>
      </x:c>
      <x:c r="C229" s="32" t="str">
        <x:v>W0</x:v>
      </x:c>
      <x:c r="D229" s="32" t="str">
        <x:v>V2</x:v>
      </x:c>
      <x:c r="E229" s="86" t="n">
        <x:f>COUNT('12_W0_温度'!C19,'12_W0_温度'!E19,'12_W0_温度'!G19,'12_W0_温度'!I19)</x:f>
        <x:v>4</x:v>
      </x:c>
      <x:c r="F229" s="90" t="n">
        <x:f>IF(E229=0,"",AVERAGE('12_W0_温度'!C19,'12_W0_温度'!E19,'12_W0_温度'!G19,'12_W0_温度'!I19))</x:f>
        <x:v>25.075</x:v>
      </x:c>
      <x:c r="G229" s="90" t="n">
        <x:f>IF(E229&lt;2,"",STDEV.S('12_W0_温度'!C19,'12_W0_温度'!E19,'12_W0_温度'!G19,'12_W0_温度'!I19))</x:f>
        <x:v>0.38622100754188243</x:v>
      </x:c>
      <x:c r="H229" s="90" t="n">
        <x:f>IF(E229=0,"",MIN('12_W0_温度'!C19,'12_W0_温度'!E19,'12_W0_温度'!G19,'12_W0_温度'!I19))</x:f>
        <x:v>24.7</x:v>
      </x:c>
      <x:c r="I229" s="90" t="n">
        <x:f>IF(E229=0,"",MAX('12_W0_温度'!C19,'12_W0_温度'!E19,'12_W0_温度'!G19,'12_W0_温度'!I19))</x:f>
        <x:v>25.5</x:v>
      </x:c>
      <x:c r="J229" s="32" t="str">
        <x:v>℃</x:v>
      </x:c>
    </x:row>
    <x:row r="230">
      <x:c r="A230" s="72" t="n">
        <x:v>46240.854780092595</x:v>
      </x:c>
      <x:c r="B230" s="32" t="str">
        <x:v>土壤温度</x:v>
      </x:c>
      <x:c r="C230" s="32" t="str">
        <x:v>W0</x:v>
      </x:c>
      <x:c r="D230" s="32" t="str">
        <x:v>V1</x:v>
      </x:c>
      <x:c r="E230" s="86" t="n">
        <x:f>COUNT('12_W0_温度'!B20,'12_W0_温度'!D20,'12_W0_温度'!F20,'12_W0_温度'!H20)</x:f>
        <x:v>4</x:v>
      </x:c>
      <x:c r="F230" s="90" t="n">
        <x:f>IF(E230=0,"",AVERAGE('12_W0_温度'!B20,'12_W0_温度'!D20,'12_W0_温度'!F20,'12_W0_温度'!H20))</x:f>
        <x:v>25.075</x:v>
      </x:c>
      <x:c r="G230" s="90" t="n">
        <x:f>IF(E230&lt;2,"",STDEV.S('12_W0_温度'!B20,'12_W0_温度'!D20,'12_W0_温度'!F20,'12_W0_温度'!H20))</x:f>
        <x:v>0.38622100754188243</x:v>
      </x:c>
      <x:c r="H230" s="90" t="n">
        <x:f>IF(E230=0,"",MIN('12_W0_温度'!B20,'12_W0_温度'!D20,'12_W0_温度'!F20,'12_W0_温度'!H20))</x:f>
        <x:v>24.7</x:v>
      </x:c>
      <x:c r="I230" s="90" t="n">
        <x:f>IF(E230=0,"",MAX('12_W0_温度'!B20,'12_W0_温度'!D20,'12_W0_温度'!F20,'12_W0_温度'!H20))</x:f>
        <x:v>25.5</x:v>
      </x:c>
      <x:c r="J230" s="32" t="str">
        <x:v>℃</x:v>
      </x:c>
    </x:row>
    <x:row r="231">
      <x:c r="A231" s="72" t="n">
        <x:v>46240.854780092595</x:v>
      </x:c>
      <x:c r="B231" s="32" t="str">
        <x:v>土壤温度</x:v>
      </x:c>
      <x:c r="C231" s="32" t="str">
        <x:v>W0</x:v>
      </x:c>
      <x:c r="D231" s="32" t="str">
        <x:v>V2</x:v>
      </x:c>
      <x:c r="E231" s="86" t="n">
        <x:f>COUNT('12_W0_温度'!C20,'12_W0_温度'!E20,'12_W0_温度'!G20,'12_W0_温度'!I20)</x:f>
        <x:v>4</x:v>
      </x:c>
      <x:c r="F231" s="90" t="n">
        <x:f>IF(E231=0,"",AVERAGE('12_W0_温度'!C20,'12_W0_温度'!E20,'12_W0_温度'!G20,'12_W0_温度'!I20))</x:f>
        <x:v>25.049999999999997</x:v>
      </x:c>
      <x:c r="G231" s="90" t="n">
        <x:f>IF(E231&lt;2,"",STDEV.S('12_W0_温度'!C20,'12_W0_温度'!E20,'12_W0_温度'!G20,'12_W0_温度'!I20))</x:f>
        <x:v>0.4041451884327376</x:v>
      </x:c>
      <x:c r="H231" s="90" t="n">
        <x:f>IF(E231=0,"",MIN('12_W0_温度'!C20,'12_W0_温度'!E20,'12_W0_温度'!G20,'12_W0_温度'!I20))</x:f>
        <x:v>24.7</x:v>
      </x:c>
      <x:c r="I231" s="90" t="n">
        <x:f>IF(E231=0,"",MAX('12_W0_温度'!C20,'12_W0_温度'!E20,'12_W0_温度'!G20,'12_W0_温度'!I20))</x:f>
        <x:v>25.4</x:v>
      </x:c>
      <x:c r="J231" s="32" t="str">
        <x:v>℃</x:v>
      </x:c>
    </x:row>
    <x:row r="232">
      <x:c r="A232" s="72" t="n">
        <x:v>46240.858252314814</x:v>
      </x:c>
      <x:c r="B232" s="32" t="str">
        <x:v>土壤温度</x:v>
      </x:c>
      <x:c r="C232" s="32" t="str">
        <x:v>W0</x:v>
      </x:c>
      <x:c r="D232" s="32" t="str">
        <x:v>V1</x:v>
      </x:c>
      <x:c r="E232" s="86" t="n">
        <x:f>COUNT('12_W0_温度'!B21,'12_W0_温度'!D21,'12_W0_温度'!F21,'12_W0_温度'!H21)</x:f>
        <x:v>4</x:v>
      </x:c>
      <x:c r="F232" s="90" t="n">
        <x:f>IF(E232=0,"",AVERAGE('12_W0_温度'!B21,'12_W0_温度'!D21,'12_W0_温度'!F21,'12_W0_温度'!H21))</x:f>
        <x:v>25.075</x:v>
      </x:c>
      <x:c r="G232" s="90" t="n">
        <x:f>IF(E232&lt;2,"",STDEV.S('12_W0_温度'!B21,'12_W0_温度'!D21,'12_W0_温度'!F21,'12_W0_温度'!H21))</x:f>
        <x:v>0.4272001872658767</x:v>
      </x:c>
      <x:c r="H232" s="90" t="n">
        <x:f>IF(E232=0,"",MIN('12_W0_温度'!B21,'12_W0_温度'!D21,'12_W0_温度'!F21,'12_W0_温度'!H21))</x:f>
        <x:v>24.6</x:v>
      </x:c>
      <x:c r="I232" s="90" t="n">
        <x:f>IF(E232=0,"",MAX('12_W0_温度'!B21,'12_W0_温度'!D21,'12_W0_温度'!F21,'12_W0_温度'!H21))</x:f>
        <x:v>25.6</x:v>
      </x:c>
      <x:c r="J232" s="32" t="str">
        <x:v>℃</x:v>
      </x:c>
    </x:row>
    <x:row r="233">
      <x:c r="A233" s="72" t="n">
        <x:v>46240.858252314814</x:v>
      </x:c>
      <x:c r="B233" s="32" t="str">
        <x:v>土壤温度</x:v>
      </x:c>
      <x:c r="C233" s="32" t="str">
        <x:v>W0</x:v>
      </x:c>
      <x:c r="D233" s="32" t="str">
        <x:v>V2</x:v>
      </x:c>
      <x:c r="E233" s="86" t="n">
        <x:f>COUNT('12_W0_温度'!C21,'12_W0_温度'!E21,'12_W0_温度'!G21,'12_W0_温度'!I21)</x:f>
        <x:v>4</x:v>
      </x:c>
      <x:c r="F233" s="90" t="n">
        <x:f>IF(E233=0,"",AVERAGE('12_W0_温度'!C21,'12_W0_温度'!E21,'12_W0_温度'!G21,'12_W0_温度'!I21))</x:f>
        <x:v>25.075</x:v>
      </x:c>
      <x:c r="G233" s="90" t="n">
        <x:f>IF(E233&lt;2,"",STDEV.S('12_W0_温度'!C21,'12_W0_温度'!E21,'12_W0_温度'!G21,'12_W0_温度'!I21))</x:f>
        <x:v>0.38622100754188243</x:v>
      </x:c>
      <x:c r="H233" s="90" t="n">
        <x:f>IF(E233=0,"",MIN('12_W0_温度'!C21,'12_W0_温度'!E21,'12_W0_温度'!G21,'12_W0_温度'!I21))</x:f>
        <x:v>24.7</x:v>
      </x:c>
      <x:c r="I233" s="90" t="n">
        <x:f>IF(E233=0,"",MAX('12_W0_温度'!C21,'12_W0_温度'!E21,'12_W0_温度'!G21,'12_W0_温度'!I21))</x:f>
        <x:v>25.5</x:v>
      </x:c>
      <x:c r="J233" s="32" t="str">
        <x:v>℃</x:v>
      </x:c>
    </x:row>
    <x:row r="234">
      <x:c r="A234" s="72" t="n">
        <x:v>46240.86172453704</x:v>
      </x:c>
      <x:c r="B234" s="32" t="str">
        <x:v>土壤温度</x:v>
      </x:c>
      <x:c r="C234" s="32" t="str">
        <x:v>W0</x:v>
      </x:c>
      <x:c r="D234" s="32" t="str">
        <x:v>V1</x:v>
      </x:c>
      <x:c r="E234" s="86" t="n">
        <x:f>COUNT('12_W0_温度'!B22,'12_W0_温度'!D22,'12_W0_温度'!F22,'12_W0_温度'!H22)</x:f>
        <x:v>4</x:v>
      </x:c>
      <x:c r="F234" s="90" t="n">
        <x:f>IF(E234=0,"",AVERAGE('12_W0_温度'!B22,'12_W0_温度'!D22,'12_W0_温度'!F22,'12_W0_温度'!H22))</x:f>
        <x:v>25.1</x:v>
      </x:c>
      <x:c r="G234" s="90" t="n">
        <x:f>IF(E234&lt;2,"",STDEV.S('12_W0_温度'!B22,'12_W0_温度'!D22,'12_W0_温度'!F22,'12_W0_温度'!H22))</x:f>
        <x:v>0.408248290463863</x:v>
      </x:c>
      <x:c r="H234" s="90" t="n">
        <x:f>IF(E234=0,"",MIN('12_W0_温度'!B22,'12_W0_温度'!D22,'12_W0_温度'!F22,'12_W0_温度'!H22))</x:f>
        <x:v>24.6</x:v>
      </x:c>
      <x:c r="I234" s="90" t="n">
        <x:f>IF(E234=0,"",MAX('12_W0_温度'!B22,'12_W0_温度'!D22,'12_W0_温度'!F22,'12_W0_温度'!H22))</x:f>
        <x:v>25.6</x:v>
      </x:c>
      <x:c r="J234" s="32" t="str">
        <x:v>℃</x:v>
      </x:c>
    </x:row>
    <x:row r="235">
      <x:c r="A235" s="72" t="n">
        <x:v>46240.86172453704</x:v>
      </x:c>
      <x:c r="B235" s="32" t="str">
        <x:v>土壤温度</x:v>
      </x:c>
      <x:c r="C235" s="32" t="str">
        <x:v>W0</x:v>
      </x:c>
      <x:c r="D235" s="32" t="str">
        <x:v>V2</x:v>
      </x:c>
      <x:c r="E235" s="86" t="n">
        <x:f>COUNT('12_W0_温度'!C22,'12_W0_温度'!E22,'12_W0_温度'!G22,'12_W0_温度'!I22)</x:f>
        <x:v>4</x:v>
      </x:c>
      <x:c r="F235" s="90" t="n">
        <x:f>IF(E235=0,"",AVERAGE('12_W0_温度'!C22,'12_W0_温度'!E22,'12_W0_温度'!G22,'12_W0_温度'!I22))</x:f>
        <x:v>25.075</x:v>
      </x:c>
      <x:c r="G235" s="90" t="n">
        <x:f>IF(E235&lt;2,"",STDEV.S('12_W0_温度'!C22,'12_W0_温度'!E22,'12_W0_温度'!G22,'12_W0_温度'!I22))</x:f>
        <x:v>0.4272001872658767</x:v>
      </x:c>
      <x:c r="H235" s="90" t="n">
        <x:f>IF(E235=0,"",MIN('12_W0_温度'!C22,'12_W0_温度'!E22,'12_W0_温度'!G22,'12_W0_温度'!I22))</x:f>
        <x:v>24.6</x:v>
      </x:c>
      <x:c r="I235" s="90" t="n">
        <x:f>IF(E235=0,"",MAX('12_W0_温度'!C22,'12_W0_温度'!E22,'12_W0_温度'!G22,'12_W0_温度'!I22))</x:f>
        <x:v>25.6</x:v>
      </x:c>
      <x:c r="J235" s="32" t="str">
        <x:v>℃</x:v>
      </x:c>
    </x:row>
    <x:row r="236">
      <x:c r="A236" s="72" t="n">
        <x:v>46240.86519675926</x:v>
      </x:c>
      <x:c r="B236" s="32" t="str">
        <x:v>土壤温度</x:v>
      </x:c>
      <x:c r="C236" s="32" t="str">
        <x:v>W0</x:v>
      </x:c>
      <x:c r="D236" s="32" t="str">
        <x:v>V1</x:v>
      </x:c>
      <x:c r="E236" s="86" t="n">
        <x:f>COUNT('12_W0_温度'!B23,'12_W0_温度'!D23,'12_W0_温度'!F23,'12_W0_温度'!H23)</x:f>
        <x:v>4</x:v>
      </x:c>
      <x:c r="F236" s="90" t="n">
        <x:f>IF(E236=0,"",AVERAGE('12_W0_温度'!B23,'12_W0_温度'!D23,'12_W0_温度'!F23,'12_W0_温度'!H23))</x:f>
        <x:v>25.075000000000003</x:v>
      </x:c>
      <x:c r="G236" s="90" t="n">
        <x:f>IF(E236&lt;2,"",STDEV.S('12_W0_温度'!B23,'12_W0_温度'!D23,'12_W0_温度'!F23,'12_W0_温度'!H23))</x:f>
        <x:v>0.4272001872658767</x:v>
      </x:c>
      <x:c r="H236" s="90" t="n">
        <x:f>IF(E236=0,"",MIN('12_W0_温度'!B23,'12_W0_温度'!D23,'12_W0_温度'!F23,'12_W0_温度'!H23))</x:f>
        <x:v>24.6</x:v>
      </x:c>
      <x:c r="I236" s="90" t="n">
        <x:f>IF(E236=0,"",MAX('12_W0_温度'!B23,'12_W0_温度'!D23,'12_W0_温度'!F23,'12_W0_温度'!H23))</x:f>
        <x:v>25.6</x:v>
      </x:c>
      <x:c r="J236" s="32" t="str">
        <x:v>℃</x:v>
      </x:c>
    </x:row>
    <x:row r="237">
      <x:c r="A237" s="72" t="n">
        <x:v>46240.86519675926</x:v>
      </x:c>
      <x:c r="B237" s="32" t="str">
        <x:v>土壤温度</x:v>
      </x:c>
      <x:c r="C237" s="32" t="str">
        <x:v>W0</x:v>
      </x:c>
      <x:c r="D237" s="32" t="str">
        <x:v>V2</x:v>
      </x:c>
      <x:c r="E237" s="86" t="n">
        <x:f>COUNT('12_W0_温度'!C23,'12_W0_温度'!E23,'12_W0_温度'!G23,'12_W0_温度'!I23)</x:f>
        <x:v>4</x:v>
      </x:c>
      <x:c r="F237" s="90" t="n">
        <x:f>IF(E237=0,"",AVERAGE('12_W0_温度'!C23,'12_W0_温度'!E23,'12_W0_温度'!G23,'12_W0_温度'!I23))</x:f>
        <x:v>25.1</x:v>
      </x:c>
      <x:c r="G237" s="90" t="n">
        <x:f>IF(E237&lt;2,"",STDEV.S('12_W0_温度'!C23,'12_W0_温度'!E23,'12_W0_温度'!G23,'12_W0_温度'!I23))</x:f>
        <x:v>0.408248290463863</x:v>
      </x:c>
      <x:c r="H237" s="90" t="n">
        <x:f>IF(E237=0,"",MIN('12_W0_温度'!C23,'12_W0_温度'!E23,'12_W0_温度'!G23,'12_W0_温度'!I23))</x:f>
        <x:v>24.6</x:v>
      </x:c>
      <x:c r="I237" s="90" t="n">
        <x:f>IF(E237=0,"",MAX('12_W0_温度'!C23,'12_W0_温度'!E23,'12_W0_温度'!G23,'12_W0_温度'!I23))</x:f>
        <x:v>25.6</x:v>
      </x:c>
      <x:c r="J237" s="32" t="str">
        <x:v>℃</x:v>
      </x:c>
    </x:row>
    <x:row r="238">
      <x:c r="A238" s="72" t="n">
        <x:v>46240.86866898148</x:v>
      </x:c>
      <x:c r="B238" s="32" t="str">
        <x:v>土壤温度</x:v>
      </x:c>
      <x:c r="C238" s="32" t="str">
        <x:v>W0</x:v>
      </x:c>
      <x:c r="D238" s="32" t="str">
        <x:v>V1</x:v>
      </x:c>
      <x:c r="E238" s="86" t="n">
        <x:f>COUNT('12_W0_温度'!B24,'12_W0_温度'!D24,'12_W0_温度'!F24,'12_W0_温度'!H24)</x:f>
        <x:v>4</x:v>
      </x:c>
      <x:c r="F238" s="90" t="n">
        <x:f>IF(E238=0,"",AVERAGE('12_W0_温度'!B24,'12_W0_温度'!D24,'12_W0_温度'!F24,'12_W0_温度'!H24))</x:f>
        <x:v>25.1</x:v>
      </x:c>
      <x:c r="G238" s="90" t="n">
        <x:f>IF(E238&lt;2,"",STDEV.S('12_W0_温度'!B24,'12_W0_温度'!D24,'12_W0_温度'!F24,'12_W0_温度'!H24))</x:f>
        <x:v>0.42426406871192923</x:v>
      </x:c>
      <x:c r="H238" s="90" t="n">
        <x:f>IF(E238=0,"",MIN('12_W0_温度'!B24,'12_W0_温度'!D24,'12_W0_温度'!F24,'12_W0_温度'!H24))</x:f>
        <x:v>24.7</x:v>
      </x:c>
      <x:c r="I238" s="90" t="n">
        <x:f>IF(E238=0,"",MAX('12_W0_温度'!B24,'12_W0_温度'!D24,'12_W0_温度'!F24,'12_W0_温度'!H24))</x:f>
        <x:v>25.6</x:v>
      </x:c>
      <x:c r="J238" s="32" t="str">
        <x:v>℃</x:v>
      </x:c>
    </x:row>
    <x:row r="239">
      <x:c r="A239" s="72" t="n">
        <x:v>46240.86866898148</x:v>
      </x:c>
      <x:c r="B239" s="32" t="str">
        <x:v>土壤温度</x:v>
      </x:c>
      <x:c r="C239" s="32" t="str">
        <x:v>W0</x:v>
      </x:c>
      <x:c r="D239" s="32" t="str">
        <x:v>V2</x:v>
      </x:c>
      <x:c r="E239" s="86" t="n">
        <x:f>COUNT('12_W0_温度'!C24,'12_W0_温度'!E24,'12_W0_温度'!G24,'12_W0_温度'!I24)</x:f>
        <x:v>4</x:v>
      </x:c>
      <x:c r="F239" s="90" t="n">
        <x:f>IF(E239=0,"",AVERAGE('12_W0_温度'!C24,'12_W0_温度'!E24,'12_W0_温度'!G24,'12_W0_温度'!I24))</x:f>
        <x:v>25.075000000000003</x:v>
      </x:c>
      <x:c r="G239" s="90" t="n">
        <x:f>IF(E239&lt;2,"",STDEV.S('12_W0_温度'!C24,'12_W0_温度'!E24,'12_W0_温度'!G24,'12_W0_温度'!I24))</x:f>
        <x:v>0.4272001872658767</x:v>
      </x:c>
      <x:c r="H239" s="90" t="n">
        <x:f>IF(E239=0,"",MIN('12_W0_温度'!C24,'12_W0_温度'!E24,'12_W0_温度'!G24,'12_W0_温度'!I24))</x:f>
        <x:v>24.6</x:v>
      </x:c>
      <x:c r="I239" s="90" t="n">
        <x:f>IF(E239=0,"",MAX('12_W0_温度'!C24,'12_W0_温度'!E24,'12_W0_温度'!G24,'12_W0_温度'!I24))</x:f>
        <x:v>25.6</x:v>
      </x:c>
      <x:c r="J239" s="32" t="str">
        <x:v>℃</x:v>
      </x:c>
    </x:row>
    <x:row r="240">
      <x:c r="A240" s="72" t="n">
        <x:v>46240.872141203705</x:v>
      </x:c>
      <x:c r="B240" s="32" t="str">
        <x:v>土壤温度</x:v>
      </x:c>
      <x:c r="C240" s="32" t="str">
        <x:v>W0</x:v>
      </x:c>
      <x:c r="D240" s="32" t="str">
        <x:v>V1</x:v>
      </x:c>
      <x:c r="E240" s="86" t="n">
        <x:f>COUNT('12_W0_温度'!B25,'12_W0_温度'!D25,'12_W0_温度'!F25,'12_W0_温度'!H25)</x:f>
        <x:v>4</x:v>
      </x:c>
      <x:c r="F240" s="90" t="n">
        <x:f>IF(E240=0,"",AVERAGE('12_W0_温度'!B25,'12_W0_温度'!D25,'12_W0_温度'!F25,'12_W0_温度'!H25))</x:f>
        <x:v>25.075</x:v>
      </x:c>
      <x:c r="G240" s="90" t="n">
        <x:f>IF(E240&lt;2,"",STDEV.S('12_W0_温度'!B25,'12_W0_温度'!D25,'12_W0_温度'!F25,'12_W0_温度'!H25))</x:f>
        <x:v>0.4349329450233297</x:v>
      </x:c>
      <x:c r="H240" s="90" t="n">
        <x:f>IF(E240=0,"",MIN('12_W0_温度'!B25,'12_W0_温度'!D25,'12_W0_温度'!F25,'12_W0_温度'!H25))</x:f>
        <x:v>24.7</x:v>
      </x:c>
      <x:c r="I240" s="90" t="n">
        <x:f>IF(E240=0,"",MAX('12_W0_温度'!B25,'12_W0_温度'!D25,'12_W0_温度'!F25,'12_W0_温度'!H25))</x:f>
        <x:v>25.5</x:v>
      </x:c>
      <x:c r="J240" s="32" t="str">
        <x:v>℃</x:v>
      </x:c>
    </x:row>
    <x:row r="241">
      <x:c r="A241" s="72" t="n">
        <x:v>46240.872141203705</x:v>
      </x:c>
      <x:c r="B241" s="32" t="str">
        <x:v>土壤温度</x:v>
      </x:c>
      <x:c r="C241" s="32" t="str">
        <x:v>W0</x:v>
      </x:c>
      <x:c r="D241" s="32" t="str">
        <x:v>V2</x:v>
      </x:c>
      <x:c r="E241" s="86" t="n">
        <x:f>COUNT('12_W0_温度'!C25,'12_W0_温度'!E25,'12_W0_温度'!G25,'12_W0_温度'!I25)</x:f>
        <x:v>4</x:v>
      </x:c>
      <x:c r="F241" s="90" t="n">
        <x:f>IF(E241=0,"",AVERAGE('12_W0_温度'!C25,'12_W0_温度'!E25,'12_W0_温度'!G25,'12_W0_温度'!I25))</x:f>
        <x:v>25.1</x:v>
      </x:c>
      <x:c r="G241" s="90" t="n">
        <x:f>IF(E241&lt;2,"",STDEV.S('12_W0_温度'!C25,'12_W0_温度'!E25,'12_W0_温度'!G25,'12_W0_温度'!I25))</x:f>
        <x:v>0.42426406871192923</x:v>
      </x:c>
      <x:c r="H241" s="90" t="n">
        <x:f>IF(E241=0,"",MIN('12_W0_温度'!C25,'12_W0_温度'!E25,'12_W0_温度'!G25,'12_W0_温度'!I25))</x:f>
        <x:v>24.7</x:v>
      </x:c>
      <x:c r="I241" s="90" t="n">
        <x:f>IF(E241=0,"",MAX('12_W0_温度'!C25,'12_W0_温度'!E25,'12_W0_温度'!G25,'12_W0_温度'!I25))</x:f>
        <x:v>25.6</x:v>
      </x:c>
      <x:c r="J241" s="32" t="str">
        <x:v>℃</x:v>
      </x:c>
    </x:row>
    <x:row r="242">
      <x:c r="A242" s="72" t="n">
        <x:v>46240.875613425924</x:v>
      </x:c>
      <x:c r="B242" s="32" t="str">
        <x:v>土壤温度</x:v>
      </x:c>
      <x:c r="C242" s="32" t="str">
        <x:v>W0</x:v>
      </x:c>
      <x:c r="D242" s="32" t="str">
        <x:v>V1</x:v>
      </x:c>
      <x:c r="E242" s="86" t="n">
        <x:f>COUNT('12_W0_温度'!B26,'12_W0_温度'!D26,'12_W0_温度'!F26,'12_W0_温度'!H26)</x:f>
        <x:v>4</x:v>
      </x:c>
      <x:c r="F242" s="90" t="n">
        <x:f>IF(E242=0,"",AVERAGE('12_W0_温度'!B26,'12_W0_温度'!D26,'12_W0_温度'!F26,'12_W0_温度'!H26))</x:f>
        <x:v>25.1</x:v>
      </x:c>
      <x:c r="G242" s="90" t="n">
        <x:f>IF(E242&lt;2,"",STDEV.S('12_W0_温度'!B26,'12_W0_温度'!D26,'12_W0_温度'!F26,'12_W0_温度'!H26))</x:f>
        <x:v>0.40824829046386274</x:v>
      </x:c>
      <x:c r="H242" s="90" t="n">
        <x:f>IF(E242=0,"",MIN('12_W0_温度'!B26,'12_W0_温度'!D26,'12_W0_温度'!F26,'12_W0_温度'!H26))</x:f>
        <x:v>24.7</x:v>
      </x:c>
      <x:c r="I242" s="90" t="n">
        <x:f>IF(E242=0,"",MAX('12_W0_温度'!B26,'12_W0_温度'!D26,'12_W0_温度'!F26,'12_W0_温度'!H26))</x:f>
        <x:v>25.5</x:v>
      </x:c>
      <x:c r="J242" s="32" t="str">
        <x:v>℃</x:v>
      </x:c>
    </x:row>
    <x:row r="243">
      <x:c r="A243" s="72" t="n">
        <x:v>46240.875613425924</x:v>
      </x:c>
      <x:c r="B243" s="32" t="str">
        <x:v>土壤温度</x:v>
      </x:c>
      <x:c r="C243" s="32" t="str">
        <x:v>W0</x:v>
      </x:c>
      <x:c r="D243" s="32" t="str">
        <x:v>V2</x:v>
      </x:c>
      <x:c r="E243" s="86" t="n">
        <x:f>COUNT('12_W0_温度'!C26,'12_W0_温度'!E26,'12_W0_温度'!G26,'12_W0_温度'!I26)</x:f>
        <x:v>4</x:v>
      </x:c>
      <x:c r="F243" s="90" t="n">
        <x:f>IF(E243=0,"",AVERAGE('12_W0_温度'!C26,'12_W0_温度'!E26,'12_W0_温度'!G26,'12_W0_温度'!I26))</x:f>
        <x:v>25.075</x:v>
      </x:c>
      <x:c r="G243" s="90" t="n">
        <x:f>IF(E243&lt;2,"",STDEV.S('12_W0_温度'!C26,'12_W0_温度'!E26,'12_W0_温度'!G26,'12_W0_温度'!I26))</x:f>
        <x:v>0.4349329450233297</x:v>
      </x:c>
      <x:c r="H243" s="90" t="n">
        <x:f>IF(E243=0,"",MIN('12_W0_温度'!C26,'12_W0_温度'!E26,'12_W0_温度'!G26,'12_W0_温度'!I26))</x:f>
        <x:v>24.7</x:v>
      </x:c>
      <x:c r="I243" s="90" t="n">
        <x:f>IF(E243=0,"",MAX('12_W0_温度'!C26,'12_W0_温度'!E26,'12_W0_温度'!G26,'12_W0_温度'!I26))</x:f>
        <x:v>25.5</x:v>
      </x:c>
      <x:c r="J243" s="32" t="str">
        <x:v>℃</x:v>
      </x:c>
    </x:row>
    <x:row r="244">
      <x:c r="A244" s="72" t="n">
        <x:v>46240.87908564815</x:v>
      </x:c>
      <x:c r="B244" s="32" t="str">
        <x:v>土壤温度</x:v>
      </x:c>
      <x:c r="C244" s="32" t="str">
        <x:v>W0</x:v>
      </x:c>
      <x:c r="D244" s="32" t="str">
        <x:v>V1</x:v>
      </x:c>
      <x:c r="E244" s="86" t="n">
        <x:f>COUNT('12_W0_温度'!B27,'12_W0_温度'!D27,'12_W0_温度'!F27,'12_W0_温度'!H27)</x:f>
        <x:v>4</x:v>
      </x:c>
      <x:c r="F244" s="90" t="n">
        <x:f>IF(E244=0,"",AVERAGE('12_W0_温度'!B27,'12_W0_温度'!D27,'12_W0_温度'!F27,'12_W0_温度'!H27))</x:f>
        <x:v>25.1</x:v>
      </x:c>
      <x:c r="G244" s="90" t="n">
        <x:f>IF(E244&lt;2,"",STDEV.S('12_W0_温度'!B27,'12_W0_温度'!D27,'12_W0_温度'!F27,'12_W0_温度'!H27))</x:f>
        <x:v>0.4396968652757643</x:v>
      </x:c>
      <x:c r="H244" s="90" t="n">
        <x:f>IF(E244=0,"",MIN('12_W0_温度'!B27,'12_W0_温度'!D27,'12_W0_温度'!F27,'12_W0_温度'!H27))</x:f>
        <x:v>24.6</x:v>
      </x:c>
      <x:c r="I244" s="90" t="n">
        <x:f>IF(E244=0,"",MAX('12_W0_温度'!B27,'12_W0_温度'!D27,'12_W0_温度'!F27,'12_W0_温度'!H27))</x:f>
        <x:v>25.6</x:v>
      </x:c>
      <x:c r="J244" s="32" t="str">
        <x:v>℃</x:v>
      </x:c>
    </x:row>
    <x:row r="245">
      <x:c r="A245" s="72" t="n">
        <x:v>46240.87908564815</x:v>
      </x:c>
      <x:c r="B245" s="32" t="str">
        <x:v>土壤温度</x:v>
      </x:c>
      <x:c r="C245" s="32" t="str">
        <x:v>W0</x:v>
      </x:c>
      <x:c r="D245" s="32" t="str">
        <x:v>V2</x:v>
      </x:c>
      <x:c r="E245" s="86" t="n">
        <x:f>COUNT('12_W0_温度'!C27,'12_W0_温度'!E27,'12_W0_温度'!G27,'12_W0_温度'!I27)</x:f>
        <x:v>4</x:v>
      </x:c>
      <x:c r="F245" s="90" t="n">
        <x:f>IF(E245=0,"",AVERAGE('12_W0_温度'!C27,'12_W0_温度'!E27,'12_W0_温度'!G27,'12_W0_温度'!I27))</x:f>
        <x:v>25.1</x:v>
      </x:c>
      <x:c r="G245" s="90" t="n">
        <x:f>IF(E245&lt;2,"",STDEV.S('12_W0_温度'!C27,'12_W0_温度'!E27,'12_W0_温度'!G27,'12_W0_温度'!I27))</x:f>
        <x:v>0.40824829046386274</x:v>
      </x:c>
      <x:c r="H245" s="90" t="n">
        <x:f>IF(E245=0,"",MIN('12_W0_温度'!C27,'12_W0_温度'!E27,'12_W0_温度'!G27,'12_W0_温度'!I27))</x:f>
        <x:v>24.7</x:v>
      </x:c>
      <x:c r="I245" s="90" t="n">
        <x:f>IF(E245=0,"",MAX('12_W0_温度'!C27,'12_W0_温度'!E27,'12_W0_温度'!G27,'12_W0_温度'!I27))</x:f>
        <x:v>25.5</x:v>
      </x:c>
      <x:c r="J245" s="32" t="str">
        <x:v>℃</x:v>
      </x:c>
    </x:row>
    <x:row r="246">
      <x:c r="A246" s="72" t="n">
        <x:v>46240.88255787037</x:v>
      </x:c>
      <x:c r="B246" s="32" t="str">
        <x:v>土壤温度</x:v>
      </x:c>
      <x:c r="C246" s="32" t="str">
        <x:v>W0</x:v>
      </x:c>
      <x:c r="D246" s="32" t="str">
        <x:v>V1</x:v>
      </x:c>
      <x:c r="E246" s="86" t="n">
        <x:f>COUNT('12_W0_温度'!B28,'12_W0_温度'!D28,'12_W0_温度'!F28,'12_W0_温度'!H28)</x:f>
        <x:v>4</x:v>
      </x:c>
      <x:c r="F246" s="90" t="n">
        <x:f>IF(E246=0,"",AVERAGE('12_W0_温度'!B28,'12_W0_温度'!D28,'12_W0_温度'!F28,'12_W0_温度'!H28))</x:f>
        <x:v>25.125</x:v>
      </x:c>
      <x:c r="G246" s="90" t="n">
        <x:f>IF(E246&lt;2,"",STDEV.S('12_W0_温度'!B28,'12_W0_温度'!D28,'12_W0_温度'!F28,'12_W0_温度'!H28))</x:f>
        <x:v>0.41129875597510207</x:v>
      </x:c>
      <x:c r="H246" s="90" t="n">
        <x:f>IF(E246=0,"",MIN('12_W0_温度'!B28,'12_W0_温度'!D28,'12_W0_温度'!F28,'12_W0_温度'!H28))</x:f>
        <x:v>24.6</x:v>
      </x:c>
      <x:c r="I246" s="90" t="n">
        <x:f>IF(E246=0,"",MAX('12_W0_温度'!B28,'12_W0_温度'!D28,'12_W0_温度'!F28,'12_W0_温度'!H28))</x:f>
        <x:v>25.6</x:v>
      </x:c>
      <x:c r="J246" s="32" t="str">
        <x:v>℃</x:v>
      </x:c>
    </x:row>
    <x:row r="247">
      <x:c r="A247" s="72" t="n">
        <x:v>46240.88255787037</x:v>
      </x:c>
      <x:c r="B247" s="32" t="str">
        <x:v>土壤温度</x:v>
      </x:c>
      <x:c r="C247" s="32" t="str">
        <x:v>W0</x:v>
      </x:c>
      <x:c r="D247" s="32" t="str">
        <x:v>V2</x:v>
      </x:c>
      <x:c r="E247" s="86" t="n">
        <x:f>COUNT('12_W0_温度'!C28,'12_W0_温度'!E28,'12_W0_温度'!G28,'12_W0_温度'!I28)</x:f>
        <x:v>4</x:v>
      </x:c>
      <x:c r="F247" s="90" t="n">
        <x:f>IF(E247=0,"",AVERAGE('12_W0_温度'!C28,'12_W0_温度'!E28,'12_W0_温度'!G28,'12_W0_温度'!I28))</x:f>
        <x:v>25.1</x:v>
      </x:c>
      <x:c r="G247" s="90" t="n">
        <x:f>IF(E247&lt;2,"",STDEV.S('12_W0_温度'!C28,'12_W0_温度'!E28,'12_W0_温度'!G28,'12_W0_温度'!I28))</x:f>
        <x:v>0.4396968652757643</x:v>
      </x:c>
      <x:c r="H247" s="90" t="n">
        <x:f>IF(E247=0,"",MIN('12_W0_温度'!C28,'12_W0_温度'!E28,'12_W0_温度'!G28,'12_W0_温度'!I28))</x:f>
        <x:v>24.6</x:v>
      </x:c>
      <x:c r="I247" s="90" t="n">
        <x:f>IF(E247=0,"",MAX('12_W0_温度'!C28,'12_W0_温度'!E28,'12_W0_温度'!G28,'12_W0_温度'!I28))</x:f>
        <x:v>25.6</x:v>
      </x:c>
      <x:c r="J247" s="32" t="str">
        <x:v>℃</x:v>
      </x:c>
    </x:row>
    <x:row r="248">
      <x:c r="A248" s="72" t="n">
        <x:v>46240.886030092595</x:v>
      </x:c>
      <x:c r="B248" s="32" t="str">
        <x:v>土壤温度</x:v>
      </x:c>
      <x:c r="C248" s="32" t="str">
        <x:v>W0</x:v>
      </x:c>
      <x:c r="D248" s="32" t="str">
        <x:v>V1</x:v>
      </x:c>
      <x:c r="E248" s="86" t="n">
        <x:f>COUNT('12_W0_温度'!B29,'12_W0_温度'!D29,'12_W0_温度'!F29,'12_W0_温度'!H29)</x:f>
        <x:v>4</x:v>
      </x:c>
      <x:c r="F248" s="90" t="n">
        <x:f>IF(E248=0,"",AVERAGE('12_W0_温度'!B29,'12_W0_温度'!D29,'12_W0_温度'!F29,'12_W0_温度'!H29))</x:f>
        <x:v>25.125</x:v>
      </x:c>
      <x:c r="G248" s="90" t="n">
        <x:f>IF(E248&lt;2,"",STDEV.S('12_W0_温度'!B29,'12_W0_温度'!D29,'12_W0_温度'!F29,'12_W0_温度'!H29))</x:f>
        <x:v>0.41129875597510207</x:v>
      </x:c>
      <x:c r="H248" s="90" t="n">
        <x:f>IF(E248=0,"",MIN('12_W0_温度'!B29,'12_W0_温度'!D29,'12_W0_温度'!F29,'12_W0_温度'!H29))</x:f>
        <x:v>24.6</x:v>
      </x:c>
      <x:c r="I248" s="90" t="n">
        <x:f>IF(E248=0,"",MAX('12_W0_温度'!B29,'12_W0_温度'!D29,'12_W0_温度'!F29,'12_W0_温度'!H29))</x:f>
        <x:v>25.6</x:v>
      </x:c>
      <x:c r="J248" s="32" t="str">
        <x:v>℃</x:v>
      </x:c>
    </x:row>
    <x:row r="249">
      <x:c r="A249" s="72" t="n">
        <x:v>46240.886030092595</x:v>
      </x:c>
      <x:c r="B249" s="32" t="str">
        <x:v>土壤温度</x:v>
      </x:c>
      <x:c r="C249" s="32" t="str">
        <x:v>W0</x:v>
      </x:c>
      <x:c r="D249" s="32" t="str">
        <x:v>V2</x:v>
      </x:c>
      <x:c r="E249" s="86" t="n">
        <x:f>COUNT('12_W0_温度'!C29,'12_W0_温度'!E29,'12_W0_温度'!G29,'12_W0_温度'!I29)</x:f>
        <x:v>4</x:v>
      </x:c>
      <x:c r="F249" s="90" t="n">
        <x:f>IF(E249=0,"",AVERAGE('12_W0_温度'!C29,'12_W0_温度'!E29,'12_W0_温度'!G29,'12_W0_温度'!I29))</x:f>
        <x:v>25.125</x:v>
      </x:c>
      <x:c r="G249" s="90" t="n">
        <x:f>IF(E249&lt;2,"",STDEV.S('12_W0_温度'!C29,'12_W0_温度'!E29,'12_W0_温度'!G29,'12_W0_温度'!I29))</x:f>
        <x:v>0.41129875597510207</x:v>
      </x:c>
      <x:c r="H249" s="90" t="n">
        <x:f>IF(E249=0,"",MIN('12_W0_温度'!C29,'12_W0_温度'!E29,'12_W0_温度'!G29,'12_W0_温度'!I29))</x:f>
        <x:v>24.6</x:v>
      </x:c>
      <x:c r="I249" s="90" t="n">
        <x:f>IF(E249=0,"",MAX('12_W0_温度'!C29,'12_W0_温度'!E29,'12_W0_温度'!G29,'12_W0_温度'!I29))</x:f>
        <x:v>25.6</x:v>
      </x:c>
      <x:c r="J249" s="32" t="str">
        <x:v>℃</x:v>
      </x:c>
    </x:row>
    <x:row r="250">
      <x:c r="A250" s="72" t="n">
        <x:v>46240.889502314814</x:v>
      </x:c>
      <x:c r="B250" s="32" t="str">
        <x:v>土壤温度</x:v>
      </x:c>
      <x:c r="C250" s="32" t="str">
        <x:v>W0</x:v>
      </x:c>
      <x:c r="D250" s="32" t="str">
        <x:v>V1</x:v>
      </x:c>
      <x:c r="E250" s="86" t="n">
        <x:f>COUNT('12_W0_温度'!B30,'12_W0_温度'!D30,'12_W0_温度'!F30,'12_W0_温度'!H30)</x:f>
        <x:v>4</x:v>
      </x:c>
      <x:c r="F250" s="90" t="n">
        <x:f>IF(E250=0,"",AVERAGE('12_W0_温度'!B30,'12_W0_温度'!D30,'12_W0_温度'!F30,'12_W0_温度'!H30))</x:f>
        <x:v>25.150000000000002</x:v>
      </x:c>
      <x:c r="G250" s="90" t="n">
        <x:f>IF(E250&lt;2,"",STDEV.S('12_W0_温度'!B30,'12_W0_温度'!D30,'12_W0_温度'!F30,'12_W0_温度'!H30))</x:f>
        <x:v>0.3872983346207426</x:v>
      </x:c>
      <x:c r="H250" s="90" t="n">
        <x:f>IF(E250=0,"",MIN('12_W0_温度'!B30,'12_W0_温度'!D30,'12_W0_温度'!F30,'12_W0_温度'!H30))</x:f>
        <x:v>24.7</x:v>
      </x:c>
      <x:c r="I250" s="90" t="n">
        <x:f>IF(E250=0,"",MAX('12_W0_温度'!B30,'12_W0_温度'!D30,'12_W0_温度'!F30,'12_W0_温度'!H30))</x:f>
        <x:v>25.6</x:v>
      </x:c>
      <x:c r="J250" s="32" t="str">
        <x:v>℃</x:v>
      </x:c>
    </x:row>
    <x:row r="251">
      <x:c r="A251" s="72" t="n">
        <x:v>46240.889502314814</x:v>
      </x:c>
      <x:c r="B251" s="32" t="str">
        <x:v>土壤温度</x:v>
      </x:c>
      <x:c r="C251" s="32" t="str">
        <x:v>W0</x:v>
      </x:c>
      <x:c r="D251" s="32" t="str">
        <x:v>V2</x:v>
      </x:c>
      <x:c r="E251" s="86" t="n">
        <x:f>COUNT('12_W0_温度'!C30,'12_W0_温度'!E30,'12_W0_温度'!G30,'12_W0_温度'!I30)</x:f>
        <x:v>4</x:v>
      </x:c>
      <x:c r="F251" s="90" t="n">
        <x:f>IF(E251=0,"",AVERAGE('12_W0_温度'!C30,'12_W0_温度'!E30,'12_W0_温度'!G30,'12_W0_温度'!I30))</x:f>
        <x:v>25.125</x:v>
      </x:c>
      <x:c r="G251" s="90" t="n">
        <x:f>IF(E251&lt;2,"",STDEV.S('12_W0_温度'!C30,'12_W0_温度'!E30,'12_W0_温度'!G30,'12_W0_温度'!I30))</x:f>
        <x:v>0.41129875597510207</x:v>
      </x:c>
      <x:c r="H251" s="90" t="n">
        <x:f>IF(E251=0,"",MIN('12_W0_温度'!C30,'12_W0_温度'!E30,'12_W0_温度'!G30,'12_W0_温度'!I30))</x:f>
        <x:v>24.6</x:v>
      </x:c>
      <x:c r="I251" s="90" t="n">
        <x:f>IF(E251=0,"",MAX('12_W0_温度'!C30,'12_W0_温度'!E30,'12_W0_温度'!G30,'12_W0_温度'!I30))</x:f>
        <x:v>25.6</x:v>
      </x:c>
      <x:c r="J251" s="32" t="str">
        <x:v>℃</x:v>
      </x:c>
    </x:row>
    <x:row r="252">
      <x:c r="A252" s="72" t="n">
        <x:v>46240.89297453704</x:v>
      </x:c>
      <x:c r="B252" s="32" t="str">
        <x:v>土壤温度</x:v>
      </x:c>
      <x:c r="C252" s="32" t="str">
        <x:v>W0</x:v>
      </x:c>
      <x:c r="D252" s="32" t="str">
        <x:v>V1</x:v>
      </x:c>
      <x:c r="E252" s="86" t="n">
        <x:f>COUNT('12_W0_温度'!B31,'12_W0_温度'!D31,'12_W0_温度'!F31,'12_W0_温度'!H31)</x:f>
        <x:v>4</x:v>
      </x:c>
      <x:c r="F252" s="90" t="n">
        <x:f>IF(E252=0,"",AVERAGE('12_W0_温度'!B31,'12_W0_温度'!D31,'12_W0_温度'!F31,'12_W0_温度'!H31))</x:f>
        <x:v>25.099999999999998</x:v>
      </x:c>
      <x:c r="G252" s="90" t="n">
        <x:f>IF(E252&lt;2,"",STDEV.S('12_W0_温度'!B31,'12_W0_温度'!D31,'12_W0_温度'!F31,'12_W0_温度'!H31))</x:f>
        <x:v>0.40824829046386274</x:v>
      </x:c>
      <x:c r="H252" s="90" t="n">
        <x:f>IF(E252=0,"",MIN('12_W0_温度'!B31,'12_W0_温度'!D31,'12_W0_温度'!F31,'12_W0_温度'!H31))</x:f>
        <x:v>24.7</x:v>
      </x:c>
      <x:c r="I252" s="90" t="n">
        <x:f>IF(E252=0,"",MAX('12_W0_温度'!B31,'12_W0_温度'!D31,'12_W0_温度'!F31,'12_W0_温度'!H31))</x:f>
        <x:v>25.5</x:v>
      </x:c>
      <x:c r="J252" s="32" t="str">
        <x:v>℃</x:v>
      </x:c>
    </x:row>
    <x:row r="253">
      <x:c r="A253" s="72" t="n">
        <x:v>46240.89297453704</x:v>
      </x:c>
      <x:c r="B253" s="32" t="str">
        <x:v>土壤温度</x:v>
      </x:c>
      <x:c r="C253" s="32" t="str">
        <x:v>W0</x:v>
      </x:c>
      <x:c r="D253" s="32" t="str">
        <x:v>V2</x:v>
      </x:c>
      <x:c r="E253" s="86" t="n">
        <x:f>COUNT('12_W0_温度'!C31,'12_W0_温度'!E31,'12_W0_温度'!G31,'12_W0_温度'!I31)</x:f>
        <x:v>4</x:v>
      </x:c>
      <x:c r="F253" s="90" t="n">
        <x:f>IF(E253=0,"",AVERAGE('12_W0_温度'!C31,'12_W0_温度'!E31,'12_W0_温度'!G31,'12_W0_温度'!I31))</x:f>
        <x:v>25.150000000000002</x:v>
      </x:c>
      <x:c r="G253" s="90" t="n">
        <x:f>IF(E253&lt;2,"",STDEV.S('12_W0_温度'!C31,'12_W0_温度'!E31,'12_W0_温度'!G31,'12_W0_温度'!I31))</x:f>
        <x:v>0.3872983346207426</x:v>
      </x:c>
      <x:c r="H253" s="90" t="n">
        <x:f>IF(E253=0,"",MIN('12_W0_温度'!C31,'12_W0_温度'!E31,'12_W0_温度'!G31,'12_W0_温度'!I31))</x:f>
        <x:v>24.7</x:v>
      </x:c>
      <x:c r="I253" s="90" t="n">
        <x:f>IF(E253=0,"",MAX('12_W0_温度'!C31,'12_W0_温度'!E31,'12_W0_温度'!G31,'12_W0_温度'!I31))</x:f>
        <x:v>25.6</x:v>
      </x:c>
      <x:c r="J253" s="32" t="str">
        <x:v>℃</x:v>
      </x:c>
    </x:row>
    <x:row r="254">
      <x:c r="A254" s="72" t="n">
        <x:v>46240.89644675926</x:v>
      </x:c>
      <x:c r="B254" s="32" t="str">
        <x:v>土壤温度</x:v>
      </x:c>
      <x:c r="C254" s="32" t="str">
        <x:v>W0</x:v>
      </x:c>
      <x:c r="D254" s="32" t="str">
        <x:v>V1</x:v>
      </x:c>
      <x:c r="E254" s="86" t="n">
        <x:f>COUNT('12_W0_温度'!B32,'12_W0_温度'!D32,'12_W0_温度'!F32,'12_W0_温度'!H32)</x:f>
        <x:v>4</x:v>
      </x:c>
      <x:c r="F254" s="90" t="n">
        <x:f>IF(E254=0,"",AVERAGE('12_W0_温度'!B32,'12_W0_温度'!D32,'12_W0_温度'!F32,'12_W0_温度'!H32))</x:f>
        <x:v>25.099999999999998</x:v>
      </x:c>
      <x:c r="G254" s="90" t="n">
        <x:f>IF(E254&lt;2,"",STDEV.S('12_W0_温度'!B32,'12_W0_温度'!D32,'12_W0_温度'!F32,'12_W0_温度'!H32))</x:f>
        <x:v>0.40824829046386274</x:v>
      </x:c>
      <x:c r="H254" s="90" t="n">
        <x:f>IF(E254=0,"",MIN('12_W0_温度'!B32,'12_W0_温度'!D32,'12_W0_温度'!F32,'12_W0_温度'!H32))</x:f>
        <x:v>24.7</x:v>
      </x:c>
      <x:c r="I254" s="90" t="n">
        <x:f>IF(E254=0,"",MAX('12_W0_温度'!B32,'12_W0_温度'!D32,'12_W0_温度'!F32,'12_W0_温度'!H32))</x:f>
        <x:v>25.5</x:v>
      </x:c>
      <x:c r="J254" s="32" t="str">
        <x:v>℃</x:v>
      </x:c>
    </x:row>
    <x:row r="255">
      <x:c r="A255" s="72" t="n">
        <x:v>46240.89644675926</x:v>
      </x:c>
      <x:c r="B255" s="32" t="str">
        <x:v>土壤温度</x:v>
      </x:c>
      <x:c r="C255" s="32" t="str">
        <x:v>W0</x:v>
      </x:c>
      <x:c r="D255" s="32" t="str">
        <x:v>V2</x:v>
      </x:c>
      <x:c r="E255" s="86" t="n">
        <x:f>COUNT('12_W0_温度'!C32,'12_W0_温度'!E32,'12_W0_温度'!G32,'12_W0_温度'!I32)</x:f>
        <x:v>4</x:v>
      </x:c>
      <x:c r="F255" s="90" t="n">
        <x:f>IF(E255=0,"",AVERAGE('12_W0_温度'!C32,'12_W0_温度'!E32,'12_W0_温度'!G32,'12_W0_温度'!I32))</x:f>
        <x:v>25.099999999999998</x:v>
      </x:c>
      <x:c r="G255" s="90" t="n">
        <x:f>IF(E255&lt;2,"",STDEV.S('12_W0_温度'!C32,'12_W0_温度'!E32,'12_W0_温度'!G32,'12_W0_温度'!I32))</x:f>
        <x:v>0.40824829046386274</x:v>
      </x:c>
      <x:c r="H255" s="90" t="n">
        <x:f>IF(E255=0,"",MIN('12_W0_温度'!C32,'12_W0_温度'!E32,'12_W0_温度'!G32,'12_W0_温度'!I32))</x:f>
        <x:v>24.7</x:v>
      </x:c>
      <x:c r="I255" s="90" t="n">
        <x:f>IF(E255=0,"",MAX('12_W0_温度'!C32,'12_W0_温度'!E32,'12_W0_温度'!G32,'12_W0_温度'!I32))</x:f>
        <x:v>25.5</x:v>
      </x:c>
      <x:c r="J255" s="32" t="str">
        <x:v>℃</x:v>
      </x:c>
    </x:row>
    <x:row r="256">
      <x:c r="A256" s="72" t="n">
        <x:v>46240.89991898148</x:v>
      </x:c>
      <x:c r="B256" s="32" t="str">
        <x:v>土壤温度</x:v>
      </x:c>
      <x:c r="C256" s="32" t="str">
        <x:v>W0</x:v>
      </x:c>
      <x:c r="D256" s="32" t="str">
        <x:v>V1</x:v>
      </x:c>
      <x:c r="E256" s="86" t="n">
        <x:f>COUNT('12_W0_温度'!B33,'12_W0_温度'!D33,'12_W0_温度'!F33,'12_W0_温度'!H33)</x:f>
        <x:v>4</x:v>
      </x:c>
      <x:c r="F256" s="90" t="n">
        <x:f>IF(E256=0,"",AVERAGE('12_W0_温度'!B33,'12_W0_温度'!D33,'12_W0_温度'!F33,'12_W0_温度'!H33))</x:f>
        <x:v>25.125</x:v>
      </x:c>
      <x:c r="G256" s="90" t="n">
        <x:f>IF(E256&lt;2,"",STDEV.S('12_W0_温度'!B33,'12_W0_温度'!D33,'12_W0_温度'!F33,'12_W0_温度'!H33))</x:f>
        <x:v>0.4031128874149287</x:v>
      </x:c>
      <x:c r="H256" s="90" t="n">
        <x:f>IF(E256=0,"",MIN('12_W0_温度'!B33,'12_W0_温度'!D33,'12_W0_温度'!F33,'12_W0_温度'!H33))</x:f>
        <x:v>24.7</x:v>
      </x:c>
      <x:c r="I256" s="90" t="n">
        <x:f>IF(E256=0,"",MAX('12_W0_温度'!B33,'12_W0_温度'!D33,'12_W0_温度'!F33,'12_W0_温度'!H33))</x:f>
        <x:v>25.6</x:v>
      </x:c>
      <x:c r="J256" s="32" t="str">
        <x:v>℃</x:v>
      </x:c>
    </x:row>
    <x:row r="257">
      <x:c r="A257" s="72" t="n">
        <x:v>46240.89991898148</x:v>
      </x:c>
      <x:c r="B257" s="32" t="str">
        <x:v>土壤温度</x:v>
      </x:c>
      <x:c r="C257" s="32" t="str">
        <x:v>W0</x:v>
      </x:c>
      <x:c r="D257" s="32" t="str">
        <x:v>V2</x:v>
      </x:c>
      <x:c r="E257" s="86" t="n">
        <x:f>COUNT('12_W0_温度'!C33,'12_W0_温度'!E33,'12_W0_温度'!G33,'12_W0_温度'!I33)</x:f>
        <x:v>4</x:v>
      </x:c>
      <x:c r="F257" s="90" t="n">
        <x:f>IF(E257=0,"",AVERAGE('12_W0_温度'!C33,'12_W0_温度'!E33,'12_W0_温度'!G33,'12_W0_温度'!I33))</x:f>
        <x:v>25.099999999999998</x:v>
      </x:c>
      <x:c r="G257" s="90" t="n">
        <x:f>IF(E257&lt;2,"",STDEV.S('12_W0_温度'!C33,'12_W0_温度'!E33,'12_W0_温度'!G33,'12_W0_温度'!I33))</x:f>
        <x:v>0.40824829046386274</x:v>
      </x:c>
      <x:c r="H257" s="90" t="n">
        <x:f>IF(E257=0,"",MIN('12_W0_温度'!C33,'12_W0_温度'!E33,'12_W0_温度'!G33,'12_W0_温度'!I33))</x:f>
        <x:v>24.7</x:v>
      </x:c>
      <x:c r="I257" s="90" t="n">
        <x:f>IF(E257=0,"",MAX('12_W0_温度'!C33,'12_W0_温度'!E33,'12_W0_温度'!G33,'12_W0_温度'!I33))</x:f>
        <x:v>25.5</x:v>
      </x:c>
      <x:c r="J257" s="32" t="str">
        <x:v>℃</x:v>
      </x:c>
    </x:row>
    <x:row r="258">
      <x:c r="A258" s="72" t="n">
        <x:v>46240.903391203705</x:v>
      </x:c>
      <x:c r="B258" s="32" t="str">
        <x:v>土壤温度</x:v>
      </x:c>
      <x:c r="C258" s="32" t="str">
        <x:v>W0</x:v>
      </x:c>
      <x:c r="D258" s="32" t="str">
        <x:v>V1</x:v>
      </x:c>
      <x:c r="E258" s="86" t="n">
        <x:f>COUNT('12_W0_温度'!B34,'12_W0_温度'!D34,'12_W0_温度'!F34,'12_W0_温度'!H34)</x:f>
        <x:v>4</x:v>
      </x:c>
      <x:c r="F258" s="90" t="n">
        <x:f>IF(E258=0,"",AVERAGE('12_W0_温度'!B34,'12_W0_温度'!D34,'12_W0_温度'!F34,'12_W0_温度'!H34))</x:f>
        <x:v>25.125</x:v>
      </x:c>
      <x:c r="G258" s="90" t="n">
        <x:f>IF(E258&lt;2,"",STDEV.S('12_W0_温度'!B34,'12_W0_温度'!D34,'12_W0_温度'!F34,'12_W0_温度'!H34))</x:f>
        <x:v>0.41129875597510207</x:v>
      </x:c>
      <x:c r="H258" s="90" t="n">
        <x:f>IF(E258=0,"",MIN('12_W0_温度'!B34,'12_W0_温度'!D34,'12_W0_温度'!F34,'12_W0_温度'!H34))</x:f>
        <x:v>24.6</x:v>
      </x:c>
      <x:c r="I258" s="90" t="n">
        <x:f>IF(E258=0,"",MAX('12_W0_温度'!B34,'12_W0_温度'!D34,'12_W0_温度'!F34,'12_W0_温度'!H34))</x:f>
        <x:v>25.6</x:v>
      </x:c>
      <x:c r="J258" s="32" t="str">
        <x:v>℃</x:v>
      </x:c>
    </x:row>
    <x:row r="259">
      <x:c r="A259" s="72" t="n">
        <x:v>46240.903391203705</x:v>
      </x:c>
      <x:c r="B259" s="32" t="str">
        <x:v>土壤温度</x:v>
      </x:c>
      <x:c r="C259" s="32" t="str">
        <x:v>W0</x:v>
      </x:c>
      <x:c r="D259" s="32" t="str">
        <x:v>V2</x:v>
      </x:c>
      <x:c r="E259" s="86" t="n">
        <x:f>COUNT('12_W0_温度'!C34,'12_W0_温度'!E34,'12_W0_温度'!G34,'12_W0_温度'!I34)</x:f>
        <x:v>4</x:v>
      </x:c>
      <x:c r="F259" s="90" t="n">
        <x:f>IF(E259=0,"",AVERAGE('12_W0_温度'!C34,'12_W0_温度'!E34,'12_W0_温度'!G34,'12_W0_温度'!I34))</x:f>
        <x:v>25.125</x:v>
      </x:c>
      <x:c r="G259" s="90" t="n">
        <x:f>IF(E259&lt;2,"",STDEV.S('12_W0_温度'!C34,'12_W0_温度'!E34,'12_W0_温度'!G34,'12_W0_温度'!I34))</x:f>
        <x:v>0.4031128874149287</x:v>
      </x:c>
      <x:c r="H259" s="90" t="n">
        <x:f>IF(E259=0,"",MIN('12_W0_温度'!C34,'12_W0_温度'!E34,'12_W0_温度'!G34,'12_W0_温度'!I34))</x:f>
        <x:v>24.7</x:v>
      </x:c>
      <x:c r="I259" s="90" t="n">
        <x:f>IF(E259=0,"",MAX('12_W0_温度'!C34,'12_W0_温度'!E34,'12_W0_温度'!G34,'12_W0_温度'!I34))</x:f>
        <x:v>25.6</x:v>
      </x:c>
      <x:c r="J259" s="32" t="str">
        <x:v>℃</x:v>
      </x:c>
    </x:row>
    <x:row r="260">
      <x:c r="A260" s="72" t="n">
        <x:v>46240.906863425924</x:v>
      </x:c>
      <x:c r="B260" s="32" t="str">
        <x:v>土壤温度</x:v>
      </x:c>
      <x:c r="C260" s="32" t="str">
        <x:v>W0</x:v>
      </x:c>
      <x:c r="D260" s="32" t="str">
        <x:v>V1</x:v>
      </x:c>
      <x:c r="E260" s="86" t="n">
        <x:f>COUNT('12_W0_温度'!B35,'12_W0_温度'!D35,'12_W0_温度'!F35,'12_W0_温度'!H35)</x:f>
        <x:v>4</x:v>
      </x:c>
      <x:c r="F260" s="90" t="n">
        <x:f>IF(E260=0,"",AVERAGE('12_W0_温度'!B35,'12_W0_温度'!D35,'12_W0_温度'!F35,'12_W0_温度'!H35))</x:f>
        <x:v>25.125000000000004</x:v>
      </x:c>
      <x:c r="G260" s="90" t="n">
        <x:f>IF(E260&lt;2,"",STDEV.S('12_W0_温度'!B35,'12_W0_温度'!D35,'12_W0_温度'!F35,'12_W0_温度'!H35))</x:f>
        <x:v>0.41129875597510207</x:v>
      </x:c>
      <x:c r="H260" s="90" t="n">
        <x:f>IF(E260=0,"",MIN('12_W0_温度'!B35,'12_W0_温度'!D35,'12_W0_温度'!F35,'12_W0_温度'!H35))</x:f>
        <x:v>24.6</x:v>
      </x:c>
      <x:c r="I260" s="90" t="n">
        <x:f>IF(E260=0,"",MAX('12_W0_温度'!B35,'12_W0_温度'!D35,'12_W0_温度'!F35,'12_W0_温度'!H35))</x:f>
        <x:v>25.6</x:v>
      </x:c>
      <x:c r="J260" s="32" t="str">
        <x:v>℃</x:v>
      </x:c>
    </x:row>
    <x:row r="261">
      <x:c r="A261" s="72" t="n">
        <x:v>46240.906863425924</x:v>
      </x:c>
      <x:c r="B261" s="32" t="str">
        <x:v>土壤温度</x:v>
      </x:c>
      <x:c r="C261" s="32" t="str">
        <x:v>W0</x:v>
      </x:c>
      <x:c r="D261" s="32" t="str">
        <x:v>V2</x:v>
      </x:c>
      <x:c r="E261" s="86" t="n">
        <x:f>COUNT('12_W0_温度'!C35,'12_W0_温度'!E35,'12_W0_温度'!G35,'12_W0_温度'!I35)</x:f>
        <x:v>4</x:v>
      </x:c>
      <x:c r="F261" s="90" t="n">
        <x:f>IF(E261=0,"",AVERAGE('12_W0_温度'!C35,'12_W0_温度'!E35,'12_W0_温度'!G35,'12_W0_温度'!I35))</x:f>
        <x:v>25.125</x:v>
      </x:c>
      <x:c r="G261" s="90" t="n">
        <x:f>IF(E261&lt;2,"",STDEV.S('12_W0_温度'!C35,'12_W0_温度'!E35,'12_W0_温度'!G35,'12_W0_温度'!I35))</x:f>
        <x:v>0.41129875597510207</x:v>
      </x:c>
      <x:c r="H261" s="90" t="n">
        <x:f>IF(E261=0,"",MIN('12_W0_温度'!C35,'12_W0_温度'!E35,'12_W0_温度'!G35,'12_W0_温度'!I35))</x:f>
        <x:v>24.6</x:v>
      </x:c>
      <x:c r="I261" s="90" t="n">
        <x:f>IF(E261=0,"",MAX('12_W0_温度'!C35,'12_W0_温度'!E35,'12_W0_温度'!G35,'12_W0_温度'!I35))</x:f>
        <x:v>25.6</x:v>
      </x:c>
      <x:c r="J261" s="32" t="str">
        <x:v>℃</x:v>
      </x:c>
    </x:row>
    <x:row r="262">
      <x:c r="A262" s="72" t="n">
        <x:v>46240.91033564815</x:v>
      </x:c>
      <x:c r="B262" s="32" t="str">
        <x:v>土壤温度</x:v>
      </x:c>
      <x:c r="C262" s="32" t="str">
        <x:v>W0</x:v>
      </x:c>
      <x:c r="D262" s="32" t="str">
        <x:v>V1</x:v>
      </x:c>
      <x:c r="E262" s="86" t="n">
        <x:f>COUNT('12_W0_温度'!B36,'12_W0_温度'!D36,'12_W0_温度'!F36,'12_W0_温度'!H36)</x:f>
        <x:v>4</x:v>
      </x:c>
      <x:c r="F262" s="90" t="n">
        <x:f>IF(E262=0,"",AVERAGE('12_W0_温度'!B36,'12_W0_温度'!D36,'12_W0_温度'!F36,'12_W0_温度'!H36))</x:f>
        <x:v>25.125</x:v>
      </x:c>
      <x:c r="G262" s="90" t="n">
        <x:f>IF(E262&lt;2,"",STDEV.S('12_W0_温度'!B36,'12_W0_温度'!D36,'12_W0_温度'!F36,'12_W0_温度'!H36))</x:f>
        <x:v>0.4272001872658766</x:v>
      </x:c>
      <x:c r="H262" s="90" t="n">
        <x:f>IF(E262=0,"",MIN('12_W0_温度'!B36,'12_W0_温度'!D36,'12_W0_温度'!F36,'12_W0_温度'!H36))</x:f>
        <x:v>24.6</x:v>
      </x:c>
      <x:c r="I262" s="90" t="n">
        <x:f>IF(E262=0,"",MAX('12_W0_温度'!B36,'12_W0_温度'!D36,'12_W0_温度'!F36,'12_W0_温度'!H36))</x:f>
        <x:v>25.6</x:v>
      </x:c>
      <x:c r="J262" s="32" t="str">
        <x:v>℃</x:v>
      </x:c>
    </x:row>
    <x:row r="263">
      <x:c r="A263" s="72" t="n">
        <x:v>46240.91033564815</x:v>
      </x:c>
      <x:c r="B263" s="32" t="str">
        <x:v>土壤温度</x:v>
      </x:c>
      <x:c r="C263" s="32" t="str">
        <x:v>W0</x:v>
      </x:c>
      <x:c r="D263" s="32" t="str">
        <x:v>V2</x:v>
      </x:c>
      <x:c r="E263" s="86" t="n">
        <x:f>COUNT('12_W0_温度'!C36,'12_W0_温度'!E36,'12_W0_温度'!G36,'12_W0_温度'!I36)</x:f>
        <x:v>4</x:v>
      </x:c>
      <x:c r="F263" s="90" t="n">
        <x:f>IF(E263=0,"",AVERAGE('12_W0_温度'!C36,'12_W0_温度'!E36,'12_W0_温度'!G36,'12_W0_温度'!I36))</x:f>
        <x:v>25.125000000000004</x:v>
      </x:c>
      <x:c r="G263" s="90" t="n">
        <x:f>IF(E263&lt;2,"",STDEV.S('12_W0_温度'!C36,'12_W0_温度'!E36,'12_W0_温度'!G36,'12_W0_温度'!I36))</x:f>
        <x:v>0.41129875597510207</x:v>
      </x:c>
      <x:c r="H263" s="90" t="n">
        <x:f>IF(E263=0,"",MIN('12_W0_温度'!C36,'12_W0_温度'!E36,'12_W0_温度'!G36,'12_W0_温度'!I36))</x:f>
        <x:v>24.6</x:v>
      </x:c>
      <x:c r="I263" s="90" t="n">
        <x:f>IF(E263=0,"",MAX('12_W0_温度'!C36,'12_W0_温度'!E36,'12_W0_温度'!G36,'12_W0_温度'!I36))</x:f>
        <x:v>25.6</x:v>
      </x:c>
      <x:c r="J263" s="32" t="str">
        <x:v>℃</x:v>
      </x:c>
    </x:row>
    <x:row r="264">
      <x:c r="A264" s="72" t="n">
        <x:v>46240.91380787037</x:v>
      </x:c>
      <x:c r="B264" s="32" t="str">
        <x:v>土壤温度</x:v>
      </x:c>
      <x:c r="C264" s="32" t="str">
        <x:v>W0</x:v>
      </x:c>
      <x:c r="D264" s="32" t="str">
        <x:v>V1</x:v>
      </x:c>
      <x:c r="E264" s="86" t="n">
        <x:f>COUNT('12_W0_温度'!B37,'12_W0_温度'!D37,'12_W0_温度'!F37,'12_W0_温度'!H37)</x:f>
        <x:v>4</x:v>
      </x:c>
      <x:c r="F264" s="90" t="n">
        <x:f>IF(E264=0,"",AVERAGE('12_W0_温度'!B37,'12_W0_温度'!D37,'12_W0_温度'!F37,'12_W0_温度'!H37))</x:f>
        <x:v>25.1</x:v>
      </x:c>
      <x:c r="G264" s="90" t="n">
        <x:f>IF(E264&lt;2,"",STDEV.S('12_W0_温度'!B37,'12_W0_温度'!D37,'12_W0_温度'!F37,'12_W0_温度'!H37))</x:f>
        <x:v>0.40824829046386274</x:v>
      </x:c>
      <x:c r="H264" s="90" t="n">
        <x:f>IF(E264=0,"",MIN('12_W0_温度'!B37,'12_W0_温度'!D37,'12_W0_温度'!F37,'12_W0_温度'!H37))</x:f>
        <x:v>24.7</x:v>
      </x:c>
      <x:c r="I264" s="90" t="n">
        <x:f>IF(E264=0,"",MAX('12_W0_温度'!B37,'12_W0_温度'!D37,'12_W0_温度'!F37,'12_W0_温度'!H37))</x:f>
        <x:v>25.5</x:v>
      </x:c>
      <x:c r="J264" s="32" t="str">
        <x:v>℃</x:v>
      </x:c>
    </x:row>
    <x:row r="265">
      <x:c r="A265" s="72" t="n">
        <x:v>46240.91380787037</x:v>
      </x:c>
      <x:c r="B265" s="32" t="str">
        <x:v>土壤温度</x:v>
      </x:c>
      <x:c r="C265" s="32" t="str">
        <x:v>W0</x:v>
      </x:c>
      <x:c r="D265" s="32" t="str">
        <x:v>V2</x:v>
      </x:c>
      <x:c r="E265" s="86" t="n">
        <x:f>COUNT('12_W0_温度'!C37,'12_W0_温度'!E37,'12_W0_温度'!G37,'12_W0_温度'!I37)</x:f>
        <x:v>4</x:v>
      </x:c>
      <x:c r="F265" s="90" t="n">
        <x:f>IF(E265=0,"",AVERAGE('12_W0_温度'!C37,'12_W0_温度'!E37,'12_W0_温度'!G37,'12_W0_温度'!I37))</x:f>
        <x:v>25.125</x:v>
      </x:c>
      <x:c r="G265" s="90" t="n">
        <x:f>IF(E265&lt;2,"",STDEV.S('12_W0_温度'!C37,'12_W0_温度'!E37,'12_W0_温度'!G37,'12_W0_温度'!I37))</x:f>
        <x:v>0.4272001872658766</x:v>
      </x:c>
      <x:c r="H265" s="90" t="n">
        <x:f>IF(E265=0,"",MIN('12_W0_温度'!C37,'12_W0_温度'!E37,'12_W0_温度'!G37,'12_W0_温度'!I37))</x:f>
        <x:v>24.6</x:v>
      </x:c>
      <x:c r="I265" s="90" t="n">
        <x:f>IF(E265=0,"",MAX('12_W0_温度'!C37,'12_W0_温度'!E37,'12_W0_温度'!G37,'12_W0_温度'!I37))</x:f>
        <x:v>25.6</x:v>
      </x:c>
      <x:c r="J265" s="32" t="str">
        <x:v>℃</x:v>
      </x:c>
    </x:row>
    <x:row r="266">
      <x:c r="A266" s="72" t="n">
        <x:v>46240.917280092595</x:v>
      </x:c>
      <x:c r="B266" s="32" t="str">
        <x:v>土壤温度</x:v>
      </x:c>
      <x:c r="C266" s="32" t="str">
        <x:v>W0</x:v>
      </x:c>
      <x:c r="D266" s="32" t="str">
        <x:v>V1</x:v>
      </x:c>
      <x:c r="E266" s="86" t="n">
        <x:f>COUNT('12_W0_温度'!B38,'12_W0_温度'!D38,'12_W0_温度'!F38,'12_W0_温度'!H38)</x:f>
        <x:v>4</x:v>
      </x:c>
      <x:c r="F266" s="90" t="n">
        <x:f>IF(E266=0,"",AVERAGE('12_W0_温度'!B38,'12_W0_温度'!D38,'12_W0_温度'!F38,'12_W0_温度'!H38))</x:f>
        <x:v>25.075</x:v>
      </x:c>
      <x:c r="G266" s="90" t="n">
        <x:f>IF(E266&lt;2,"",STDEV.S('12_W0_温度'!B38,'12_W0_温度'!D38,'12_W0_温度'!F38,'12_W0_温度'!H38))</x:f>
        <x:v>0.4349329450233297</x:v>
      </x:c>
      <x:c r="H266" s="90" t="n">
        <x:f>IF(E266=0,"",MIN('12_W0_温度'!B38,'12_W0_温度'!D38,'12_W0_温度'!F38,'12_W0_温度'!H38))</x:f>
        <x:v>24.7</x:v>
      </x:c>
      <x:c r="I266" s="90" t="n">
        <x:f>IF(E266=0,"",MAX('12_W0_温度'!B38,'12_W0_温度'!D38,'12_W0_温度'!F38,'12_W0_温度'!H38))</x:f>
        <x:v>25.5</x:v>
      </x:c>
      <x:c r="J266" s="32" t="str">
        <x:v>℃</x:v>
      </x:c>
    </x:row>
    <x:row r="267">
      <x:c r="A267" s="72" t="n">
        <x:v>46240.917280092595</x:v>
      </x:c>
      <x:c r="B267" s="32" t="str">
        <x:v>土壤温度</x:v>
      </x:c>
      <x:c r="C267" s="32" t="str">
        <x:v>W0</x:v>
      </x:c>
      <x:c r="D267" s="32" t="str">
        <x:v>V2</x:v>
      </x:c>
      <x:c r="E267" s="86" t="n">
        <x:f>COUNT('12_W0_温度'!C38,'12_W0_温度'!E38,'12_W0_温度'!G38,'12_W0_温度'!I38)</x:f>
        <x:v>4</x:v>
      </x:c>
      <x:c r="F267" s="90" t="n">
        <x:f>IF(E267=0,"",AVERAGE('12_W0_温度'!C38,'12_W0_温度'!E38,'12_W0_温度'!G38,'12_W0_温度'!I38))</x:f>
        <x:v>25.1</x:v>
      </x:c>
      <x:c r="G267" s="90" t="n">
        <x:f>IF(E267&lt;2,"",STDEV.S('12_W0_温度'!C38,'12_W0_温度'!E38,'12_W0_温度'!G38,'12_W0_温度'!I38))</x:f>
        <x:v>0.40824829046386274</x:v>
      </x:c>
      <x:c r="H267" s="90" t="n">
        <x:f>IF(E267=0,"",MIN('12_W0_温度'!C38,'12_W0_温度'!E38,'12_W0_温度'!G38,'12_W0_温度'!I38))</x:f>
        <x:v>24.7</x:v>
      </x:c>
      <x:c r="I267" s="90" t="n">
        <x:f>IF(E267=0,"",MAX('12_W0_温度'!C38,'12_W0_温度'!E38,'12_W0_温度'!G38,'12_W0_温度'!I38))</x:f>
        <x:v>25.5</x:v>
      </x:c>
      <x:c r="J267" s="32" t="str">
        <x:v>℃</x:v>
      </x:c>
    </x:row>
    <x:row r="268">
      <x:c r="A268" s="72" t="n">
        <x:v>46240.920752314814</x:v>
      </x:c>
      <x:c r="B268" s="32" t="str">
        <x:v>土壤温度</x:v>
      </x:c>
      <x:c r="C268" s="32" t="str">
        <x:v>W0</x:v>
      </x:c>
      <x:c r="D268" s="32" t="str">
        <x:v>V1</x:v>
      </x:c>
      <x:c r="E268" s="86" t="n">
        <x:f>COUNT('12_W0_温度'!B39,'12_W0_温度'!D39,'12_W0_温度'!F39,'12_W0_温度'!H39)</x:f>
        <x:v>4</x:v>
      </x:c>
      <x:c r="F268" s="90" t="n">
        <x:f>IF(E268=0,"",AVERAGE('12_W0_温度'!B39,'12_W0_温度'!D39,'12_W0_温度'!F39,'12_W0_温度'!H39))</x:f>
        <x:v>25.1</x:v>
      </x:c>
      <x:c r="G268" s="90" t="n">
        <x:f>IF(E268&lt;2,"",STDEV.S('12_W0_温度'!B39,'12_W0_温度'!D39,'12_W0_温度'!F39,'12_W0_温度'!H39))</x:f>
        <x:v>0.42426406871192923</x:v>
      </x:c>
      <x:c r="H268" s="90" t="n">
        <x:f>IF(E268=0,"",MIN('12_W0_温度'!B39,'12_W0_温度'!D39,'12_W0_温度'!F39,'12_W0_温度'!H39))</x:f>
        <x:v>24.7</x:v>
      </x:c>
      <x:c r="I268" s="90" t="n">
        <x:f>IF(E268=0,"",MAX('12_W0_温度'!B39,'12_W0_温度'!D39,'12_W0_温度'!F39,'12_W0_温度'!H39))</x:f>
        <x:v>25.6</x:v>
      </x:c>
      <x:c r="J268" s="32" t="str">
        <x:v>℃</x:v>
      </x:c>
    </x:row>
    <x:row r="269">
      <x:c r="A269" s="72" t="n">
        <x:v>46240.920752314814</x:v>
      </x:c>
      <x:c r="B269" s="32" t="str">
        <x:v>土壤温度</x:v>
      </x:c>
      <x:c r="C269" s="32" t="str">
        <x:v>W0</x:v>
      </x:c>
      <x:c r="D269" s="32" t="str">
        <x:v>V2</x:v>
      </x:c>
      <x:c r="E269" s="86" t="n">
        <x:f>COUNT('12_W0_温度'!C39,'12_W0_温度'!E39,'12_W0_温度'!G39,'12_W0_温度'!I39)</x:f>
        <x:v>4</x:v>
      </x:c>
      <x:c r="F269" s="90" t="n">
        <x:f>IF(E269=0,"",AVERAGE('12_W0_温度'!C39,'12_W0_温度'!E39,'12_W0_温度'!G39,'12_W0_温度'!I39))</x:f>
        <x:v>25.075</x:v>
      </x:c>
      <x:c r="G269" s="90" t="n">
        <x:f>IF(E269&lt;2,"",STDEV.S('12_W0_温度'!C39,'12_W0_温度'!E39,'12_W0_温度'!G39,'12_W0_温度'!I39))</x:f>
        <x:v>0.4349329450233297</x:v>
      </x:c>
      <x:c r="H269" s="90" t="n">
        <x:f>IF(E269=0,"",MIN('12_W0_温度'!C39,'12_W0_温度'!E39,'12_W0_温度'!G39,'12_W0_温度'!I39))</x:f>
        <x:v>24.7</x:v>
      </x:c>
      <x:c r="I269" s="90" t="n">
        <x:f>IF(E269=0,"",MAX('12_W0_温度'!C39,'12_W0_温度'!E39,'12_W0_温度'!G39,'12_W0_温度'!I39))</x:f>
        <x:v>25.5</x:v>
      </x:c>
      <x:c r="J269" s="32" t="str">
        <x:v>℃</x:v>
      </x:c>
    </x:row>
    <x:row r="270">
      <x:c r="A270" s="72" t="n">
        <x:v>46240.92422453704</x:v>
      </x:c>
      <x:c r="B270" s="32" t="str">
        <x:v>土壤温度</x:v>
      </x:c>
      <x:c r="C270" s="32" t="str">
        <x:v>W0</x:v>
      </x:c>
      <x:c r="D270" s="32" t="str">
        <x:v>V1</x:v>
      </x:c>
      <x:c r="E270" s="86" t="n">
        <x:f>COUNT('12_W0_温度'!B40,'12_W0_温度'!D40,'12_W0_温度'!F40,'12_W0_温度'!H40)</x:f>
        <x:v>4</x:v>
      </x:c>
      <x:c r="F270" s="90" t="n">
        <x:f>IF(E270=0,"",AVERAGE('12_W0_温度'!B40,'12_W0_温度'!D40,'12_W0_温度'!F40,'12_W0_温度'!H40))</x:f>
        <x:v>25.075000000000003</x:v>
      </x:c>
      <x:c r="G270" s="90" t="n">
        <x:f>IF(E270&lt;2,"",STDEV.S('12_W0_温度'!B40,'12_W0_温度'!D40,'12_W0_温度'!F40,'12_W0_温度'!H40))</x:f>
        <x:v>0.4272001872658768</x:v>
      </x:c>
      <x:c r="H270" s="90" t="n">
        <x:f>IF(E270=0,"",MIN('12_W0_温度'!B40,'12_W0_温度'!D40,'12_W0_温度'!F40,'12_W0_温度'!H40))</x:f>
        <x:v>24.6</x:v>
      </x:c>
      <x:c r="I270" s="90" t="n">
        <x:f>IF(E270=0,"",MAX('12_W0_温度'!B40,'12_W0_温度'!D40,'12_W0_温度'!F40,'12_W0_温度'!H40))</x:f>
        <x:v>25.6</x:v>
      </x:c>
      <x:c r="J270" s="32" t="str">
        <x:v>℃</x:v>
      </x:c>
    </x:row>
    <x:row r="271">
      <x:c r="A271" s="72" t="n">
        <x:v>46240.92422453704</x:v>
      </x:c>
      <x:c r="B271" s="32" t="str">
        <x:v>土壤温度</x:v>
      </x:c>
      <x:c r="C271" s="32" t="str">
        <x:v>W0</x:v>
      </x:c>
      <x:c r="D271" s="32" t="str">
        <x:v>V2</x:v>
      </x:c>
      <x:c r="E271" s="86" t="n">
        <x:f>COUNT('12_W0_温度'!C40,'12_W0_温度'!E40,'12_W0_温度'!G40,'12_W0_温度'!I40)</x:f>
        <x:v>4</x:v>
      </x:c>
      <x:c r="F271" s="90" t="n">
        <x:f>IF(E271=0,"",AVERAGE('12_W0_温度'!C40,'12_W0_温度'!E40,'12_W0_温度'!G40,'12_W0_温度'!I40))</x:f>
        <x:v>25.1</x:v>
      </x:c>
      <x:c r="G271" s="90" t="n">
        <x:f>IF(E271&lt;2,"",STDEV.S('12_W0_温度'!C40,'12_W0_温度'!E40,'12_W0_温度'!G40,'12_W0_温度'!I40))</x:f>
        <x:v>0.42426406871192923</x:v>
      </x:c>
      <x:c r="H271" s="90" t="n">
        <x:f>IF(E271=0,"",MIN('12_W0_温度'!C40,'12_W0_温度'!E40,'12_W0_温度'!G40,'12_W0_温度'!I40))</x:f>
        <x:v>24.7</x:v>
      </x:c>
      <x:c r="I271" s="90" t="n">
        <x:f>IF(E271=0,"",MAX('12_W0_温度'!C40,'12_W0_温度'!E40,'12_W0_温度'!G40,'12_W0_温度'!I40))</x:f>
        <x:v>25.6</x:v>
      </x:c>
      <x:c r="J271" s="32" t="str">
        <x:v>℃</x:v>
      </x:c>
    </x:row>
    <x:row r="272">
      <x:c r="A272" s="72" t="n">
        <x:v>46240.92769675926</x:v>
      </x:c>
      <x:c r="B272" s="32" t="str">
        <x:v>土壤温度</x:v>
      </x:c>
      <x:c r="C272" s="32" t="str">
        <x:v>W0</x:v>
      </x:c>
      <x:c r="D272" s="32" t="str">
        <x:v>V1</x:v>
      </x:c>
      <x:c r="E272" s="86" t="n">
        <x:f>COUNT('12_W0_温度'!B41,'12_W0_温度'!D41,'12_W0_温度'!F41,'12_W0_温度'!H41)</x:f>
        <x:v>4</x:v>
      </x:c>
      <x:c r="F272" s="90" t="n">
        <x:f>IF(E272=0,"",AVERAGE('12_W0_温度'!B41,'12_W0_温度'!D41,'12_W0_温度'!F41,'12_W0_温度'!H41))</x:f>
        <x:v>25.075000000000003</x:v>
      </x:c>
      <x:c r="G272" s="90" t="n">
        <x:f>IF(E272&lt;2,"",STDEV.S('12_W0_温度'!B41,'12_W0_温度'!D41,'12_W0_温度'!F41,'12_W0_温度'!H41))</x:f>
        <x:v>0.41129875597510235</x:v>
      </x:c>
      <x:c r="H272" s="90" t="n">
        <x:f>IF(E272=0,"",MIN('12_W0_温度'!B41,'12_W0_温度'!D41,'12_W0_温度'!F41,'12_W0_温度'!H41))</x:f>
        <x:v>24.6</x:v>
      </x:c>
      <x:c r="I272" s="90" t="n">
        <x:f>IF(E272=0,"",MAX('12_W0_温度'!B41,'12_W0_温度'!D41,'12_W0_温度'!F41,'12_W0_温度'!H41))</x:f>
        <x:v>25.6</x:v>
      </x:c>
      <x:c r="J272" s="32" t="str">
        <x:v>℃</x:v>
      </x:c>
    </x:row>
    <x:row r="273">
      <x:c r="A273" s="72" t="n">
        <x:v>46240.92769675926</x:v>
      </x:c>
      <x:c r="B273" s="32" t="str">
        <x:v>土壤温度</x:v>
      </x:c>
      <x:c r="C273" s="32" t="str">
        <x:v>W0</x:v>
      </x:c>
      <x:c r="D273" s="32" t="str">
        <x:v>V2</x:v>
      </x:c>
      <x:c r="E273" s="86" t="n">
        <x:f>COUNT('12_W0_温度'!C41,'12_W0_温度'!E41,'12_W0_温度'!G41,'12_W0_温度'!I41)</x:f>
        <x:v>4</x:v>
      </x:c>
      <x:c r="F273" s="90" t="n">
        <x:f>IF(E273=0,"",AVERAGE('12_W0_温度'!C41,'12_W0_温度'!E41,'12_W0_温度'!G41,'12_W0_温度'!I41))</x:f>
        <x:v>25.075000000000003</x:v>
      </x:c>
      <x:c r="G273" s="90" t="n">
        <x:f>IF(E273&lt;2,"",STDEV.S('12_W0_温度'!C41,'12_W0_温度'!E41,'12_W0_温度'!G41,'12_W0_温度'!I41))</x:f>
        <x:v>0.4272001872658768</x:v>
      </x:c>
      <x:c r="H273" s="90" t="n">
        <x:f>IF(E273=0,"",MIN('12_W0_温度'!C41,'12_W0_温度'!E41,'12_W0_温度'!G41,'12_W0_温度'!I41))</x:f>
        <x:v>24.6</x:v>
      </x:c>
      <x:c r="I273" s="90" t="n">
        <x:f>IF(E273=0,"",MAX('12_W0_温度'!C41,'12_W0_温度'!E41,'12_W0_温度'!G41,'12_W0_温度'!I41))</x:f>
        <x:v>25.6</x:v>
      </x:c>
      <x:c r="J273" s="32" t="str">
        <x:v>℃</x:v>
      </x:c>
    </x:row>
    <x:row r="274">
      <x:c r="A274" s="72" t="n">
        <x:v>46240.93116898148</x:v>
      </x:c>
      <x:c r="B274" s="32" t="str">
        <x:v>土壤温度</x:v>
      </x:c>
      <x:c r="C274" s="32" t="str">
        <x:v>W0</x:v>
      </x:c>
      <x:c r="D274" s="32" t="str">
        <x:v>V1</x:v>
      </x:c>
      <x:c r="E274" s="86" t="n">
        <x:f>COUNT('12_W0_温度'!B42,'12_W0_温度'!D42,'12_W0_温度'!F42,'12_W0_温度'!H42)</x:f>
        <x:v>4</x:v>
      </x:c>
      <x:c r="F274" s="90" t="n">
        <x:f>IF(E274=0,"",AVERAGE('12_W0_温度'!B42,'12_W0_温度'!D42,'12_W0_温度'!F42,'12_W0_温度'!H42))</x:f>
        <x:v>25.1</x:v>
      </x:c>
      <x:c r="G274" s="90" t="n">
        <x:f>IF(E274&lt;2,"",STDEV.S('12_W0_温度'!B42,'12_W0_温度'!D42,'12_W0_温度'!F42,'12_W0_温度'!H42))</x:f>
        <x:v>0.4163331998932265</x:v>
      </x:c>
      <x:c r="H274" s="90" t="n">
        <x:f>IF(E274=0,"",MIN('12_W0_温度'!B42,'12_W0_温度'!D42,'12_W0_温度'!F42,'12_W0_温度'!H42))</x:f>
        <x:v>24.6</x:v>
      </x:c>
      <x:c r="I274" s="90" t="n">
        <x:f>IF(E274=0,"",MAX('12_W0_温度'!B42,'12_W0_温度'!D42,'12_W0_温度'!F42,'12_W0_温度'!H42))</x:f>
        <x:v>25.6</x:v>
      </x:c>
      <x:c r="J274" s="32" t="str">
        <x:v>℃</x:v>
      </x:c>
    </x:row>
    <x:row r="275">
      <x:c r="A275" s="72" t="n">
        <x:v>46240.93116898148</x:v>
      </x:c>
      <x:c r="B275" s="32" t="str">
        <x:v>土壤温度</x:v>
      </x:c>
      <x:c r="C275" s="32" t="str">
        <x:v>W0</x:v>
      </x:c>
      <x:c r="D275" s="32" t="str">
        <x:v>V2</x:v>
      </x:c>
      <x:c r="E275" s="86" t="n">
        <x:f>COUNT('12_W0_温度'!C42,'12_W0_温度'!E42,'12_W0_温度'!G42,'12_W0_温度'!I42)</x:f>
        <x:v>4</x:v>
      </x:c>
      <x:c r="F275" s="90" t="n">
        <x:f>IF(E275=0,"",AVERAGE('12_W0_温度'!C42,'12_W0_温度'!E42,'12_W0_温度'!G42,'12_W0_温度'!I42))</x:f>
        <x:v>25.075000000000003</x:v>
      </x:c>
      <x:c r="G275" s="90" t="n">
        <x:f>IF(E275&lt;2,"",STDEV.S('12_W0_温度'!C42,'12_W0_温度'!E42,'12_W0_温度'!G42,'12_W0_温度'!I42))</x:f>
        <x:v>0.41129875597510235</x:v>
      </x:c>
      <x:c r="H275" s="90" t="n">
        <x:f>IF(E275=0,"",MIN('12_W0_温度'!C42,'12_W0_温度'!E42,'12_W0_温度'!G42,'12_W0_温度'!I42))</x:f>
        <x:v>24.6</x:v>
      </x:c>
      <x:c r="I275" s="90" t="n">
        <x:f>IF(E275=0,"",MAX('12_W0_温度'!C42,'12_W0_温度'!E42,'12_W0_温度'!G42,'12_W0_温度'!I42))</x:f>
        <x:v>25.6</x:v>
      </x:c>
      <x:c r="J275" s="32" t="str">
        <x:v>℃</x:v>
      </x:c>
    </x:row>
    <x:row r="276">
      <x:c r="A276" s="72" t="n">
        <x:v>46240.934641203705</x:v>
      </x:c>
      <x:c r="B276" s="32" t="str">
        <x:v>土壤温度</x:v>
      </x:c>
      <x:c r="C276" s="32" t="str">
        <x:v>W0</x:v>
      </x:c>
      <x:c r="D276" s="32" t="str">
        <x:v>V1</x:v>
      </x:c>
      <x:c r="E276" s="86" t="n">
        <x:f>COUNT('12_W0_温度'!B43,'12_W0_温度'!D43,'12_W0_温度'!F43,'12_W0_温度'!H43)</x:f>
        <x:v>4</x:v>
      </x:c>
      <x:c r="F276" s="90" t="n">
        <x:f>IF(E276=0,"",AVERAGE('12_W0_温度'!B43,'12_W0_温度'!D43,'12_W0_温度'!F43,'12_W0_温度'!H43))</x:f>
        <x:v>25.075</x:v>
      </x:c>
      <x:c r="G276" s="90" t="n">
        <x:f>IF(E276&lt;2,"",STDEV.S('12_W0_温度'!B43,'12_W0_温度'!D43,'12_W0_温度'!F43,'12_W0_温度'!H43))</x:f>
        <x:v>0.38622100754188243</x:v>
      </x:c>
      <x:c r="H276" s="90" t="n">
        <x:f>IF(E276=0,"",MIN('12_W0_温度'!B43,'12_W0_温度'!D43,'12_W0_温度'!F43,'12_W0_温度'!H43))</x:f>
        <x:v>24.7</x:v>
      </x:c>
      <x:c r="I276" s="90" t="n">
        <x:f>IF(E276=0,"",MAX('12_W0_温度'!B43,'12_W0_温度'!D43,'12_W0_温度'!F43,'12_W0_温度'!H43))</x:f>
        <x:v>25.5</x:v>
      </x:c>
      <x:c r="J276" s="32" t="str">
        <x:v>℃</x:v>
      </x:c>
    </x:row>
    <x:row r="277">
      <x:c r="A277" s="72" t="n">
        <x:v>46240.934641203705</x:v>
      </x:c>
      <x:c r="B277" s="32" t="str">
        <x:v>土壤温度</x:v>
      </x:c>
      <x:c r="C277" s="32" t="str">
        <x:v>W0</x:v>
      </x:c>
      <x:c r="D277" s="32" t="str">
        <x:v>V2</x:v>
      </x:c>
      <x:c r="E277" s="86" t="n">
        <x:f>COUNT('12_W0_温度'!C43,'12_W0_温度'!E43,'12_W0_温度'!G43,'12_W0_温度'!I43)</x:f>
        <x:v>4</x:v>
      </x:c>
      <x:c r="F277" s="90" t="n">
        <x:f>IF(E277=0,"",AVERAGE('12_W0_温度'!C43,'12_W0_温度'!E43,'12_W0_温度'!G43,'12_W0_温度'!I43))</x:f>
        <x:v>25.1</x:v>
      </x:c>
      <x:c r="G277" s="90" t="n">
        <x:f>IF(E277&lt;2,"",STDEV.S('12_W0_温度'!C43,'12_W0_温度'!E43,'12_W0_温度'!G43,'12_W0_温度'!I43))</x:f>
        <x:v>0.4163331998932265</x:v>
      </x:c>
      <x:c r="H277" s="90" t="n">
        <x:f>IF(E277=0,"",MIN('12_W0_温度'!C43,'12_W0_温度'!E43,'12_W0_温度'!G43,'12_W0_温度'!I43))</x:f>
        <x:v>24.6</x:v>
      </x:c>
      <x:c r="I277" s="90" t="n">
        <x:f>IF(E277=0,"",MAX('12_W0_温度'!C43,'12_W0_温度'!E43,'12_W0_温度'!G43,'12_W0_温度'!I43))</x:f>
        <x:v>25.6</x:v>
      </x:c>
      <x:c r="J277" s="32" t="str">
        <x:v>℃</x:v>
      </x:c>
    </x:row>
    <x:row r="278">
      <x:c r="A278" s="72" t="n">
        <x:v>46240.938113425924</x:v>
      </x:c>
      <x:c r="B278" s="32" t="str">
        <x:v>土壤温度</x:v>
      </x:c>
      <x:c r="C278" s="32" t="str">
        <x:v>W0</x:v>
      </x:c>
      <x:c r="D278" s="32" t="str">
        <x:v>V1</x:v>
      </x:c>
      <x:c r="E278" s="86" t="n">
        <x:f>COUNT('12_W0_温度'!B44,'12_W0_温度'!D44,'12_W0_温度'!F44,'12_W0_温度'!H44)</x:f>
        <x:v>4</x:v>
      </x:c>
      <x:c r="F278" s="90" t="n">
        <x:f>IF(E278=0,"",AVERAGE('12_W0_温度'!B44,'12_W0_温度'!D44,'12_W0_温度'!F44,'12_W0_温度'!H44))</x:f>
        <x:v>25.049999999999997</x:v>
      </x:c>
      <x:c r="G278" s="90" t="n">
        <x:f>IF(E278&lt;2,"",STDEV.S('12_W0_温度'!B44,'12_W0_温度'!D44,'12_W0_温度'!F44,'12_W0_温度'!H44))</x:f>
        <x:v>0.4041451884327376</x:v>
      </x:c>
      <x:c r="H278" s="90" t="n">
        <x:f>IF(E278=0,"",MIN('12_W0_温度'!B44,'12_W0_温度'!D44,'12_W0_温度'!F44,'12_W0_温度'!H44))</x:f>
        <x:v>24.7</x:v>
      </x:c>
      <x:c r="I278" s="90" t="n">
        <x:f>IF(E278=0,"",MAX('12_W0_温度'!B44,'12_W0_温度'!D44,'12_W0_温度'!F44,'12_W0_温度'!H44))</x:f>
        <x:v>25.4</x:v>
      </x:c>
      <x:c r="J278" s="32" t="str">
        <x:v>℃</x:v>
      </x:c>
    </x:row>
    <x:row r="279">
      <x:c r="A279" s="72" t="n">
        <x:v>46240.938113425924</x:v>
      </x:c>
      <x:c r="B279" s="32" t="str">
        <x:v>土壤温度</x:v>
      </x:c>
      <x:c r="C279" s="32" t="str">
        <x:v>W0</x:v>
      </x:c>
      <x:c r="D279" s="32" t="str">
        <x:v>V2</x:v>
      </x:c>
      <x:c r="E279" s="86" t="n">
        <x:f>COUNT('12_W0_温度'!C44,'12_W0_温度'!E44,'12_W0_温度'!G44,'12_W0_温度'!I44)</x:f>
        <x:v>4</x:v>
      </x:c>
      <x:c r="F279" s="90" t="n">
        <x:f>IF(E279=0,"",AVERAGE('12_W0_温度'!C44,'12_W0_温度'!E44,'12_W0_温度'!G44,'12_W0_温度'!I44))</x:f>
        <x:v>25.075</x:v>
      </x:c>
      <x:c r="G279" s="90" t="n">
        <x:f>IF(E279&lt;2,"",STDEV.S('12_W0_温度'!C44,'12_W0_温度'!E44,'12_W0_温度'!G44,'12_W0_温度'!I44))</x:f>
        <x:v>0.38622100754188243</x:v>
      </x:c>
      <x:c r="H279" s="90" t="n">
        <x:f>IF(E279=0,"",MIN('12_W0_温度'!C44,'12_W0_温度'!E44,'12_W0_温度'!G44,'12_W0_温度'!I44))</x:f>
        <x:v>24.7</x:v>
      </x:c>
      <x:c r="I279" s="90" t="n">
        <x:f>IF(E279=0,"",MAX('12_W0_温度'!C44,'12_W0_温度'!E44,'12_W0_温度'!G44,'12_W0_温度'!I44))</x:f>
        <x:v>25.5</x:v>
      </x:c>
      <x:c r="J279" s="32" t="str">
        <x:v>℃</x:v>
      </x:c>
    </x:row>
    <x:row r="280">
      <x:c r="A280" s="72" t="n">
        <x:v>46240.94158564815</x:v>
      </x:c>
      <x:c r="B280" s="32" t="str">
        <x:v>土壤温度</x:v>
      </x:c>
      <x:c r="C280" s="32" t="str">
        <x:v>W0</x:v>
      </x:c>
      <x:c r="D280" s="32" t="str">
        <x:v>V1</x:v>
      </x:c>
      <x:c r="E280" s="86" t="n">
        <x:f>COUNT('12_W0_温度'!B45,'12_W0_温度'!D45,'12_W0_温度'!F45,'12_W0_温度'!H45)</x:f>
        <x:v>4</x:v>
      </x:c>
      <x:c r="F280" s="90" t="n">
        <x:f>IF(E280=0,"",AVERAGE('12_W0_温度'!B45,'12_W0_温度'!D45,'12_W0_温度'!F45,'12_W0_温度'!H45))</x:f>
        <x:v>25.075</x:v>
      </x:c>
      <x:c r="G280" s="90" t="n">
        <x:f>IF(E280&lt;2,"",STDEV.S('12_W0_温度'!B45,'12_W0_温度'!D45,'12_W0_温度'!F45,'12_W0_温度'!H45))</x:f>
        <x:v>0.38622100754188243</x:v>
      </x:c>
      <x:c r="H280" s="90" t="n">
        <x:f>IF(E280=0,"",MIN('12_W0_温度'!B45,'12_W0_温度'!D45,'12_W0_温度'!F45,'12_W0_温度'!H45))</x:f>
        <x:v>24.7</x:v>
      </x:c>
      <x:c r="I280" s="90" t="n">
        <x:f>IF(E280=0,"",MAX('12_W0_温度'!B45,'12_W0_温度'!D45,'12_W0_温度'!F45,'12_W0_温度'!H45))</x:f>
        <x:v>25.5</x:v>
      </x:c>
      <x:c r="J280" s="32" t="str">
        <x:v>℃</x:v>
      </x:c>
    </x:row>
    <x:row r="281">
      <x:c r="A281" s="72" t="n">
        <x:v>46240.94158564815</x:v>
      </x:c>
      <x:c r="B281" s="32" t="str">
        <x:v>土壤温度</x:v>
      </x:c>
      <x:c r="C281" s="32" t="str">
        <x:v>W0</x:v>
      </x:c>
      <x:c r="D281" s="32" t="str">
        <x:v>V2</x:v>
      </x:c>
      <x:c r="E281" s="86" t="n">
        <x:f>COUNT('12_W0_温度'!C45,'12_W0_温度'!E45,'12_W0_温度'!G45,'12_W0_温度'!I45)</x:f>
        <x:v>4</x:v>
      </x:c>
      <x:c r="F281" s="90" t="n">
        <x:f>IF(E281=0,"",AVERAGE('12_W0_温度'!C45,'12_W0_温度'!E45,'12_W0_温度'!G45,'12_W0_温度'!I45))</x:f>
        <x:v>25.049999999999997</x:v>
      </x:c>
      <x:c r="G281" s="90" t="n">
        <x:f>IF(E281&lt;2,"",STDEV.S('12_W0_温度'!C45,'12_W0_温度'!E45,'12_W0_温度'!G45,'12_W0_温度'!I45))</x:f>
        <x:v>0.4041451884327376</x:v>
      </x:c>
      <x:c r="H281" s="90" t="n">
        <x:f>IF(E281=0,"",MIN('12_W0_温度'!C45,'12_W0_温度'!E45,'12_W0_温度'!G45,'12_W0_温度'!I45))</x:f>
        <x:v>24.7</x:v>
      </x:c>
      <x:c r="I281" s="90" t="n">
        <x:f>IF(E281=0,"",MAX('12_W0_温度'!C45,'12_W0_温度'!E45,'12_W0_温度'!G45,'12_W0_温度'!I45))</x:f>
        <x:v>25.4</x:v>
      </x:c>
      <x:c r="J281" s="32" t="str">
        <x:v>℃</x:v>
      </x:c>
    </x:row>
    <x:row r="282">
      <x:c r="A282" s="72" t="n">
        <x:v>46240.94505787037</x:v>
      </x:c>
      <x:c r="B282" s="32" t="str">
        <x:v>土壤温度</x:v>
      </x:c>
      <x:c r="C282" s="32" t="str">
        <x:v>W0</x:v>
      </x:c>
      <x:c r="D282" s="32" t="str">
        <x:v>V1</x:v>
      </x:c>
      <x:c r="E282" s="86" t="n">
        <x:f>COUNT('12_W0_温度'!B46,'12_W0_温度'!D46,'12_W0_温度'!F46,'12_W0_温度'!H46)</x:f>
        <x:v>4</x:v>
      </x:c>
      <x:c r="F282" s="90" t="n">
        <x:f>IF(E282=0,"",AVERAGE('12_W0_温度'!B46,'12_W0_温度'!D46,'12_W0_温度'!F46,'12_W0_温度'!H46))</x:f>
        <x:v>25.075</x:v>
      </x:c>
      <x:c r="G282" s="90" t="n">
        <x:f>IF(E282&lt;2,"",STDEV.S('12_W0_温度'!B46,'12_W0_温度'!D46,'12_W0_温度'!F46,'12_W0_温度'!H46))</x:f>
        <x:v>0.4272001872658767</x:v>
      </x:c>
      <x:c r="H282" s="90" t="n">
        <x:f>IF(E282=0,"",MIN('12_W0_温度'!B46,'12_W0_温度'!D46,'12_W0_温度'!F46,'12_W0_温度'!H46))</x:f>
        <x:v>24.6</x:v>
      </x:c>
      <x:c r="I282" s="90" t="n">
        <x:f>IF(E282=0,"",MAX('12_W0_温度'!B46,'12_W0_温度'!D46,'12_W0_温度'!F46,'12_W0_温度'!H46))</x:f>
        <x:v>25.6</x:v>
      </x:c>
      <x:c r="J282" s="32" t="str">
        <x:v>℃</x:v>
      </x:c>
    </x:row>
    <x:row r="283">
      <x:c r="A283" s="72" t="n">
        <x:v>46240.94505787037</x:v>
      </x:c>
      <x:c r="B283" s="32" t="str">
        <x:v>土壤温度</x:v>
      </x:c>
      <x:c r="C283" s="32" t="str">
        <x:v>W0</x:v>
      </x:c>
      <x:c r="D283" s="32" t="str">
        <x:v>V2</x:v>
      </x:c>
      <x:c r="E283" s="86" t="n">
        <x:f>COUNT('12_W0_温度'!C46,'12_W0_温度'!E46,'12_W0_温度'!G46,'12_W0_温度'!I46)</x:f>
        <x:v>4</x:v>
      </x:c>
      <x:c r="F283" s="90" t="n">
        <x:f>IF(E283=0,"",AVERAGE('12_W0_温度'!C46,'12_W0_温度'!E46,'12_W0_温度'!G46,'12_W0_温度'!I46))</x:f>
        <x:v>25.075</x:v>
      </x:c>
      <x:c r="G283" s="90" t="n">
        <x:f>IF(E283&lt;2,"",STDEV.S('12_W0_温度'!C46,'12_W0_温度'!E46,'12_W0_温度'!G46,'12_W0_温度'!I46))</x:f>
        <x:v>0.38622100754188243</x:v>
      </x:c>
      <x:c r="H283" s="90" t="n">
        <x:f>IF(E283=0,"",MIN('12_W0_温度'!C46,'12_W0_温度'!E46,'12_W0_温度'!G46,'12_W0_温度'!I46))</x:f>
        <x:v>24.7</x:v>
      </x:c>
      <x:c r="I283" s="90" t="n">
        <x:f>IF(E283=0,"",MAX('12_W0_温度'!C46,'12_W0_温度'!E46,'12_W0_温度'!G46,'12_W0_温度'!I46))</x:f>
        <x:v>25.5</x:v>
      </x:c>
      <x:c r="J283" s="32" t="str">
        <x:v>℃</x:v>
      </x:c>
    </x:row>
    <x:row r="284">
      <x:c r="A284" s="72" t="n">
        <x:v>46240.948530092595</x:v>
      </x:c>
      <x:c r="B284" s="32" t="str">
        <x:v>土壤温度</x:v>
      </x:c>
      <x:c r="C284" s="32" t="str">
        <x:v>W0</x:v>
      </x:c>
      <x:c r="D284" s="32" t="str">
        <x:v>V1</x:v>
      </x:c>
      <x:c r="E284" s="86" t="n">
        <x:f>COUNT('12_W0_温度'!B47,'12_W0_温度'!D47,'12_W0_温度'!F47,'12_W0_温度'!H47)</x:f>
        <x:v>4</x:v>
      </x:c>
      <x:c r="F284" s="90" t="n">
        <x:f>IF(E284=0,"",AVERAGE('12_W0_温度'!B47,'12_W0_温度'!D47,'12_W0_温度'!F47,'12_W0_温度'!H47))</x:f>
        <x:v>25.075000000000003</x:v>
      </x:c>
      <x:c r="G284" s="90" t="n">
        <x:f>IF(E284&lt;2,"",STDEV.S('12_W0_温度'!B47,'12_W0_温度'!D47,'12_W0_温度'!F47,'12_W0_温度'!H47))</x:f>
        <x:v>0.41129875597510224</x:v>
      </x:c>
      <x:c r="H284" s="90" t="n">
        <x:f>IF(E284=0,"",MIN('12_W0_温度'!B47,'12_W0_温度'!D47,'12_W0_温度'!F47,'12_W0_温度'!H47))</x:f>
        <x:v>24.6</x:v>
      </x:c>
      <x:c r="I284" s="90" t="n">
        <x:f>IF(E284=0,"",MAX('12_W0_温度'!B47,'12_W0_温度'!D47,'12_W0_温度'!F47,'12_W0_温度'!H47))</x:f>
        <x:v>25.6</x:v>
      </x:c>
      <x:c r="J284" s="32" t="str">
        <x:v>℃</x:v>
      </x:c>
    </x:row>
    <x:row r="285">
      <x:c r="A285" s="72" t="n">
        <x:v>46240.948530092595</x:v>
      </x:c>
      <x:c r="B285" s="32" t="str">
        <x:v>土壤温度</x:v>
      </x:c>
      <x:c r="C285" s="32" t="str">
        <x:v>W0</x:v>
      </x:c>
      <x:c r="D285" s="32" t="str">
        <x:v>V2</x:v>
      </x:c>
      <x:c r="E285" s="86" t="n">
        <x:f>COUNT('12_W0_温度'!C47,'12_W0_温度'!E47,'12_W0_温度'!G47,'12_W0_温度'!I47)</x:f>
        <x:v>4</x:v>
      </x:c>
      <x:c r="F285" s="90" t="n">
        <x:f>IF(E285=0,"",AVERAGE('12_W0_温度'!C47,'12_W0_温度'!E47,'12_W0_温度'!G47,'12_W0_温度'!I47))</x:f>
        <x:v>25.075</x:v>
      </x:c>
      <x:c r="G285" s="90" t="n">
        <x:f>IF(E285&lt;2,"",STDEV.S('12_W0_温度'!C47,'12_W0_温度'!E47,'12_W0_温度'!G47,'12_W0_温度'!I47))</x:f>
        <x:v>0.4272001872658767</x:v>
      </x:c>
      <x:c r="H285" s="90" t="n">
        <x:f>IF(E285=0,"",MIN('12_W0_温度'!C47,'12_W0_温度'!E47,'12_W0_温度'!G47,'12_W0_温度'!I47))</x:f>
        <x:v>24.6</x:v>
      </x:c>
      <x:c r="I285" s="90" t="n">
        <x:f>IF(E285=0,"",MAX('12_W0_温度'!C47,'12_W0_温度'!E47,'12_W0_温度'!G47,'12_W0_温度'!I47))</x:f>
        <x:v>25.6</x:v>
      </x:c>
      <x:c r="J285" s="32" t="str">
        <x:v>℃</x:v>
      </x:c>
    </x:row>
    <x:row r="286">
      <x:c r="A286" s="72" t="n">
        <x:v>46240.952002314814</x:v>
      </x:c>
      <x:c r="B286" s="32" t="str">
        <x:v>土壤温度</x:v>
      </x:c>
      <x:c r="C286" s="32" t="str">
        <x:v>W0</x:v>
      </x:c>
      <x:c r="D286" s="32" t="str">
        <x:v>V1</x:v>
      </x:c>
      <x:c r="E286" s="86" t="n">
        <x:f>COUNT('12_W0_温度'!B48,'12_W0_温度'!D48,'12_W0_温度'!F48,'12_W0_温度'!H48)</x:f>
        <x:v>4</x:v>
      </x:c>
      <x:c r="F286" s="90" t="n">
        <x:f>IF(E286=0,"",AVERAGE('12_W0_温度'!B48,'12_W0_温度'!D48,'12_W0_温度'!F48,'12_W0_温度'!H48))</x:f>
        <x:v>25.1</x:v>
      </x:c>
      <x:c r="G286" s="90" t="n">
        <x:f>IF(E286&lt;2,"",STDEV.S('12_W0_温度'!B48,'12_W0_温度'!D48,'12_W0_温度'!F48,'12_W0_温度'!H48))</x:f>
        <x:v>0.4163331998932265</x:v>
      </x:c>
      <x:c r="H286" s="90" t="n">
        <x:f>IF(E286=0,"",MIN('12_W0_温度'!B48,'12_W0_温度'!D48,'12_W0_温度'!F48,'12_W0_温度'!H48))</x:f>
        <x:v>24.6</x:v>
      </x:c>
      <x:c r="I286" s="90" t="n">
        <x:f>IF(E286=0,"",MAX('12_W0_温度'!B48,'12_W0_温度'!D48,'12_W0_温度'!F48,'12_W0_温度'!H48))</x:f>
        <x:v>25.6</x:v>
      </x:c>
      <x:c r="J286" s="32" t="str">
        <x:v>℃</x:v>
      </x:c>
    </x:row>
    <x:row r="287">
      <x:c r="A287" s="72" t="n">
        <x:v>46240.952002314814</x:v>
      </x:c>
      <x:c r="B287" s="32" t="str">
        <x:v>土壤温度</x:v>
      </x:c>
      <x:c r="C287" s="32" t="str">
        <x:v>W0</x:v>
      </x:c>
      <x:c r="D287" s="32" t="str">
        <x:v>V2</x:v>
      </x:c>
      <x:c r="E287" s="86" t="n">
        <x:f>COUNT('12_W0_温度'!C48,'12_W0_温度'!E48,'12_W0_温度'!G48,'12_W0_温度'!I48)</x:f>
        <x:v>4</x:v>
      </x:c>
      <x:c r="F287" s="90" t="n">
        <x:f>IF(E287=0,"",AVERAGE('12_W0_温度'!C48,'12_W0_温度'!E48,'12_W0_温度'!G48,'12_W0_温度'!I48))</x:f>
        <x:v>25.075000000000003</x:v>
      </x:c>
      <x:c r="G287" s="90" t="n">
        <x:f>IF(E287&lt;2,"",STDEV.S('12_W0_温度'!C48,'12_W0_温度'!E48,'12_W0_温度'!G48,'12_W0_温度'!I48))</x:f>
        <x:v>0.41129875597510224</x:v>
      </x:c>
      <x:c r="H287" s="90" t="n">
        <x:f>IF(E287=0,"",MIN('12_W0_温度'!C48,'12_W0_温度'!E48,'12_W0_温度'!G48,'12_W0_温度'!I48))</x:f>
        <x:v>24.6</x:v>
      </x:c>
      <x:c r="I287" s="90" t="n">
        <x:f>IF(E287=0,"",MAX('12_W0_温度'!C48,'12_W0_温度'!E48,'12_W0_温度'!G48,'12_W0_温度'!I48))</x:f>
        <x:v>25.6</x:v>
      </x:c>
      <x:c r="J287" s="32" t="str">
        <x:v>℃</x:v>
      </x:c>
    </x:row>
    <x:row r="288">
      <x:c r="A288" s="72" t="n">
        <x:v>46240.95547453704</x:v>
      </x:c>
      <x:c r="B288" s="32" t="str">
        <x:v>土壤温度</x:v>
      </x:c>
      <x:c r="C288" s="32" t="str">
        <x:v>W0</x:v>
      </x:c>
      <x:c r="D288" s="32" t="str">
        <x:v>V1</x:v>
      </x:c>
      <x:c r="E288" s="86" t="n">
        <x:f>COUNT('12_W0_温度'!B49,'12_W0_温度'!D49,'12_W0_温度'!F49,'12_W0_温度'!H49)</x:f>
        <x:v>4</x:v>
      </x:c>
      <x:c r="F288" s="90" t="n">
        <x:f>IF(E288=0,"",AVERAGE('12_W0_温度'!B49,'12_W0_温度'!D49,'12_W0_温度'!F49,'12_W0_温度'!H49))</x:f>
        <x:v>25.1</x:v>
      </x:c>
      <x:c r="G288" s="90" t="n">
        <x:f>IF(E288&lt;2,"",STDEV.S('12_W0_温度'!B49,'12_W0_温度'!D49,'12_W0_温度'!F49,'12_W0_温度'!H49))</x:f>
        <x:v>0.42426406871192923</x:v>
      </x:c>
      <x:c r="H288" s="90" t="n">
        <x:f>IF(E288=0,"",MIN('12_W0_温度'!B49,'12_W0_温度'!D49,'12_W0_温度'!F49,'12_W0_温度'!H49))</x:f>
        <x:v>24.7</x:v>
      </x:c>
      <x:c r="I288" s="90" t="n">
        <x:f>IF(E288=0,"",MAX('12_W0_温度'!B49,'12_W0_温度'!D49,'12_W0_温度'!F49,'12_W0_温度'!H49))</x:f>
        <x:v>25.6</x:v>
      </x:c>
      <x:c r="J288" s="32" t="str">
        <x:v>℃</x:v>
      </x:c>
    </x:row>
    <x:row r="289">
      <x:c r="A289" s="72" t="n">
        <x:v>46240.95547453704</x:v>
      </x:c>
      <x:c r="B289" s="32" t="str">
        <x:v>土壤温度</x:v>
      </x:c>
      <x:c r="C289" s="32" t="str">
        <x:v>W0</x:v>
      </x:c>
      <x:c r="D289" s="32" t="str">
        <x:v>V2</x:v>
      </x:c>
      <x:c r="E289" s="86" t="n">
        <x:f>COUNT('12_W0_温度'!C49,'12_W0_温度'!E49,'12_W0_温度'!G49,'12_W0_温度'!I49)</x:f>
        <x:v>4</x:v>
      </x:c>
      <x:c r="F289" s="90" t="n">
        <x:f>IF(E289=0,"",AVERAGE('12_W0_温度'!C49,'12_W0_温度'!E49,'12_W0_温度'!G49,'12_W0_温度'!I49))</x:f>
        <x:v>25.1</x:v>
      </x:c>
      <x:c r="G289" s="90" t="n">
        <x:f>IF(E289&lt;2,"",STDEV.S('12_W0_温度'!C49,'12_W0_温度'!E49,'12_W0_温度'!G49,'12_W0_温度'!I49))</x:f>
        <x:v>0.4163331998932265</x:v>
      </x:c>
      <x:c r="H289" s="90" t="n">
        <x:f>IF(E289=0,"",MIN('12_W0_温度'!C49,'12_W0_温度'!E49,'12_W0_温度'!G49,'12_W0_温度'!I49))</x:f>
        <x:v>24.6</x:v>
      </x:c>
      <x:c r="I289" s="90" t="n">
        <x:f>IF(E289=0,"",MAX('12_W0_温度'!C49,'12_W0_温度'!E49,'12_W0_温度'!G49,'12_W0_温度'!I49))</x:f>
        <x:v>25.6</x:v>
      </x:c>
      <x:c r="J289" s="32" t="str">
        <x:v>℃</x:v>
      </x:c>
    </x:row>
    <x:row r="290">
      <x:c r="A290" s="72" t="n">
        <x:v>46240.95894675926</x:v>
      </x:c>
      <x:c r="B290" s="32" t="str">
        <x:v>土壤温度</x:v>
      </x:c>
      <x:c r="C290" s="32" t="str">
        <x:v>W0</x:v>
      </x:c>
      <x:c r="D290" s="32" t="str">
        <x:v>V1</x:v>
      </x:c>
      <x:c r="E290" s="86" t="n">
        <x:f>COUNT('12_W0_温度'!B50,'12_W0_温度'!D50,'12_W0_温度'!F50,'12_W0_温度'!H50)</x:f>
        <x:v>4</x:v>
      </x:c>
      <x:c r="F290" s="90" t="n">
        <x:f>IF(E290=0,"",AVERAGE('12_W0_温度'!B50,'12_W0_温度'!D50,'12_W0_温度'!F50,'12_W0_温度'!H50))</x:f>
        <x:v>25.075</x:v>
      </x:c>
      <x:c r="G290" s="90" t="n">
        <x:f>IF(E290&lt;2,"",STDEV.S('12_W0_温度'!B50,'12_W0_温度'!D50,'12_W0_温度'!F50,'12_W0_温度'!H50))</x:f>
        <x:v>0.4349329450233297</x:v>
      </x:c>
      <x:c r="H290" s="90" t="n">
        <x:f>IF(E290=0,"",MIN('12_W0_温度'!B50,'12_W0_温度'!D50,'12_W0_温度'!F50,'12_W0_温度'!H50))</x:f>
        <x:v>24.7</x:v>
      </x:c>
      <x:c r="I290" s="90" t="n">
        <x:f>IF(E290=0,"",MAX('12_W0_温度'!B50,'12_W0_温度'!D50,'12_W0_温度'!F50,'12_W0_温度'!H50))</x:f>
        <x:v>25.5</x:v>
      </x:c>
      <x:c r="J290" s="32" t="str">
        <x:v>℃</x:v>
      </x:c>
    </x:row>
    <x:row r="291">
      <x:c r="A291" s="72" t="n">
        <x:v>46240.95894675926</x:v>
      </x:c>
      <x:c r="B291" s="32" t="str">
        <x:v>土壤温度</x:v>
      </x:c>
      <x:c r="C291" s="32" t="str">
        <x:v>W0</x:v>
      </x:c>
      <x:c r="D291" s="32" t="str">
        <x:v>V2</x:v>
      </x:c>
      <x:c r="E291" s="86" t="n">
        <x:f>COUNT('12_W0_温度'!C50,'12_W0_温度'!E50,'12_W0_温度'!G50,'12_W0_温度'!I50)</x:f>
        <x:v>4</x:v>
      </x:c>
      <x:c r="F291" s="90" t="n">
        <x:f>IF(E291=0,"",AVERAGE('12_W0_温度'!C50,'12_W0_温度'!E50,'12_W0_温度'!G50,'12_W0_温度'!I50))</x:f>
        <x:v>25.1</x:v>
      </x:c>
      <x:c r="G291" s="90" t="n">
        <x:f>IF(E291&lt;2,"",STDEV.S('12_W0_温度'!C50,'12_W0_温度'!E50,'12_W0_温度'!G50,'12_W0_温度'!I50))</x:f>
        <x:v>0.42426406871192923</x:v>
      </x:c>
      <x:c r="H291" s="90" t="n">
        <x:f>IF(E291=0,"",MIN('12_W0_温度'!C50,'12_W0_温度'!E50,'12_W0_温度'!G50,'12_W0_温度'!I50))</x:f>
        <x:v>24.7</x:v>
      </x:c>
      <x:c r="I291" s="90" t="n">
        <x:f>IF(E291=0,"",MAX('12_W0_温度'!C50,'12_W0_温度'!E50,'12_W0_温度'!G50,'12_W0_温度'!I50))</x:f>
        <x:v>25.6</x:v>
      </x:c>
      <x:c r="J291" s="32" t="str">
        <x:v>℃</x:v>
      </x:c>
    </x:row>
    <x:row r="292">
      <x:c r="A292" s="72" t="n">
        <x:v>46240.96241898148</x:v>
      </x:c>
      <x:c r="B292" s="32" t="str">
        <x:v>土壤温度</x:v>
      </x:c>
      <x:c r="C292" s="32" t="str">
        <x:v>W0</x:v>
      </x:c>
      <x:c r="D292" s="32" t="str">
        <x:v>V1</x:v>
      </x:c>
      <x:c r="E292" s="86" t="n">
        <x:f>COUNT('12_W0_温度'!B51,'12_W0_温度'!D51,'12_W0_温度'!F51,'12_W0_温度'!H51)</x:f>
        <x:v>4</x:v>
      </x:c>
      <x:c r="F292" s="90" t="n">
        <x:f>IF(E292=0,"",AVERAGE('12_W0_温度'!B51,'12_W0_温度'!D51,'12_W0_温度'!F51,'12_W0_温度'!H51))</x:f>
        <x:v>25.1</x:v>
      </x:c>
      <x:c r="G292" s="90" t="n">
        <x:f>IF(E292&lt;2,"",STDEV.S('12_W0_温度'!B51,'12_W0_温度'!D51,'12_W0_温度'!F51,'12_W0_温度'!H51))</x:f>
        <x:v>0.40824829046386274</x:v>
      </x:c>
      <x:c r="H292" s="90" t="n">
        <x:f>IF(E292=0,"",MIN('12_W0_温度'!B51,'12_W0_温度'!D51,'12_W0_温度'!F51,'12_W0_温度'!H51))</x:f>
        <x:v>24.7</x:v>
      </x:c>
      <x:c r="I292" s="90" t="n">
        <x:f>IF(E292=0,"",MAX('12_W0_温度'!B51,'12_W0_温度'!D51,'12_W0_温度'!F51,'12_W0_温度'!H51))</x:f>
        <x:v>25.5</x:v>
      </x:c>
      <x:c r="J292" s="32" t="str">
        <x:v>℃</x:v>
      </x:c>
    </x:row>
    <x:row r="293">
      <x:c r="A293" s="72" t="n">
        <x:v>46240.96241898148</x:v>
      </x:c>
      <x:c r="B293" s="32" t="str">
        <x:v>土壤温度</x:v>
      </x:c>
      <x:c r="C293" s="32" t="str">
        <x:v>W0</x:v>
      </x:c>
      <x:c r="D293" s="32" t="str">
        <x:v>V2</x:v>
      </x:c>
      <x:c r="E293" s="86" t="n">
        <x:f>COUNT('12_W0_温度'!C51,'12_W0_温度'!E51,'12_W0_温度'!G51,'12_W0_温度'!I51)</x:f>
        <x:v>4</x:v>
      </x:c>
      <x:c r="F293" s="90" t="n">
        <x:f>IF(E293=0,"",AVERAGE('12_W0_温度'!C51,'12_W0_温度'!E51,'12_W0_温度'!G51,'12_W0_温度'!I51))</x:f>
        <x:v>25.075</x:v>
      </x:c>
      <x:c r="G293" s="90" t="n">
        <x:f>IF(E293&lt;2,"",STDEV.S('12_W0_温度'!C51,'12_W0_温度'!E51,'12_W0_温度'!G51,'12_W0_温度'!I51))</x:f>
        <x:v>0.4349329450233297</x:v>
      </x:c>
      <x:c r="H293" s="90" t="n">
        <x:f>IF(E293=0,"",MIN('12_W0_温度'!C51,'12_W0_温度'!E51,'12_W0_温度'!G51,'12_W0_温度'!I51))</x:f>
        <x:v>24.7</x:v>
      </x:c>
      <x:c r="I293" s="90" t="n">
        <x:f>IF(E293=0,"",MAX('12_W0_温度'!C51,'12_W0_温度'!E51,'12_W0_温度'!G51,'12_W0_温度'!I51))</x:f>
        <x:v>25.5</x:v>
      </x:c>
      <x:c r="J293" s="32" t="str">
        <x:v>℃</x:v>
      </x:c>
    </x:row>
    <x:row r="294">
      <x:c r="A294" s="72" t="n">
        <x:v>46240.965891203705</x:v>
      </x:c>
      <x:c r="B294" s="32" t="str">
        <x:v>土壤温度</x:v>
      </x:c>
      <x:c r="C294" s="32" t="str">
        <x:v>W0</x:v>
      </x:c>
      <x:c r="D294" s="32" t="str">
        <x:v>V1</x:v>
      </x:c>
      <x:c r="E294" s="86" t="n">
        <x:f>COUNT('12_W0_温度'!B52,'12_W0_温度'!D52,'12_W0_温度'!F52,'12_W0_温度'!H52)</x:f>
        <x:v>4</x:v>
      </x:c>
      <x:c r="F294" s="90" t="n">
        <x:f>IF(E294=0,"",AVERAGE('12_W0_温度'!B52,'12_W0_温度'!D52,'12_W0_温度'!F52,'12_W0_温度'!H52))</x:f>
        <x:v>25.1</x:v>
      </x:c>
      <x:c r="G294" s="90" t="n">
        <x:f>IF(E294&lt;2,"",STDEV.S('12_W0_温度'!B52,'12_W0_温度'!D52,'12_W0_温度'!F52,'12_W0_温度'!H52))</x:f>
        <x:v>0.4396968652757643</x:v>
      </x:c>
      <x:c r="H294" s="90" t="n">
        <x:f>IF(E294=0,"",MIN('12_W0_温度'!B52,'12_W0_温度'!D52,'12_W0_温度'!F52,'12_W0_温度'!H52))</x:f>
        <x:v>24.6</x:v>
      </x:c>
      <x:c r="I294" s="90" t="n">
        <x:f>IF(E294=0,"",MAX('12_W0_温度'!B52,'12_W0_温度'!D52,'12_W0_温度'!F52,'12_W0_温度'!H52))</x:f>
        <x:v>25.6</x:v>
      </x:c>
      <x:c r="J294" s="32" t="str">
        <x:v>℃</x:v>
      </x:c>
    </x:row>
    <x:row r="295">
      <x:c r="A295" s="72" t="n">
        <x:v>46240.965891203705</x:v>
      </x:c>
      <x:c r="B295" s="32" t="str">
        <x:v>土壤温度</x:v>
      </x:c>
      <x:c r="C295" s="32" t="str">
        <x:v>W0</x:v>
      </x:c>
      <x:c r="D295" s="32" t="str">
        <x:v>V2</x:v>
      </x:c>
      <x:c r="E295" s="86" t="n">
        <x:f>COUNT('12_W0_温度'!C52,'12_W0_温度'!E52,'12_W0_温度'!G52,'12_W0_温度'!I52)</x:f>
        <x:v>4</x:v>
      </x:c>
      <x:c r="F295" s="90" t="n">
        <x:f>IF(E295=0,"",AVERAGE('12_W0_温度'!C52,'12_W0_温度'!E52,'12_W0_温度'!G52,'12_W0_温度'!I52))</x:f>
        <x:v>25.1</x:v>
      </x:c>
      <x:c r="G295" s="90" t="n">
        <x:f>IF(E295&lt;2,"",STDEV.S('12_W0_温度'!C52,'12_W0_温度'!E52,'12_W0_温度'!G52,'12_W0_温度'!I52))</x:f>
        <x:v>0.40824829046386274</x:v>
      </x:c>
      <x:c r="H295" s="90" t="n">
        <x:f>IF(E295=0,"",MIN('12_W0_温度'!C52,'12_W0_温度'!E52,'12_W0_温度'!G52,'12_W0_温度'!I52))</x:f>
        <x:v>24.7</x:v>
      </x:c>
      <x:c r="I295" s="90" t="n">
        <x:f>IF(E295=0,"",MAX('12_W0_温度'!C52,'12_W0_温度'!E52,'12_W0_温度'!G52,'12_W0_温度'!I52))</x:f>
        <x:v>25.5</x:v>
      </x:c>
      <x:c r="J295" s="32" t="str">
        <x:v>℃</x:v>
      </x:c>
    </x:row>
    <x:row r="296">
      <x:c r="A296" s="72" t="n">
        <x:v>46240.969363425924</x:v>
      </x:c>
      <x:c r="B296" s="32" t="str">
        <x:v>土壤温度</x:v>
      </x:c>
      <x:c r="C296" s="32" t="str">
        <x:v>W0</x:v>
      </x:c>
      <x:c r="D296" s="32" t="str">
        <x:v>V1</x:v>
      </x:c>
      <x:c r="E296" s="86" t="n">
        <x:f>COUNT('12_W0_温度'!B53,'12_W0_温度'!D53,'12_W0_温度'!F53,'12_W0_温度'!H53)</x:f>
        <x:v>4</x:v>
      </x:c>
      <x:c r="F296" s="90" t="n">
        <x:f>IF(E296=0,"",AVERAGE('12_W0_温度'!B53,'12_W0_温度'!D53,'12_W0_温度'!F53,'12_W0_温度'!H53))</x:f>
        <x:v>25.1</x:v>
      </x:c>
      <x:c r="G296" s="90" t="n">
        <x:f>IF(E296&lt;2,"",STDEV.S('12_W0_温度'!B53,'12_W0_温度'!D53,'12_W0_温度'!F53,'12_W0_温度'!H53))</x:f>
        <x:v>0.4163331998932265</x:v>
      </x:c>
      <x:c r="H296" s="90" t="n">
        <x:f>IF(E296=0,"",MIN('12_W0_温度'!B53,'12_W0_温度'!D53,'12_W0_温度'!F53,'12_W0_温度'!H53))</x:f>
        <x:v>24.6</x:v>
      </x:c>
      <x:c r="I296" s="90" t="n">
        <x:f>IF(E296=0,"",MAX('12_W0_温度'!B53,'12_W0_温度'!D53,'12_W0_温度'!F53,'12_W0_温度'!H53))</x:f>
        <x:v>25.6</x:v>
      </x:c>
      <x:c r="J296" s="32" t="str">
        <x:v>℃</x:v>
      </x:c>
    </x:row>
    <x:row r="297">
      <x:c r="A297" s="72" t="n">
        <x:v>46240.969363425924</x:v>
      </x:c>
      <x:c r="B297" s="32" t="str">
        <x:v>土壤温度</x:v>
      </x:c>
      <x:c r="C297" s="32" t="str">
        <x:v>W0</x:v>
      </x:c>
      <x:c r="D297" s="32" t="str">
        <x:v>V2</x:v>
      </x:c>
      <x:c r="E297" s="86" t="n">
        <x:f>COUNT('12_W0_温度'!C53,'12_W0_温度'!E53,'12_W0_温度'!G53,'12_W0_温度'!I53)</x:f>
        <x:v>4</x:v>
      </x:c>
      <x:c r="F297" s="90" t="n">
        <x:f>IF(E297=0,"",AVERAGE('12_W0_温度'!C53,'12_W0_温度'!E53,'12_W0_温度'!G53,'12_W0_温度'!I53))</x:f>
        <x:v>25.1</x:v>
      </x:c>
      <x:c r="G297" s="90" t="n">
        <x:f>IF(E297&lt;2,"",STDEV.S('12_W0_温度'!C53,'12_W0_温度'!E53,'12_W0_温度'!G53,'12_W0_温度'!I53))</x:f>
        <x:v>0.4396968652757643</x:v>
      </x:c>
      <x:c r="H297" s="90" t="n">
        <x:f>IF(E297=0,"",MIN('12_W0_温度'!C53,'12_W0_温度'!E53,'12_W0_温度'!G53,'12_W0_温度'!I53))</x:f>
        <x:v>24.6</x:v>
      </x:c>
      <x:c r="I297" s="90" t="n">
        <x:f>IF(E297=0,"",MAX('12_W0_温度'!C53,'12_W0_温度'!E53,'12_W0_温度'!G53,'12_W0_温度'!I53))</x:f>
        <x:v>25.6</x:v>
      </x:c>
      <x:c r="J297" s="32" t="str">
        <x:v>℃</x:v>
      </x:c>
    </x:row>
    <x:row r="298">
      <x:c r="A298" s="72" t="n">
        <x:v>46240.80269675926</x:v>
      </x:c>
      <x:c r="B298" s="32" t="str">
        <x:v>土壤EC</x:v>
      </x:c>
      <x:c r="C298" s="32" t="str">
        <x:v>W0</x:v>
      </x:c>
      <x:c r="D298" s="32" t="str">
        <x:v>V1</x:v>
      </x:c>
      <x:c r="E298" s="86" t="n">
        <x:f>COUNT('13_W0_EC'!B5,'13_W0_EC'!D5,'13_W0_EC'!F5,'13_W0_EC'!H5)</x:f>
        <x:v>4</x:v>
      </x:c>
      <x:c r="F298" s="90" t="n">
        <x:f>IF(E298=0,"",AVERAGE('13_W0_EC'!B5,'13_W0_EC'!D5,'13_W0_EC'!F5,'13_W0_EC'!H5))</x:f>
        <x:v>901.5</x:v>
      </x:c>
      <x:c r="G298" s="90" t="n">
        <x:f>IF(E298&lt;2,"",STDEV.S('13_W0_EC'!B5,'13_W0_EC'!D5,'13_W0_EC'!F5,'13_W0_EC'!H5))</x:f>
        <x:v>87.27924533740348</x:v>
      </x:c>
      <x:c r="H298" s="90" t="n">
        <x:f>IF(E298=0,"",MIN('13_W0_EC'!B5,'13_W0_EC'!D5,'13_W0_EC'!F5,'13_W0_EC'!H5))</x:f>
        <x:v>781</x:v>
      </x:c>
      <x:c r="I298" s="90" t="n">
        <x:f>IF(E298=0,"",MAX('13_W0_EC'!B5,'13_W0_EC'!D5,'13_W0_EC'!F5,'13_W0_EC'!H5))</x:f>
        <x:v>978</x:v>
      </x:c>
      <x:c r="J298" s="32" t="str">
        <x:v>μS/cm</x:v>
      </x:c>
    </x:row>
    <x:row r="299">
      <x:c r="A299" s="72" t="n">
        <x:v>46240.80269675926</x:v>
      </x:c>
      <x:c r="B299" s="32" t="str">
        <x:v>土壤EC</x:v>
      </x:c>
      <x:c r="C299" s="32" t="str">
        <x:v>W0</x:v>
      </x:c>
      <x:c r="D299" s="32" t="str">
        <x:v>V2</x:v>
      </x:c>
      <x:c r="E299" s="86" t="n">
        <x:f>COUNT('13_W0_EC'!C5,'13_W0_EC'!E5,'13_W0_EC'!G5,'13_W0_EC'!I5)</x:f>
        <x:v>4</x:v>
      </x:c>
      <x:c r="F299" s="90" t="n">
        <x:f>IF(E299=0,"",AVERAGE('13_W0_EC'!C5,'13_W0_EC'!E5,'13_W0_EC'!G5,'13_W0_EC'!I5))</x:f>
        <x:v>913.5</x:v>
      </x:c>
      <x:c r="G299" s="90" t="n">
        <x:f>IF(E299&lt;2,"",STDEV.S('13_W0_EC'!C5,'13_W0_EC'!E5,'13_W0_EC'!G5,'13_W0_EC'!I5))</x:f>
        <x:v>80.45081313034277</x:v>
      </x:c>
      <x:c r="H299" s="90" t="n">
        <x:f>IF(E299=0,"",MIN('13_W0_EC'!C5,'13_W0_EC'!E5,'13_W0_EC'!G5,'13_W0_EC'!I5))</x:f>
        <x:v>802</x:v>
      </x:c>
      <x:c r="I299" s="90" t="n">
        <x:f>IF(E299=0,"",MAX('13_W0_EC'!C5,'13_W0_EC'!E5,'13_W0_EC'!G5,'13_W0_EC'!I5))</x:f>
        <x:v>986</x:v>
      </x:c>
      <x:c r="J299" s="32" t="str">
        <x:v>μS/cm</x:v>
      </x:c>
    </x:row>
    <x:row r="300">
      <x:c r="A300" s="72" t="n">
        <x:v>46240.80616898148</x:v>
      </x:c>
      <x:c r="B300" s="32" t="str">
        <x:v>土壤EC</x:v>
      </x:c>
      <x:c r="C300" s="32" t="str">
        <x:v>W0</x:v>
      </x:c>
      <x:c r="D300" s="32" t="str">
        <x:v>V1</x:v>
      </x:c>
      <x:c r="E300" s="86" t="n">
        <x:f>COUNT('13_W0_EC'!B6,'13_W0_EC'!D6,'13_W0_EC'!F6,'13_W0_EC'!H6)</x:f>
        <x:v>4</x:v>
      </x:c>
      <x:c r="F300" s="90" t="n">
        <x:f>IF(E300=0,"",AVERAGE('13_W0_EC'!B6,'13_W0_EC'!D6,'13_W0_EC'!F6,'13_W0_EC'!H6))</x:f>
        <x:v>901.75</x:v>
      </x:c>
      <x:c r="G300" s="90" t="n">
        <x:f>IF(E300&lt;2,"",STDEV.S('13_W0_EC'!B6,'13_W0_EC'!D6,'13_W0_EC'!F6,'13_W0_EC'!H6))</x:f>
        <x:v>94.07576733675894</x:v>
      </x:c>
      <x:c r="H300" s="90" t="n">
        <x:f>IF(E300=0,"",MIN('13_W0_EC'!B6,'13_W0_EC'!D6,'13_W0_EC'!F6,'13_W0_EC'!H6))</x:f>
        <x:v>773</x:v>
      </x:c>
      <x:c r="I300" s="90" t="n">
        <x:f>IF(E300=0,"",MAX('13_W0_EC'!B6,'13_W0_EC'!D6,'13_W0_EC'!F6,'13_W0_EC'!H6))</x:f>
        <x:v>983</x:v>
      </x:c>
      <x:c r="J300" s="32" t="str">
        <x:v>μS/cm</x:v>
      </x:c>
    </x:row>
    <x:row r="301">
      <x:c r="A301" s="72" t="n">
        <x:v>46240.80616898148</x:v>
      </x:c>
      <x:c r="B301" s="32" t="str">
        <x:v>土壤EC</x:v>
      </x:c>
      <x:c r="C301" s="32" t="str">
        <x:v>W0</x:v>
      </x:c>
      <x:c r="D301" s="32" t="str">
        <x:v>V2</x:v>
      </x:c>
      <x:c r="E301" s="86" t="n">
        <x:f>COUNT('13_W0_EC'!C6,'13_W0_EC'!E6,'13_W0_EC'!G6,'13_W0_EC'!I6)</x:f>
        <x:v>4</x:v>
      </x:c>
      <x:c r="F301" s="90" t="n">
        <x:f>IF(E301=0,"",AVERAGE('13_W0_EC'!C6,'13_W0_EC'!E6,'13_W0_EC'!G6,'13_W0_EC'!I6))</x:f>
        <x:v>913.5</x:v>
      </x:c>
      <x:c r="G301" s="90" t="n">
        <x:f>IF(E301&lt;2,"",STDEV.S('13_W0_EC'!C6,'13_W0_EC'!E6,'13_W0_EC'!G6,'13_W0_EC'!I6))</x:f>
        <x:v>87.27924533740348</x:v>
      </x:c>
      <x:c r="H301" s="90" t="n">
        <x:f>IF(E301=0,"",MIN('13_W0_EC'!C6,'13_W0_EC'!E6,'13_W0_EC'!G6,'13_W0_EC'!I6))</x:f>
        <x:v>793</x:v>
      </x:c>
      <x:c r="I301" s="90" t="n">
        <x:f>IF(E301=0,"",MAX('13_W0_EC'!C6,'13_W0_EC'!E6,'13_W0_EC'!G6,'13_W0_EC'!I6))</x:f>
        <x:v>990</x:v>
      </x:c>
      <x:c r="J301" s="32" t="str">
        <x:v>μS/cm</x:v>
      </x:c>
    </x:row>
    <x:row r="302">
      <x:c r="A302" s="72" t="n">
        <x:v>46240.809641203705</x:v>
      </x:c>
      <x:c r="B302" s="32" t="str">
        <x:v>土壤EC</x:v>
      </x:c>
      <x:c r="C302" s="32" t="str">
        <x:v>W0</x:v>
      </x:c>
      <x:c r="D302" s="32" t="str">
        <x:v>V1</x:v>
      </x:c>
      <x:c r="E302" s="86" t="n">
        <x:f>COUNT('13_W0_EC'!B7,'13_W0_EC'!D7,'13_W0_EC'!F7,'13_W0_EC'!H7)</x:f>
        <x:v>4</x:v>
      </x:c>
      <x:c r="F302" s="90" t="n">
        <x:f>IF(E302=0,"",AVERAGE('13_W0_EC'!B7,'13_W0_EC'!D7,'13_W0_EC'!F7,'13_W0_EC'!H7))</x:f>
        <x:v>901.75</x:v>
      </x:c>
      <x:c r="G302" s="90" t="n">
        <x:f>IF(E302&lt;2,"",STDEV.S('13_W0_EC'!B7,'13_W0_EC'!D7,'13_W0_EC'!F7,'13_W0_EC'!H7))</x:f>
        <x:v>100.77160645075907</x:v>
      </x:c>
      <x:c r="H302" s="90" t="n">
        <x:f>IF(E302=0,"",MIN('13_W0_EC'!B7,'13_W0_EC'!D7,'13_W0_EC'!F7,'13_W0_EC'!H7))</x:f>
        <x:v>766</x:v>
      </x:c>
      <x:c r="I302" s="90" t="n">
        <x:f>IF(E302=0,"",MAX('13_W0_EC'!B7,'13_W0_EC'!D7,'13_W0_EC'!F7,'13_W0_EC'!H7))</x:f>
        <x:v>990</x:v>
      </x:c>
      <x:c r="J302" s="32" t="str">
        <x:v>μS/cm</x:v>
      </x:c>
    </x:row>
    <x:row r="303">
      <x:c r="A303" s="72" t="n">
        <x:v>46240.809641203705</x:v>
      </x:c>
      <x:c r="B303" s="32" t="str">
        <x:v>土壤EC</x:v>
      </x:c>
      <x:c r="C303" s="32" t="str">
        <x:v>W0</x:v>
      </x:c>
      <x:c r="D303" s="32" t="str">
        <x:v>V2</x:v>
      </x:c>
      <x:c r="E303" s="86" t="n">
        <x:f>COUNT('13_W0_EC'!C7,'13_W0_EC'!E7,'13_W0_EC'!G7,'13_W0_EC'!I7)</x:f>
        <x:v>4</x:v>
      </x:c>
      <x:c r="F303" s="90" t="n">
        <x:f>IF(E303=0,"",AVERAGE('13_W0_EC'!C7,'13_W0_EC'!E7,'13_W0_EC'!G7,'13_W0_EC'!I7))</x:f>
        <x:v>913.75</x:v>
      </x:c>
      <x:c r="G303" s="90" t="n">
        <x:f>IF(E303&lt;2,"",STDEV.S('13_W0_EC'!C7,'13_W0_EC'!E7,'13_W0_EC'!G7,'13_W0_EC'!I7))</x:f>
        <x:v>94.07576733675894</x:v>
      </x:c>
      <x:c r="H303" s="90" t="n">
        <x:f>IF(E303=0,"",MIN('13_W0_EC'!C7,'13_W0_EC'!E7,'13_W0_EC'!G7,'13_W0_EC'!I7))</x:f>
        <x:v>785</x:v>
      </x:c>
      <x:c r="I303" s="90" t="n">
        <x:f>IF(E303=0,"",MAX('13_W0_EC'!C7,'13_W0_EC'!E7,'13_W0_EC'!G7,'13_W0_EC'!I7))</x:f>
        <x:v>995</x:v>
      </x:c>
      <x:c r="J303" s="32" t="str">
        <x:v>μS/cm</x:v>
      </x:c>
    </x:row>
    <x:row r="304">
      <x:c r="A304" s="72" t="n">
        <x:v>46240.813113425924</x:v>
      </x:c>
      <x:c r="B304" s="32" t="str">
        <x:v>土壤EC</x:v>
      </x:c>
      <x:c r="C304" s="32" t="str">
        <x:v>W0</x:v>
      </x:c>
      <x:c r="D304" s="32" t="str">
        <x:v>V1</x:v>
      </x:c>
      <x:c r="E304" s="86" t="n">
        <x:f>COUNT('13_W0_EC'!B8,'13_W0_EC'!D8,'13_W0_EC'!F8,'13_W0_EC'!H8)</x:f>
        <x:v>4</x:v>
      </x:c>
      <x:c r="F304" s="90" t="n">
        <x:f>IF(E304=0,"",AVERAGE('13_W0_EC'!B8,'13_W0_EC'!D8,'13_W0_EC'!F8,'13_W0_EC'!H8))</x:f>
        <x:v>901.75</x:v>
      </x:c>
      <x:c r="G304" s="90" t="n">
        <x:f>IF(E304&lt;2,"",STDEV.S('13_W0_EC'!B8,'13_W0_EC'!D8,'13_W0_EC'!F8,'13_W0_EC'!H8))</x:f>
        <x:v>106.6376262551513</x:v>
      </x:c>
      <x:c r="H304" s="90" t="n">
        <x:f>IF(E304=0,"",MIN('13_W0_EC'!B8,'13_W0_EC'!D8,'13_W0_EC'!F8,'13_W0_EC'!H8))</x:f>
        <x:v>761</x:v>
      </x:c>
      <x:c r="I304" s="90" t="n">
        <x:f>IF(E304=0,"",MAX('13_W0_EC'!B8,'13_W0_EC'!D8,'13_W0_EC'!F8,'13_W0_EC'!H8))</x:f>
        <x:v>998</x:v>
      </x:c>
      <x:c r="J304" s="32" t="str">
        <x:v>μS/cm</x:v>
      </x:c>
    </x:row>
    <x:row r="305">
      <x:c r="A305" s="72" t="n">
        <x:v>46240.813113425924</x:v>
      </x:c>
      <x:c r="B305" s="32" t="str">
        <x:v>土壤EC</x:v>
      </x:c>
      <x:c r="C305" s="32" t="str">
        <x:v>W0</x:v>
      </x:c>
      <x:c r="D305" s="32" t="str">
        <x:v>V2</x:v>
      </x:c>
      <x:c r="E305" s="86" t="n">
        <x:f>COUNT('13_W0_EC'!C8,'13_W0_EC'!E8,'13_W0_EC'!G8,'13_W0_EC'!I8)</x:f>
        <x:v>4</x:v>
      </x:c>
      <x:c r="F305" s="90" t="n">
        <x:f>IF(E305=0,"",AVERAGE('13_W0_EC'!C8,'13_W0_EC'!E8,'13_W0_EC'!G8,'13_W0_EC'!I8))</x:f>
        <x:v>913.75</x:v>
      </x:c>
      <x:c r="G305" s="90" t="n">
        <x:f>IF(E305&lt;2,"",STDEV.S('13_W0_EC'!C8,'13_W0_EC'!E8,'13_W0_EC'!G8,'13_W0_EC'!I8))</x:f>
        <x:v>100.77160645075907</x:v>
      </x:c>
      <x:c r="H305" s="90" t="n">
        <x:f>IF(E305=0,"",MIN('13_W0_EC'!C8,'13_W0_EC'!E8,'13_W0_EC'!G8,'13_W0_EC'!I8))</x:f>
        <x:v>778</x:v>
      </x:c>
      <x:c r="I305" s="90" t="n">
        <x:f>IF(E305=0,"",MAX('13_W0_EC'!C8,'13_W0_EC'!E8,'13_W0_EC'!G8,'13_W0_EC'!I8))</x:f>
        <x:v>1002</x:v>
      </x:c>
      <x:c r="J305" s="32" t="str">
        <x:v>μS/cm</x:v>
      </x:c>
    </x:row>
    <x:row r="306">
      <x:c r="A306" s="72" t="n">
        <x:v>46240.81658564815</x:v>
      </x:c>
      <x:c r="B306" s="32" t="str">
        <x:v>土壤EC</x:v>
      </x:c>
      <x:c r="C306" s="32" t="str">
        <x:v>W0</x:v>
      </x:c>
      <x:c r="D306" s="32" t="str">
        <x:v>V1</x:v>
      </x:c>
      <x:c r="E306" s="86" t="n">
        <x:f>COUNT('13_W0_EC'!B9,'13_W0_EC'!D9,'13_W0_EC'!F9,'13_W0_EC'!H9)</x:f>
        <x:v>4</x:v>
      </x:c>
      <x:c r="F306" s="90" t="n">
        <x:f>IF(E306=0,"",AVERAGE('13_W0_EC'!B9,'13_W0_EC'!D9,'13_W0_EC'!F9,'13_W0_EC'!H9))</x:f>
        <x:v>901.5</x:v>
      </x:c>
      <x:c r="G306" s="90" t="n">
        <x:f>IF(E306&lt;2,"",STDEV.S('13_W0_EC'!B9,'13_W0_EC'!D9,'13_W0_EC'!F9,'13_W0_EC'!H9))</x:f>
        <x:v>111.8704608017684</x:v>
      </x:c>
      <x:c r="H306" s="90" t="n">
        <x:f>IF(E306=0,"",MIN('13_W0_EC'!B9,'13_W0_EC'!D9,'13_W0_EC'!F9,'13_W0_EC'!H9))</x:f>
        <x:v>758</x:v>
      </x:c>
      <x:c r="I306" s="90" t="n">
        <x:f>IF(E306=0,"",MAX('13_W0_EC'!B9,'13_W0_EC'!D9,'13_W0_EC'!F9,'13_W0_EC'!H9))</x:f>
        <x:v>1007</x:v>
      </x:c>
      <x:c r="J306" s="32" t="str">
        <x:v>μS/cm</x:v>
      </x:c>
    </x:row>
    <x:row r="307">
      <x:c r="A307" s="72" t="n">
        <x:v>46240.81658564815</x:v>
      </x:c>
      <x:c r="B307" s="32" t="str">
        <x:v>土壤EC</x:v>
      </x:c>
      <x:c r="C307" s="32" t="str">
        <x:v>W0</x:v>
      </x:c>
      <x:c r="D307" s="32" t="str">
        <x:v>V2</x:v>
      </x:c>
      <x:c r="E307" s="86" t="n">
        <x:f>COUNT('13_W0_EC'!C9,'13_W0_EC'!E9,'13_W0_EC'!G9,'13_W0_EC'!I9)</x:f>
        <x:v>4</x:v>
      </x:c>
      <x:c r="F307" s="90" t="n">
        <x:f>IF(E307=0,"",AVERAGE('13_W0_EC'!C9,'13_W0_EC'!E9,'13_W0_EC'!G9,'13_W0_EC'!I9))</x:f>
        <x:v>913.75</x:v>
      </x:c>
      <x:c r="G307" s="90" t="n">
        <x:f>IF(E307&lt;2,"",STDEV.S('13_W0_EC'!C9,'13_W0_EC'!E9,'13_W0_EC'!G9,'13_W0_EC'!I9))</x:f>
        <x:v>106.6376262551513</x:v>
      </x:c>
      <x:c r="H307" s="90" t="n">
        <x:f>IF(E307=0,"",MIN('13_W0_EC'!C9,'13_W0_EC'!E9,'13_W0_EC'!G9,'13_W0_EC'!I9))</x:f>
        <x:v>773</x:v>
      </x:c>
      <x:c r="I307" s="90" t="n">
        <x:f>IF(E307=0,"",MAX('13_W0_EC'!C9,'13_W0_EC'!E9,'13_W0_EC'!G9,'13_W0_EC'!I9))</x:f>
        <x:v>1010</x:v>
      </x:c>
      <x:c r="J307" s="32" t="str">
        <x:v>μS/cm</x:v>
      </x:c>
    </x:row>
    <x:row r="308">
      <x:c r="A308" s="72" t="n">
        <x:v>46240.82005787037</x:v>
      </x:c>
      <x:c r="B308" s="32" t="str">
        <x:v>土壤EC</x:v>
      </x:c>
      <x:c r="C308" s="32" t="str">
        <x:v>W0</x:v>
      </x:c>
      <x:c r="D308" s="32" t="str">
        <x:v>V1</x:v>
      </x:c>
      <x:c r="E308" s="86" t="n">
        <x:f>COUNT('13_W0_EC'!B10,'13_W0_EC'!D10,'13_W0_EC'!F10,'13_W0_EC'!H10)</x:f>
        <x:v>4</x:v>
      </x:c>
      <x:c r="F308" s="90" t="n">
        <x:f>IF(E308=0,"",AVERAGE('13_W0_EC'!B10,'13_W0_EC'!D10,'13_W0_EC'!F10,'13_W0_EC'!H10))</x:f>
        <x:v>901.25</x:v>
      </x:c>
      <x:c r="G308" s="90" t="n">
        <x:f>IF(E308&lt;2,"",STDEV.S('13_W0_EC'!B10,'13_W0_EC'!D10,'13_W0_EC'!F10,'13_W0_EC'!H10))</x:f>
        <x:v>115.69031938757884</x:v>
      </x:c>
      <x:c r="H308" s="90" t="n">
        <x:f>IF(E308=0,"",MIN('13_W0_EC'!B10,'13_W0_EC'!D10,'13_W0_EC'!F10,'13_W0_EC'!H10))</x:f>
        <x:v>757</x:v>
      </x:c>
      <x:c r="I308" s="90" t="n">
        <x:f>IF(E308=0,"",MAX('13_W0_EC'!B10,'13_W0_EC'!D10,'13_W0_EC'!F10,'13_W0_EC'!H10))</x:f>
        <x:v>1015</x:v>
      </x:c>
      <x:c r="J308" s="32" t="str">
        <x:v>μS/cm</x:v>
      </x:c>
    </x:row>
    <x:row r="309">
      <x:c r="A309" s="72" t="n">
        <x:v>46240.82005787037</x:v>
      </x:c>
      <x:c r="B309" s="32" t="str">
        <x:v>土壤EC</x:v>
      </x:c>
      <x:c r="C309" s="32" t="str">
        <x:v>W0</x:v>
      </x:c>
      <x:c r="D309" s="32" t="str">
        <x:v>V2</x:v>
      </x:c>
      <x:c r="E309" s="86" t="n">
        <x:f>COUNT('13_W0_EC'!C10,'13_W0_EC'!E10,'13_W0_EC'!G10,'13_W0_EC'!I10)</x:f>
        <x:v>4</x:v>
      </x:c>
      <x:c r="F309" s="90" t="n">
        <x:f>IF(E309=0,"",AVERAGE('13_W0_EC'!C10,'13_W0_EC'!E10,'13_W0_EC'!G10,'13_W0_EC'!I10))</x:f>
        <x:v>913.5</x:v>
      </x:c>
      <x:c r="G309" s="90" t="n">
        <x:f>IF(E309&lt;2,"",STDEV.S('13_W0_EC'!C10,'13_W0_EC'!E10,'13_W0_EC'!G10,'13_W0_EC'!I10))</x:f>
        <x:v>111.8704608017684</x:v>
      </x:c>
      <x:c r="H309" s="90" t="n">
        <x:f>IF(E309=0,"",MIN('13_W0_EC'!C10,'13_W0_EC'!E10,'13_W0_EC'!G10,'13_W0_EC'!I10))</x:f>
        <x:v>770</x:v>
      </x:c>
      <x:c r="I309" s="90" t="n">
        <x:f>IF(E309=0,"",MAX('13_W0_EC'!C10,'13_W0_EC'!E10,'13_W0_EC'!G10,'13_W0_EC'!I10))</x:f>
        <x:v>1019</x:v>
      </x:c>
      <x:c r="J309" s="32" t="str">
        <x:v>μS/cm</x:v>
      </x:c>
    </x:row>
    <x:row r="310">
      <x:c r="A310" s="72" t="n">
        <x:v>46240.823530092595</x:v>
      </x:c>
      <x:c r="B310" s="32" t="str">
        <x:v>土壤EC</x:v>
      </x:c>
      <x:c r="C310" s="32" t="str">
        <x:v>W0</x:v>
      </x:c>
      <x:c r="D310" s="32" t="str">
        <x:v>V1</x:v>
      </x:c>
      <x:c r="E310" s="86" t="n">
        <x:f>COUNT('13_W0_EC'!B11,'13_W0_EC'!D11,'13_W0_EC'!F11,'13_W0_EC'!H11)</x:f>
        <x:v>4</x:v>
      </x:c>
      <x:c r="F310" s="90" t="n">
        <x:f>IF(E310=0,"",AVERAGE('13_W0_EC'!B11,'13_W0_EC'!D11,'13_W0_EC'!F11,'13_W0_EC'!H11))</x:f>
        <x:v>900.5</x:v>
      </x:c>
      <x:c r="G310" s="90" t="n">
        <x:f>IF(E310&lt;2,"",STDEV.S('13_W0_EC'!B11,'13_W0_EC'!D11,'13_W0_EC'!F11,'13_W0_EC'!H11))</x:f>
        <x:v>118.49753865235625</x:v>
      </x:c>
      <x:c r="H310" s="90" t="n">
        <x:f>IF(E310=0,"",MIN('13_W0_EC'!B11,'13_W0_EC'!D11,'13_W0_EC'!F11,'13_W0_EC'!H11))</x:f>
        <x:v>758</x:v>
      </x:c>
      <x:c r="I310" s="90" t="n">
        <x:f>IF(E310=0,"",MAX('13_W0_EC'!B11,'13_W0_EC'!D11,'13_W0_EC'!F11,'13_W0_EC'!H11))</x:f>
        <x:v>1023</x:v>
      </x:c>
      <x:c r="J310" s="32" t="str">
        <x:v>μS/cm</x:v>
      </x:c>
    </x:row>
    <x:row r="311">
      <x:c r="A311" s="72" t="n">
        <x:v>46240.823530092595</x:v>
      </x:c>
      <x:c r="B311" s="32" t="str">
        <x:v>土壤EC</x:v>
      </x:c>
      <x:c r="C311" s="32" t="str">
        <x:v>W0</x:v>
      </x:c>
      <x:c r="D311" s="32" t="str">
        <x:v>V2</x:v>
      </x:c>
      <x:c r="E311" s="86" t="n">
        <x:f>COUNT('13_W0_EC'!C11,'13_W0_EC'!E11,'13_W0_EC'!G11,'13_W0_EC'!I11)</x:f>
        <x:v>4</x:v>
      </x:c>
      <x:c r="F311" s="90" t="n">
        <x:f>IF(E311=0,"",AVERAGE('13_W0_EC'!C11,'13_W0_EC'!E11,'13_W0_EC'!G11,'13_W0_EC'!I11))</x:f>
        <x:v>913.25</x:v>
      </x:c>
      <x:c r="G311" s="90" t="n">
        <x:f>IF(E311&lt;2,"",STDEV.S('13_W0_EC'!C11,'13_W0_EC'!E11,'13_W0_EC'!G11,'13_W0_EC'!I11))</x:f>
        <x:v>115.69031938757884</x:v>
      </x:c>
      <x:c r="H311" s="90" t="n">
        <x:f>IF(E311=0,"",MIN('13_W0_EC'!C11,'13_W0_EC'!E11,'13_W0_EC'!G11,'13_W0_EC'!I11))</x:f>
        <x:v>769</x:v>
      </x:c>
      <x:c r="I311" s="90" t="n">
        <x:f>IF(E311=0,"",MAX('13_W0_EC'!C11,'13_W0_EC'!E11,'13_W0_EC'!G11,'13_W0_EC'!I11))</x:f>
        <x:v>1027</x:v>
      </x:c>
      <x:c r="J311" s="32" t="str">
        <x:v>μS/cm</x:v>
      </x:c>
    </x:row>
    <x:row r="312">
      <x:c r="A312" s="72" t="n">
        <x:v>46240.827002314814</x:v>
      </x:c>
      <x:c r="B312" s="32" t="str">
        <x:v>土壤EC</x:v>
      </x:c>
      <x:c r="C312" s="32" t="str">
        <x:v>W0</x:v>
      </x:c>
      <x:c r="D312" s="32" t="str">
        <x:v>V1</x:v>
      </x:c>
      <x:c r="E312" s="86" t="n">
        <x:f>COUNT('13_W0_EC'!B12,'13_W0_EC'!D12,'13_W0_EC'!F12,'13_W0_EC'!H12)</x:f>
        <x:v>4</x:v>
      </x:c>
      <x:c r="F312" s="90" t="n">
        <x:f>IF(E312=0,"",AVERAGE('13_W0_EC'!B12,'13_W0_EC'!D12,'13_W0_EC'!F12,'13_W0_EC'!H12))</x:f>
        <x:v>900.25</x:v>
      </x:c>
      <x:c r="G312" s="90" t="n">
        <x:f>IF(E312&lt;2,"",STDEV.S('13_W0_EC'!B12,'13_W0_EC'!D12,'13_W0_EC'!F12,'13_W0_EC'!H12))</x:f>
        <x:v>120.55807729057393</x:v>
      </x:c>
      <x:c r="H312" s="90" t="n">
        <x:f>IF(E312=0,"",MIN('13_W0_EC'!B12,'13_W0_EC'!D12,'13_W0_EC'!F12,'13_W0_EC'!H12))</x:f>
        <x:v>761</x:v>
      </x:c>
      <x:c r="I312" s="90" t="n">
        <x:f>IF(E312=0,"",MAX('13_W0_EC'!B12,'13_W0_EC'!D12,'13_W0_EC'!F12,'13_W0_EC'!H12))</x:f>
        <x:v>1031</x:v>
      </x:c>
      <x:c r="J312" s="32" t="str">
        <x:v>μS/cm</x:v>
      </x:c>
    </x:row>
    <x:row r="313">
      <x:c r="A313" s="72" t="n">
        <x:v>46240.827002314814</x:v>
      </x:c>
      <x:c r="B313" s="32" t="str">
        <x:v>土壤EC</x:v>
      </x:c>
      <x:c r="C313" s="32" t="str">
        <x:v>W0</x:v>
      </x:c>
      <x:c r="D313" s="32" t="str">
        <x:v>V2</x:v>
      </x:c>
      <x:c r="E313" s="86" t="n">
        <x:f>COUNT('13_W0_EC'!C12,'13_W0_EC'!E12,'13_W0_EC'!G12,'13_W0_EC'!I12)</x:f>
        <x:v>4</x:v>
      </x:c>
      <x:c r="F313" s="90" t="n">
        <x:f>IF(E313=0,"",AVERAGE('13_W0_EC'!C12,'13_W0_EC'!E12,'13_W0_EC'!G12,'13_W0_EC'!I12))</x:f>
        <x:v>912.5</x:v>
      </x:c>
      <x:c r="G313" s="90" t="n">
        <x:f>IF(E313&lt;2,"",STDEV.S('13_W0_EC'!C12,'13_W0_EC'!E12,'13_W0_EC'!G12,'13_W0_EC'!I12))</x:f>
        <x:v>118.49753865235625</x:v>
      </x:c>
      <x:c r="H313" s="90" t="n">
        <x:f>IF(E313=0,"",MIN('13_W0_EC'!C12,'13_W0_EC'!E12,'13_W0_EC'!G12,'13_W0_EC'!I12))</x:f>
        <x:v>770</x:v>
      </x:c>
      <x:c r="I313" s="90" t="n">
        <x:f>IF(E313=0,"",MAX('13_W0_EC'!C12,'13_W0_EC'!E12,'13_W0_EC'!G12,'13_W0_EC'!I12))</x:f>
        <x:v>1035</x:v>
      </x:c>
      <x:c r="J313" s="32" t="str">
        <x:v>μS/cm</x:v>
      </x:c>
    </x:row>
    <x:row r="314">
      <x:c r="A314" s="72" t="n">
        <x:v>46240.83047453704</x:v>
      </x:c>
      <x:c r="B314" s="32" t="str">
        <x:v>土壤EC</x:v>
      </x:c>
      <x:c r="C314" s="32" t="str">
        <x:v>W0</x:v>
      </x:c>
      <x:c r="D314" s="32" t="str">
        <x:v>V1</x:v>
      </x:c>
      <x:c r="E314" s="86" t="n">
        <x:f>COUNT('13_W0_EC'!B13,'13_W0_EC'!D13,'13_W0_EC'!F13,'13_W0_EC'!H13)</x:f>
        <x:v>4</x:v>
      </x:c>
      <x:c r="F314" s="90" t="n">
        <x:f>IF(E314=0,"",AVERAGE('13_W0_EC'!B13,'13_W0_EC'!D13,'13_W0_EC'!F13,'13_W0_EC'!H13))</x:f>
        <x:v>899.75</x:v>
      </x:c>
      <x:c r="G314" s="90" t="n">
        <x:f>IF(E314&lt;2,"",STDEV.S('13_W0_EC'!B13,'13_W0_EC'!D13,'13_W0_EC'!F13,'13_W0_EC'!H13))</x:f>
        <x:v>121.01342900686684</x:v>
      </x:c>
      <x:c r="H314" s="90" t="n">
        <x:f>IF(E314=0,"",MIN('13_W0_EC'!B13,'13_W0_EC'!D13,'13_W0_EC'!F13,'13_W0_EC'!H13))</x:f>
        <x:v>766</x:v>
      </x:c>
      <x:c r="I314" s="90" t="n">
        <x:f>IF(E314=0,"",MAX('13_W0_EC'!B13,'13_W0_EC'!D13,'13_W0_EC'!F13,'13_W0_EC'!H13))</x:f>
        <x:v>1037</x:v>
      </x:c>
      <x:c r="J314" s="32" t="str">
        <x:v>μS/cm</x:v>
      </x:c>
    </x:row>
    <x:row r="315">
      <x:c r="A315" s="72" t="n">
        <x:v>46240.83047453704</x:v>
      </x:c>
      <x:c r="B315" s="32" t="str">
        <x:v>土壤EC</x:v>
      </x:c>
      <x:c r="C315" s="32" t="str">
        <x:v>W0</x:v>
      </x:c>
      <x:c r="D315" s="32" t="str">
        <x:v>V2</x:v>
      </x:c>
      <x:c r="E315" s="86" t="n">
        <x:f>COUNT('13_W0_EC'!C13,'13_W0_EC'!E13,'13_W0_EC'!G13,'13_W0_EC'!I13)</x:f>
        <x:v>4</x:v>
      </x:c>
      <x:c r="F315" s="90" t="n">
        <x:f>IF(E315=0,"",AVERAGE('13_W0_EC'!C13,'13_W0_EC'!E13,'13_W0_EC'!G13,'13_W0_EC'!I13))</x:f>
        <x:v>912.25</x:v>
      </x:c>
      <x:c r="G315" s="90" t="n">
        <x:f>IF(E315&lt;2,"",STDEV.S('13_W0_EC'!C13,'13_W0_EC'!E13,'13_W0_EC'!G13,'13_W0_EC'!I13))</x:f>
        <x:v>120.55807729057393</x:v>
      </x:c>
      <x:c r="H315" s="90" t="n">
        <x:f>IF(E315=0,"",MIN('13_W0_EC'!C13,'13_W0_EC'!E13,'13_W0_EC'!G13,'13_W0_EC'!I13))</x:f>
        <x:v>773</x:v>
      </x:c>
      <x:c r="I315" s="90" t="n">
        <x:f>IF(E315=0,"",MAX('13_W0_EC'!C13,'13_W0_EC'!E13,'13_W0_EC'!G13,'13_W0_EC'!I13))</x:f>
        <x:v>1043</x:v>
      </x:c>
      <x:c r="J315" s="32" t="str">
        <x:v>μS/cm</x:v>
      </x:c>
    </x:row>
    <x:row r="316">
      <x:c r="A316" s="72" t="n">
        <x:v>46240.83394675926</x:v>
      </x:c>
      <x:c r="B316" s="32" t="str">
        <x:v>土壤EC</x:v>
      </x:c>
      <x:c r="C316" s="32" t="str">
        <x:v>W0</x:v>
      </x:c>
      <x:c r="D316" s="32" t="str">
        <x:v>V1</x:v>
      </x:c>
      <x:c r="E316" s="86" t="n">
        <x:f>COUNT('13_W0_EC'!B14,'13_W0_EC'!D14,'13_W0_EC'!F14,'13_W0_EC'!H14)</x:f>
        <x:v>4</x:v>
      </x:c>
      <x:c r="F316" s="90" t="n">
        <x:f>IF(E316=0,"",AVERAGE('13_W0_EC'!B14,'13_W0_EC'!D14,'13_W0_EC'!F14,'13_W0_EC'!H14))</x:f>
        <x:v>899.5</x:v>
      </x:c>
      <x:c r="G316" s="90" t="n">
        <x:f>IF(E316&lt;2,"",STDEV.S('13_W0_EC'!B14,'13_W0_EC'!D14,'13_W0_EC'!F14,'13_W0_EC'!H14))</x:f>
        <x:v>119.85964013517366</x:v>
      </x:c>
      <x:c r="H316" s="90" t="n">
        <x:f>IF(E316=0,"",MIN('13_W0_EC'!B14,'13_W0_EC'!D14,'13_W0_EC'!F14,'13_W0_EC'!H14))</x:f>
        <x:v>773</x:v>
      </x:c>
      <x:c r="I316" s="90" t="n">
        <x:f>IF(E316=0,"",MAX('13_W0_EC'!B14,'13_W0_EC'!D14,'13_W0_EC'!F14,'13_W0_EC'!H14))</x:f>
        <x:v>1041</x:v>
      </x:c>
      <x:c r="J316" s="32" t="str">
        <x:v>μS/cm</x:v>
      </x:c>
    </x:row>
    <x:row r="317">
      <x:c r="A317" s="72" t="n">
        <x:v>46240.83394675926</x:v>
      </x:c>
      <x:c r="B317" s="32" t="str">
        <x:v>土壤EC</x:v>
      </x:c>
      <x:c r="C317" s="32" t="str">
        <x:v>W0</x:v>
      </x:c>
      <x:c r="D317" s="32" t="str">
        <x:v>V2</x:v>
      </x:c>
      <x:c r="E317" s="86" t="n">
        <x:f>COUNT('13_W0_EC'!C14,'13_W0_EC'!E14,'13_W0_EC'!G14,'13_W0_EC'!I14)</x:f>
        <x:v>4</x:v>
      </x:c>
      <x:c r="F317" s="90" t="n">
        <x:f>IF(E317=0,"",AVERAGE('13_W0_EC'!C14,'13_W0_EC'!E14,'13_W0_EC'!G14,'13_W0_EC'!I14))</x:f>
        <x:v>911.75</x:v>
      </x:c>
      <x:c r="G317" s="90" t="n">
        <x:f>IF(E317&lt;2,"",STDEV.S('13_W0_EC'!C14,'13_W0_EC'!E14,'13_W0_EC'!G14,'13_W0_EC'!I14))</x:f>
        <x:v>121.01342900686684</x:v>
      </x:c>
      <x:c r="H317" s="90" t="n">
        <x:f>IF(E317=0,"",MIN('13_W0_EC'!C14,'13_W0_EC'!E14,'13_W0_EC'!G14,'13_W0_EC'!I14))</x:f>
        <x:v>778</x:v>
      </x:c>
      <x:c r="I317" s="90" t="n">
        <x:f>IF(E317=0,"",MAX('13_W0_EC'!C14,'13_W0_EC'!E14,'13_W0_EC'!G14,'13_W0_EC'!I14))</x:f>
        <x:v>1049</x:v>
      </x:c>
      <x:c r="J317" s="32" t="str">
        <x:v>μS/cm</x:v>
      </x:c>
    </x:row>
    <x:row r="318">
      <x:c r="A318" s="72" t="n">
        <x:v>46240.83741898148</x:v>
      </x:c>
      <x:c r="B318" s="32" t="str">
        <x:v>土壤EC</x:v>
      </x:c>
      <x:c r="C318" s="32" t="str">
        <x:v>W0</x:v>
      </x:c>
      <x:c r="D318" s="32" t="str">
        <x:v>V1</x:v>
      </x:c>
      <x:c r="E318" s="86" t="n">
        <x:f>COUNT('13_W0_EC'!B15,'13_W0_EC'!D15,'13_W0_EC'!F15,'13_W0_EC'!H15)</x:f>
        <x:v>4</x:v>
      </x:c>
      <x:c r="F318" s="90" t="n">
        <x:f>IF(E318=0,"",AVERAGE('13_W0_EC'!B15,'13_W0_EC'!D15,'13_W0_EC'!F15,'13_W0_EC'!H15))</x:f>
        <x:v>899</x:v>
      </x:c>
      <x:c r="G318" s="90" t="n">
        <x:f>IF(E318&lt;2,"",STDEV.S('13_W0_EC'!B15,'13_W0_EC'!D15,'13_W0_EC'!F15,'13_W0_EC'!H15))</x:f>
        <x:v>117.2888173129334</x:v>
      </x:c>
      <x:c r="H318" s="90" t="n">
        <x:f>IF(E318=0,"",MIN('13_W0_EC'!B15,'13_W0_EC'!D15,'13_W0_EC'!F15,'13_W0_EC'!H15))</x:f>
        <x:v>781</x:v>
      </x:c>
      <x:c r="I318" s="90" t="n">
        <x:f>IF(E318=0,"",MAX('13_W0_EC'!B15,'13_W0_EC'!D15,'13_W0_EC'!F15,'13_W0_EC'!H15))</x:f>
        <x:v>1043</x:v>
      </x:c>
      <x:c r="J318" s="32" t="str">
        <x:v>μS/cm</x:v>
      </x:c>
    </x:row>
    <x:row r="319">
      <x:c r="A319" s="72" t="n">
        <x:v>46240.83741898148</x:v>
      </x:c>
      <x:c r="B319" s="32" t="str">
        <x:v>土壤EC</x:v>
      </x:c>
      <x:c r="C319" s="32" t="str">
        <x:v>W0</x:v>
      </x:c>
      <x:c r="D319" s="32" t="str">
        <x:v>V2</x:v>
      </x:c>
      <x:c r="E319" s="86" t="n">
        <x:f>COUNT('13_W0_EC'!C15,'13_W0_EC'!E15,'13_W0_EC'!G15,'13_W0_EC'!I15)</x:f>
        <x:v>4</x:v>
      </x:c>
      <x:c r="F319" s="90" t="n">
        <x:f>IF(E319=0,"",AVERAGE('13_W0_EC'!C15,'13_W0_EC'!E15,'13_W0_EC'!G15,'13_W0_EC'!I15))</x:f>
        <x:v>911.5</x:v>
      </x:c>
      <x:c r="G319" s="90" t="n">
        <x:f>IF(E319&lt;2,"",STDEV.S('13_W0_EC'!C15,'13_W0_EC'!E15,'13_W0_EC'!G15,'13_W0_EC'!I15))</x:f>
        <x:v>119.85964013517366</x:v>
      </x:c>
      <x:c r="H319" s="90" t="n">
        <x:f>IF(E319=0,"",MIN('13_W0_EC'!C15,'13_W0_EC'!E15,'13_W0_EC'!G15,'13_W0_EC'!I15))</x:f>
        <x:v>785</x:v>
      </x:c>
      <x:c r="I319" s="90" t="n">
        <x:f>IF(E319=0,"",MAX('13_W0_EC'!C15,'13_W0_EC'!E15,'13_W0_EC'!G15,'13_W0_EC'!I15))</x:f>
        <x:v>1053</x:v>
      </x:c>
      <x:c r="J319" s="32" t="str">
        <x:v>μS/cm</x:v>
      </x:c>
    </x:row>
    <x:row r="320">
      <x:c r="A320" s="72" t="n">
        <x:v>46240.840891203705</x:v>
      </x:c>
      <x:c r="B320" s="32" t="str">
        <x:v>土壤EC</x:v>
      </x:c>
      <x:c r="C320" s="32" t="str">
        <x:v>W0</x:v>
      </x:c>
      <x:c r="D320" s="32" t="str">
        <x:v>V1</x:v>
      </x:c>
      <x:c r="E320" s="86" t="n">
        <x:f>COUNT('13_W0_EC'!B16,'13_W0_EC'!D16,'13_W0_EC'!F16,'13_W0_EC'!H16)</x:f>
        <x:v>4</x:v>
      </x:c>
      <x:c r="F320" s="90" t="n">
        <x:f>IF(E320=0,"",AVERAGE('13_W0_EC'!B16,'13_W0_EC'!D16,'13_W0_EC'!F16,'13_W0_EC'!H16))</x:f>
        <x:v>898.75</x:v>
      </x:c>
      <x:c r="G320" s="90" t="n">
        <x:f>IF(E320&lt;2,"",STDEV.S('13_W0_EC'!B16,'13_W0_EC'!D16,'13_W0_EC'!F16,'13_W0_EC'!H16))</x:f>
        <x:v>113.96015385505</x:v>
      </x:c>
      <x:c r="H320" s="90" t="n">
        <x:f>IF(E320=0,"",MIN('13_W0_EC'!B16,'13_W0_EC'!D16,'13_W0_EC'!F16,'13_W0_EC'!H16))</x:f>
        <x:v>789</x:v>
      </x:c>
      <x:c r="I320" s="90" t="n">
        <x:f>IF(E320=0,"",MAX('13_W0_EC'!B16,'13_W0_EC'!D16,'13_W0_EC'!F16,'13_W0_EC'!H16))</x:f>
        <x:v>1043</x:v>
      </x:c>
      <x:c r="J320" s="32" t="str">
        <x:v>μS/cm</x:v>
      </x:c>
    </x:row>
    <x:row r="321">
      <x:c r="A321" s="72" t="n">
        <x:v>46240.840891203705</x:v>
      </x:c>
      <x:c r="B321" s="32" t="str">
        <x:v>土壤EC</x:v>
      </x:c>
      <x:c r="C321" s="32" t="str">
        <x:v>W0</x:v>
      </x:c>
      <x:c r="D321" s="32" t="str">
        <x:v>V2</x:v>
      </x:c>
      <x:c r="E321" s="86" t="n">
        <x:f>COUNT('13_W0_EC'!C16,'13_W0_EC'!E16,'13_W0_EC'!G16,'13_W0_EC'!I16)</x:f>
        <x:v>4</x:v>
      </x:c>
      <x:c r="F321" s="90" t="n">
        <x:f>IF(E321=0,"",AVERAGE('13_W0_EC'!C16,'13_W0_EC'!E16,'13_W0_EC'!G16,'13_W0_EC'!I16))</x:f>
        <x:v>911</x:v>
      </x:c>
      <x:c r="G321" s="90" t="n">
        <x:f>IF(E321&lt;2,"",STDEV.S('13_W0_EC'!C16,'13_W0_EC'!E16,'13_W0_EC'!G16,'13_W0_EC'!I16))</x:f>
        <x:v>117.2888173129334</x:v>
      </x:c>
      <x:c r="H321" s="90" t="n">
        <x:f>IF(E321=0,"",MIN('13_W0_EC'!C16,'13_W0_EC'!E16,'13_W0_EC'!G16,'13_W0_EC'!I16))</x:f>
        <x:v>793</x:v>
      </x:c>
      <x:c r="I321" s="90" t="n">
        <x:f>IF(E321=0,"",MAX('13_W0_EC'!C16,'13_W0_EC'!E16,'13_W0_EC'!G16,'13_W0_EC'!I16))</x:f>
        <x:v>1055</x:v>
      </x:c>
      <x:c r="J321" s="32" t="str">
        <x:v>μS/cm</x:v>
      </x:c>
    </x:row>
    <x:row r="322">
      <x:c r="A322" s="72" t="n">
        <x:v>46240.844363425924</x:v>
      </x:c>
      <x:c r="B322" s="32" t="str">
        <x:v>土壤EC</x:v>
      </x:c>
      <x:c r="C322" s="32" t="str">
        <x:v>W0</x:v>
      </x:c>
      <x:c r="D322" s="32" t="str">
        <x:v>V1</x:v>
      </x:c>
      <x:c r="E322" s="86" t="n">
        <x:f>COUNT('13_W0_EC'!B17,'13_W0_EC'!D17,'13_W0_EC'!F17,'13_W0_EC'!H17)</x:f>
        <x:v>4</x:v>
      </x:c>
      <x:c r="F322" s="90" t="n">
        <x:f>IF(E322=0,"",AVERAGE('13_W0_EC'!B17,'13_W0_EC'!D17,'13_W0_EC'!F17,'13_W0_EC'!H17))</x:f>
        <x:v>898.25</x:v>
      </x:c>
      <x:c r="G322" s="90" t="n">
        <x:f>IF(E322&lt;2,"",STDEV.S('13_W0_EC'!B17,'13_W0_EC'!D17,'13_W0_EC'!F17,'13_W0_EC'!H17))</x:f>
        <x:v>108.8067859403386</x:v>
      </x:c>
      <x:c r="H322" s="90" t="n">
        <x:f>IF(E322=0,"",MIN('13_W0_EC'!B17,'13_W0_EC'!D17,'13_W0_EC'!F17,'13_W0_EC'!H17))</x:f>
        <x:v>798</x:v>
      </x:c>
      <x:c r="I322" s="90" t="n">
        <x:f>IF(E322=0,"",MAX('13_W0_EC'!B17,'13_W0_EC'!D17,'13_W0_EC'!F17,'13_W0_EC'!H17))</x:f>
        <x:v>1040</x:v>
      </x:c>
      <x:c r="J322" s="32" t="str">
        <x:v>μS/cm</x:v>
      </x:c>
    </x:row>
    <x:row r="323">
      <x:c r="A323" s="72" t="n">
        <x:v>46240.844363425924</x:v>
      </x:c>
      <x:c r="B323" s="32" t="str">
        <x:v>土壤EC</x:v>
      </x:c>
      <x:c r="C323" s="32" t="str">
        <x:v>W0</x:v>
      </x:c>
      <x:c r="D323" s="32" t="str">
        <x:v>V2</x:v>
      </x:c>
      <x:c r="E323" s="86" t="n">
        <x:f>COUNT('13_W0_EC'!C17,'13_W0_EC'!E17,'13_W0_EC'!G17,'13_W0_EC'!I17)</x:f>
        <x:v>4</x:v>
      </x:c>
      <x:c r="F323" s="90" t="n">
        <x:f>IF(E323=0,"",AVERAGE('13_W0_EC'!C17,'13_W0_EC'!E17,'13_W0_EC'!G17,'13_W0_EC'!I17))</x:f>
        <x:v>910.75</x:v>
      </x:c>
      <x:c r="G323" s="90" t="n">
        <x:f>IF(E323&lt;2,"",STDEV.S('13_W0_EC'!C17,'13_W0_EC'!E17,'13_W0_EC'!G17,'13_W0_EC'!I17))</x:f>
        <x:v>113.96015385505</x:v>
      </x:c>
      <x:c r="H323" s="90" t="n">
        <x:f>IF(E323=0,"",MIN('13_W0_EC'!C17,'13_W0_EC'!E17,'13_W0_EC'!G17,'13_W0_EC'!I17))</x:f>
        <x:v>801</x:v>
      </x:c>
      <x:c r="I323" s="90" t="n">
        <x:f>IF(E323=0,"",MAX('13_W0_EC'!C17,'13_W0_EC'!E17,'13_W0_EC'!G17,'13_W0_EC'!I17))</x:f>
        <x:v>1055</x:v>
      </x:c>
      <x:c r="J323" s="32" t="str">
        <x:v>μS/cm</x:v>
      </x:c>
    </x:row>
    <x:row r="324">
      <x:c r="A324" s="72" t="n">
        <x:v>46240.84783564815</x:v>
      </x:c>
      <x:c r="B324" s="32" t="str">
        <x:v>土壤EC</x:v>
      </x:c>
      <x:c r="C324" s="32" t="str">
        <x:v>W0</x:v>
      </x:c>
      <x:c r="D324" s="32" t="str">
        <x:v>V1</x:v>
      </x:c>
      <x:c r="E324" s="86" t="n">
        <x:f>COUNT('13_W0_EC'!B18,'13_W0_EC'!D18,'13_W0_EC'!F18,'13_W0_EC'!H18)</x:f>
        <x:v>4</x:v>
      </x:c>
      <x:c r="F324" s="90" t="n">
        <x:f>IF(E324=0,"",AVERAGE('13_W0_EC'!B18,'13_W0_EC'!D18,'13_W0_EC'!F18,'13_W0_EC'!H18))</x:f>
        <x:v>898</x:v>
      </x:c>
      <x:c r="G324" s="90" t="n">
        <x:f>IF(E324&lt;2,"",STDEV.S('13_W0_EC'!B18,'13_W0_EC'!D18,'13_W0_EC'!F18,'13_W0_EC'!H18))</x:f>
        <x:v>103.4311365112073</x:v>
      </x:c>
      <x:c r="H324" s="90" t="n">
        <x:f>IF(E324=0,"",MIN('13_W0_EC'!B18,'13_W0_EC'!D18,'13_W0_EC'!F18,'13_W0_EC'!H18))</x:f>
        <x:v>806</x:v>
      </x:c>
      <x:c r="I324" s="90" t="n">
        <x:f>IF(E324=0,"",MAX('13_W0_EC'!B18,'13_W0_EC'!D18,'13_W0_EC'!F18,'13_W0_EC'!H18))</x:f>
        <x:v>1036</x:v>
      </x:c>
      <x:c r="J324" s="32" t="str">
        <x:v>μS/cm</x:v>
      </x:c>
    </x:row>
    <x:row r="325">
      <x:c r="A325" s="72" t="n">
        <x:v>46240.84783564815</x:v>
      </x:c>
      <x:c r="B325" s="32" t="str">
        <x:v>土壤EC</x:v>
      </x:c>
      <x:c r="C325" s="32" t="str">
        <x:v>W0</x:v>
      </x:c>
      <x:c r="D325" s="32" t="str">
        <x:v>V2</x:v>
      </x:c>
      <x:c r="E325" s="86" t="n">
        <x:f>COUNT('13_W0_EC'!C18,'13_W0_EC'!E18,'13_W0_EC'!G18,'13_W0_EC'!I18)</x:f>
        <x:v>4</x:v>
      </x:c>
      <x:c r="F325" s="90" t="n">
        <x:f>IF(E325=0,"",AVERAGE('13_W0_EC'!C18,'13_W0_EC'!E18,'13_W0_EC'!G18,'13_W0_EC'!I18))</x:f>
        <x:v>910.25</x:v>
      </x:c>
      <x:c r="G325" s="90" t="n">
        <x:f>IF(E325&lt;2,"",STDEV.S('13_W0_EC'!C18,'13_W0_EC'!E18,'13_W0_EC'!G18,'13_W0_EC'!I18))</x:f>
        <x:v>108.8067859403386</x:v>
      </x:c>
      <x:c r="H325" s="90" t="n">
        <x:f>IF(E325=0,"",MIN('13_W0_EC'!C18,'13_W0_EC'!E18,'13_W0_EC'!G18,'13_W0_EC'!I18))</x:f>
        <x:v>810</x:v>
      </x:c>
      <x:c r="I325" s="90" t="n">
        <x:f>IF(E325=0,"",MAX('13_W0_EC'!C18,'13_W0_EC'!E18,'13_W0_EC'!G18,'13_W0_EC'!I18))</x:f>
        <x:v>1052</x:v>
      </x:c>
      <x:c r="J325" s="32" t="str">
        <x:v>μS/cm</x:v>
      </x:c>
    </x:row>
    <x:row r="326">
      <x:c r="A326" s="72" t="n">
        <x:v>46240.85130787037</x:v>
      </x:c>
      <x:c r="B326" s="32" t="str">
        <x:v>土壤EC</x:v>
      </x:c>
      <x:c r="C326" s="32" t="str">
        <x:v>W0</x:v>
      </x:c>
      <x:c r="D326" s="32" t="str">
        <x:v>V1</x:v>
      </x:c>
      <x:c r="E326" s="86" t="n">
        <x:f>COUNT('13_W0_EC'!B19,'13_W0_EC'!D19,'13_W0_EC'!F19,'13_W0_EC'!H19)</x:f>
        <x:v>4</x:v>
      </x:c>
      <x:c r="F326" s="90" t="n">
        <x:f>IF(E326=0,"",AVERAGE('13_W0_EC'!B19,'13_W0_EC'!D19,'13_W0_EC'!F19,'13_W0_EC'!H19))</x:f>
        <x:v>898</x:v>
      </x:c>
      <x:c r="G326" s="90" t="n">
        <x:f>IF(E326&lt;2,"",STDEV.S('13_W0_EC'!B19,'13_W0_EC'!D19,'13_W0_EC'!F19,'13_W0_EC'!H19))</x:f>
        <x:v>96.99484522385713</x:v>
      </x:c>
      <x:c r="H326" s="90" t="n">
        <x:f>IF(E326=0,"",MIN('13_W0_EC'!B19,'13_W0_EC'!D19,'13_W0_EC'!F19,'13_W0_EC'!H19))</x:f>
        <x:v>814</x:v>
      </x:c>
      <x:c r="I326" s="90" t="n">
        <x:f>IF(E326=0,"",MAX('13_W0_EC'!B19,'13_W0_EC'!D19,'13_W0_EC'!F19,'13_W0_EC'!H19))</x:f>
        <x:v>1030</x:v>
      </x:c>
      <x:c r="J326" s="32" t="str">
        <x:v>μS/cm</x:v>
      </x:c>
    </x:row>
    <x:row r="327">
      <x:c r="A327" s="72" t="n">
        <x:v>46240.85130787037</x:v>
      </x:c>
      <x:c r="B327" s="32" t="str">
        <x:v>土壤EC</x:v>
      </x:c>
      <x:c r="C327" s="32" t="str">
        <x:v>W0</x:v>
      </x:c>
      <x:c r="D327" s="32" t="str">
        <x:v>V2</x:v>
      </x:c>
      <x:c r="E327" s="86" t="n">
        <x:f>COUNT('13_W0_EC'!C19,'13_W0_EC'!E19,'13_W0_EC'!G19,'13_W0_EC'!I19)</x:f>
        <x:v>4</x:v>
      </x:c>
      <x:c r="F327" s="90" t="n">
        <x:f>IF(E327=0,"",AVERAGE('13_W0_EC'!C19,'13_W0_EC'!E19,'13_W0_EC'!G19,'13_W0_EC'!I19))</x:f>
        <x:v>910</x:v>
      </x:c>
      <x:c r="G327" s="90" t="n">
        <x:f>IF(E327&lt;2,"",STDEV.S('13_W0_EC'!C19,'13_W0_EC'!E19,'13_W0_EC'!G19,'13_W0_EC'!I19))</x:f>
        <x:v>103.4311365112073</x:v>
      </x:c>
      <x:c r="H327" s="90" t="n">
        <x:f>IF(E327=0,"",MIN('13_W0_EC'!C19,'13_W0_EC'!E19,'13_W0_EC'!G19,'13_W0_EC'!I19))</x:f>
        <x:v>818</x:v>
      </x:c>
      <x:c r="I327" s="90" t="n">
        <x:f>IF(E327=0,"",MAX('13_W0_EC'!C19,'13_W0_EC'!E19,'13_W0_EC'!G19,'13_W0_EC'!I19))</x:f>
        <x:v>1048</x:v>
      </x:c>
      <x:c r="J327" s="32" t="str">
        <x:v>μS/cm</x:v>
      </x:c>
    </x:row>
    <x:row r="328">
      <x:c r="A328" s="72" t="n">
        <x:v>46240.854780092595</x:v>
      </x:c>
      <x:c r="B328" s="32" t="str">
        <x:v>土壤EC</x:v>
      </x:c>
      <x:c r="C328" s="32" t="str">
        <x:v>W0</x:v>
      </x:c>
      <x:c r="D328" s="32" t="str">
        <x:v>V1</x:v>
      </x:c>
      <x:c r="E328" s="86" t="n">
        <x:f>COUNT('13_W0_EC'!B20,'13_W0_EC'!D20,'13_W0_EC'!F20,'13_W0_EC'!H20)</x:f>
        <x:v>4</x:v>
      </x:c>
      <x:c r="F328" s="90" t="n">
        <x:f>IF(E328=0,"",AVERAGE('13_W0_EC'!B20,'13_W0_EC'!D20,'13_W0_EC'!F20,'13_W0_EC'!H20))</x:f>
        <x:v>898.25</x:v>
      </x:c>
      <x:c r="G328" s="90" t="n">
        <x:f>IF(E328&lt;2,"",STDEV.S('13_W0_EC'!B20,'13_W0_EC'!D20,'13_W0_EC'!F20,'13_W0_EC'!H20))</x:f>
        <x:v>90.49263321766401</x:v>
      </x:c>
      <x:c r="H328" s="90" t="n">
        <x:f>IF(E328=0,"",MIN('13_W0_EC'!B20,'13_W0_EC'!D20,'13_W0_EC'!F20,'13_W0_EC'!H20))</x:f>
        <x:v>820</x:v>
      </x:c>
      <x:c r="I328" s="90" t="n">
        <x:f>IF(E328=0,"",MAX('13_W0_EC'!B20,'13_W0_EC'!D20,'13_W0_EC'!F20,'13_W0_EC'!H20))</x:f>
        <x:v>1023</x:v>
      </x:c>
      <x:c r="J328" s="32" t="str">
        <x:v>μS/cm</x:v>
      </x:c>
    </x:row>
    <x:row r="329">
      <x:c r="A329" s="72" t="n">
        <x:v>46240.854780092595</x:v>
      </x:c>
      <x:c r="B329" s="32" t="str">
        <x:v>土壤EC</x:v>
      </x:c>
      <x:c r="C329" s="32" t="str">
        <x:v>W0</x:v>
      </x:c>
      <x:c r="D329" s="32" t="str">
        <x:v>V2</x:v>
      </x:c>
      <x:c r="E329" s="86" t="n">
        <x:f>COUNT('13_W0_EC'!C20,'13_W0_EC'!E20,'13_W0_EC'!G20,'13_W0_EC'!I20)</x:f>
        <x:v>4</x:v>
      </x:c>
      <x:c r="F329" s="90" t="n">
        <x:f>IF(E329=0,"",AVERAGE('13_W0_EC'!C20,'13_W0_EC'!E20,'13_W0_EC'!G20,'13_W0_EC'!I20))</x:f>
        <x:v>910</x:v>
      </x:c>
      <x:c r="G329" s="90" t="n">
        <x:f>IF(E329&lt;2,"",STDEV.S('13_W0_EC'!C20,'13_W0_EC'!E20,'13_W0_EC'!G20,'13_W0_EC'!I20))</x:f>
        <x:v>96.99484522385713</x:v>
      </x:c>
      <x:c r="H329" s="90" t="n">
        <x:f>IF(E329=0,"",MIN('13_W0_EC'!C20,'13_W0_EC'!E20,'13_W0_EC'!G20,'13_W0_EC'!I20))</x:f>
        <x:v>826</x:v>
      </x:c>
      <x:c r="I329" s="90" t="n">
        <x:f>IF(E329=0,"",MAX('13_W0_EC'!C20,'13_W0_EC'!E20,'13_W0_EC'!G20,'13_W0_EC'!I20))</x:f>
        <x:v>1042</x:v>
      </x:c>
      <x:c r="J329" s="32" t="str">
        <x:v>μS/cm</x:v>
      </x:c>
    </x:row>
    <x:row r="330">
      <x:c r="A330" s="72" t="n">
        <x:v>46240.858252314814</x:v>
      </x:c>
      <x:c r="B330" s="32" t="str">
        <x:v>土壤EC</x:v>
      </x:c>
      <x:c r="C330" s="32" t="str">
        <x:v>W0</x:v>
      </x:c>
      <x:c r="D330" s="32" t="str">
        <x:v>V1</x:v>
      </x:c>
      <x:c r="E330" s="86" t="n">
        <x:f>COUNT('13_W0_EC'!B21,'13_W0_EC'!D21,'13_W0_EC'!F21,'13_W0_EC'!H21)</x:f>
        <x:v>4</x:v>
      </x:c>
      <x:c r="F330" s="90" t="n">
        <x:f>IF(E330=0,"",AVERAGE('13_W0_EC'!B21,'13_W0_EC'!D21,'13_W0_EC'!F21,'13_W0_EC'!H21))</x:f>
        <x:v>898.25</x:v>
      </x:c>
      <x:c r="G330" s="90" t="n">
        <x:f>IF(E330&lt;2,"",STDEV.S('13_W0_EC'!B21,'13_W0_EC'!D21,'13_W0_EC'!F21,'13_W0_EC'!H21))</x:f>
        <x:v>83.6117017328715</x:v>
      </x:c>
      <x:c r="H330" s="90" t="n">
        <x:f>IF(E330=0,"",MIN('13_W0_EC'!B21,'13_W0_EC'!D21,'13_W0_EC'!F21,'13_W0_EC'!H21))</x:f>
        <x:v>824</x:v>
      </x:c>
      <x:c r="I330" s="90" t="n">
        <x:f>IF(E330=0,"",MAX('13_W0_EC'!B21,'13_W0_EC'!D21,'13_W0_EC'!F21,'13_W0_EC'!H21))</x:f>
        <x:v>1014</x:v>
      </x:c>
      <x:c r="J330" s="32" t="str">
        <x:v>μS/cm</x:v>
      </x:c>
    </x:row>
    <x:row r="331">
      <x:c r="A331" s="72" t="n">
        <x:v>46240.858252314814</x:v>
      </x:c>
      <x:c r="B331" s="32" t="str">
        <x:v>土壤EC</x:v>
      </x:c>
      <x:c r="C331" s="32" t="str">
        <x:v>W0</x:v>
      </x:c>
      <x:c r="D331" s="32" t="str">
        <x:v>V2</x:v>
      </x:c>
      <x:c r="E331" s="86" t="n">
        <x:f>COUNT('13_W0_EC'!C21,'13_W0_EC'!E21,'13_W0_EC'!G21,'13_W0_EC'!I21)</x:f>
        <x:v>4</x:v>
      </x:c>
      <x:c r="F331" s="90" t="n">
        <x:f>IF(E331=0,"",AVERAGE('13_W0_EC'!C21,'13_W0_EC'!E21,'13_W0_EC'!G21,'13_W0_EC'!I21))</x:f>
        <x:v>910.25</x:v>
      </x:c>
      <x:c r="G331" s="90" t="n">
        <x:f>IF(E331&lt;2,"",STDEV.S('13_W0_EC'!C21,'13_W0_EC'!E21,'13_W0_EC'!G21,'13_W0_EC'!I21))</x:f>
        <x:v>90.49263321766401</x:v>
      </x:c>
      <x:c r="H331" s="90" t="n">
        <x:f>IF(E331=0,"",MIN('13_W0_EC'!C21,'13_W0_EC'!E21,'13_W0_EC'!G21,'13_W0_EC'!I21))</x:f>
        <x:v>832</x:v>
      </x:c>
      <x:c r="I331" s="90" t="n">
        <x:f>IF(E331=0,"",MAX('13_W0_EC'!C21,'13_W0_EC'!E21,'13_W0_EC'!G21,'13_W0_EC'!I21))</x:f>
        <x:v>1035</x:v>
      </x:c>
      <x:c r="J331" s="32" t="str">
        <x:v>μS/cm</x:v>
      </x:c>
    </x:row>
    <x:row r="332">
      <x:c r="A332" s="72" t="n">
        <x:v>46240.86172453704</x:v>
      </x:c>
      <x:c r="B332" s="32" t="str">
        <x:v>土壤EC</x:v>
      </x:c>
      <x:c r="C332" s="32" t="str">
        <x:v>W0</x:v>
      </x:c>
      <x:c r="D332" s="32" t="str">
        <x:v>V1</x:v>
      </x:c>
      <x:c r="E332" s="86" t="n">
        <x:f>COUNT('13_W0_EC'!B22,'13_W0_EC'!D22,'13_W0_EC'!F22,'13_W0_EC'!H22)</x:f>
        <x:v>4</x:v>
      </x:c>
      <x:c r="F332" s="90" t="n">
        <x:f>IF(E332=0,"",AVERAGE('13_W0_EC'!B22,'13_W0_EC'!D22,'13_W0_EC'!F22,'13_W0_EC'!H22))</x:f>
        <x:v>898.75</x:v>
      </x:c>
      <x:c r="G332" s="90" t="n">
        <x:f>IF(E332&lt;2,"",STDEV.S('13_W0_EC'!B22,'13_W0_EC'!D22,'13_W0_EC'!F22,'13_W0_EC'!H22))</x:f>
        <x:v>77.63321883489482</x:v>
      </x:c>
      <x:c r="H332" s="90" t="n">
        <x:f>IF(E332=0,"",MIN('13_W0_EC'!B22,'13_W0_EC'!D22,'13_W0_EC'!F22,'13_W0_EC'!H22))</x:f>
        <x:v>827</x:v>
      </x:c>
      <x:c r="I332" s="90" t="n">
        <x:f>IF(E332=0,"",MAX('13_W0_EC'!B22,'13_W0_EC'!D22,'13_W0_EC'!F22,'13_W0_EC'!H22))</x:f>
        <x:v>1006</x:v>
      </x:c>
      <x:c r="J332" s="32" t="str">
        <x:v>μS/cm</x:v>
      </x:c>
    </x:row>
    <x:row r="333">
      <x:c r="A333" s="72" t="n">
        <x:v>46240.86172453704</x:v>
      </x:c>
      <x:c r="B333" s="32" t="str">
        <x:v>土壤EC</x:v>
      </x:c>
      <x:c r="C333" s="32" t="str">
        <x:v>W0</x:v>
      </x:c>
      <x:c r="D333" s="32" t="str">
        <x:v>V2</x:v>
      </x:c>
      <x:c r="E333" s="86" t="n">
        <x:f>COUNT('13_W0_EC'!C22,'13_W0_EC'!E22,'13_W0_EC'!G22,'13_W0_EC'!I22)</x:f>
        <x:v>4</x:v>
      </x:c>
      <x:c r="F333" s="90" t="n">
        <x:f>IF(E333=0,"",AVERAGE('13_W0_EC'!C22,'13_W0_EC'!E22,'13_W0_EC'!G22,'13_W0_EC'!I22))</x:f>
        <x:v>910.25</x:v>
      </x:c>
      <x:c r="G333" s="90" t="n">
        <x:f>IF(E333&lt;2,"",STDEV.S('13_W0_EC'!C22,'13_W0_EC'!E22,'13_W0_EC'!G22,'13_W0_EC'!I22))</x:f>
        <x:v>83.6117017328715</x:v>
      </x:c>
      <x:c r="H333" s="90" t="n">
        <x:f>IF(E333=0,"",MIN('13_W0_EC'!C22,'13_W0_EC'!E22,'13_W0_EC'!G22,'13_W0_EC'!I22))</x:f>
        <x:v>836</x:v>
      </x:c>
      <x:c r="I333" s="90" t="n">
        <x:f>IF(E333=0,"",MAX('13_W0_EC'!C22,'13_W0_EC'!E22,'13_W0_EC'!G22,'13_W0_EC'!I22))</x:f>
        <x:v>1026</x:v>
      </x:c>
      <x:c r="J333" s="32" t="str">
        <x:v>μS/cm</x:v>
      </x:c>
    </x:row>
    <x:row r="334">
      <x:c r="A334" s="72" t="n">
        <x:v>46240.86519675926</x:v>
      </x:c>
      <x:c r="B334" s="32" t="str">
        <x:v>土壤EC</x:v>
      </x:c>
      <x:c r="C334" s="32" t="str">
        <x:v>W0</x:v>
      </x:c>
      <x:c r="D334" s="32" t="str">
        <x:v>V1</x:v>
      </x:c>
      <x:c r="E334" s="86" t="n">
        <x:f>COUNT('13_W0_EC'!B23,'13_W0_EC'!D23,'13_W0_EC'!F23,'13_W0_EC'!H23)</x:f>
        <x:v>4</x:v>
      </x:c>
      <x:c r="F334" s="90" t="n">
        <x:f>IF(E334=0,"",AVERAGE('13_W0_EC'!B23,'13_W0_EC'!D23,'13_W0_EC'!F23,'13_W0_EC'!H23))</x:f>
        <x:v>899</x:v>
      </x:c>
      <x:c r="G334" s="90" t="n">
        <x:f>IF(E334&lt;2,"",STDEV.S('13_W0_EC'!B23,'13_W0_EC'!D23,'13_W0_EC'!F23,'13_W0_EC'!H23))</x:f>
        <x:v>72.19879962067698</x:v>
      </x:c>
      <x:c r="H334" s="90" t="n">
        <x:f>IF(E334=0,"",MIN('13_W0_EC'!B23,'13_W0_EC'!D23,'13_W0_EC'!F23,'13_W0_EC'!H23))</x:f>
        <x:v>827</x:v>
      </x:c>
      <x:c r="I334" s="90" t="n">
        <x:f>IF(E334=0,"",MAX('13_W0_EC'!B23,'13_W0_EC'!D23,'13_W0_EC'!F23,'13_W0_EC'!H23))</x:f>
        <x:v>997</x:v>
      </x:c>
      <x:c r="J334" s="32" t="str">
        <x:v>μS/cm</x:v>
      </x:c>
    </x:row>
    <x:row r="335">
      <x:c r="A335" s="72" t="n">
        <x:v>46240.86519675926</x:v>
      </x:c>
      <x:c r="B335" s="32" t="str">
        <x:v>土壤EC</x:v>
      </x:c>
      <x:c r="C335" s="32" t="str">
        <x:v>W0</x:v>
      </x:c>
      <x:c r="D335" s="32" t="str">
        <x:v>V2</x:v>
      </x:c>
      <x:c r="E335" s="86" t="n">
        <x:f>COUNT('13_W0_EC'!C23,'13_W0_EC'!E23,'13_W0_EC'!G23,'13_W0_EC'!I23)</x:f>
        <x:v>4</x:v>
      </x:c>
      <x:c r="F335" s="90" t="n">
        <x:f>IF(E335=0,"",AVERAGE('13_W0_EC'!C23,'13_W0_EC'!E23,'13_W0_EC'!G23,'13_W0_EC'!I23))</x:f>
        <x:v>910.75</x:v>
      </x:c>
      <x:c r="G335" s="90" t="n">
        <x:f>IF(E335&lt;2,"",STDEV.S('13_W0_EC'!C23,'13_W0_EC'!E23,'13_W0_EC'!G23,'13_W0_EC'!I23))</x:f>
        <x:v>77.63321883489482</x:v>
      </x:c>
      <x:c r="H335" s="90" t="n">
        <x:f>IF(E335=0,"",MIN('13_W0_EC'!C23,'13_W0_EC'!E23,'13_W0_EC'!G23,'13_W0_EC'!I23))</x:f>
        <x:v>839</x:v>
      </x:c>
      <x:c r="I335" s="90" t="n">
        <x:f>IF(E335=0,"",MAX('13_W0_EC'!C23,'13_W0_EC'!E23,'13_W0_EC'!G23,'13_W0_EC'!I23))</x:f>
        <x:v>1018</x:v>
      </x:c>
      <x:c r="J335" s="32" t="str">
        <x:v>μS/cm</x:v>
      </x:c>
    </x:row>
    <x:row r="336">
      <x:c r="A336" s="72" t="n">
        <x:v>46240.86866898148</x:v>
      </x:c>
      <x:c r="B336" s="32" t="str">
        <x:v>土壤EC</x:v>
      </x:c>
      <x:c r="C336" s="32" t="str">
        <x:v>W0</x:v>
      </x:c>
      <x:c r="D336" s="32" t="str">
        <x:v>V1</x:v>
      </x:c>
      <x:c r="E336" s="86" t="n">
        <x:f>COUNT('13_W0_EC'!B24,'13_W0_EC'!D24,'13_W0_EC'!F24,'13_W0_EC'!H24)</x:f>
        <x:v>4</x:v>
      </x:c>
      <x:c r="F336" s="90" t="n">
        <x:f>IF(E336=0,"",AVERAGE('13_W0_EC'!B24,'13_W0_EC'!D24,'13_W0_EC'!F24,'13_W0_EC'!H24))</x:f>
        <x:v>899.25</x:v>
      </x:c>
      <x:c r="G336" s="90" t="n">
        <x:f>IF(E336&lt;2,"",STDEV.S('13_W0_EC'!B24,'13_W0_EC'!D24,'13_W0_EC'!F24,'13_W0_EC'!H24))</x:f>
        <x:v>68.44158092855541</x:v>
      </x:c>
      <x:c r="H336" s="90" t="n">
        <x:f>IF(E336=0,"",MIN('13_W0_EC'!B24,'13_W0_EC'!D24,'13_W0_EC'!F24,'13_W0_EC'!H24))</x:f>
        <x:v>825</x:v>
      </x:c>
      <x:c r="I336" s="90" t="n">
        <x:f>IF(E336=0,"",MAX('13_W0_EC'!B24,'13_W0_EC'!D24,'13_W0_EC'!F24,'13_W0_EC'!H24))</x:f>
        <x:v>989</x:v>
      </x:c>
      <x:c r="J336" s="32" t="str">
        <x:v>μS/cm</x:v>
      </x:c>
    </x:row>
    <x:row r="337">
      <x:c r="A337" s="72" t="n">
        <x:v>46240.86866898148</x:v>
      </x:c>
      <x:c r="B337" s="32" t="str">
        <x:v>土壤EC</x:v>
      </x:c>
      <x:c r="C337" s="32" t="str">
        <x:v>W0</x:v>
      </x:c>
      <x:c r="D337" s="32" t="str">
        <x:v>V2</x:v>
      </x:c>
      <x:c r="E337" s="86" t="n">
        <x:f>COUNT('13_W0_EC'!C24,'13_W0_EC'!E24,'13_W0_EC'!G24,'13_W0_EC'!I24)</x:f>
        <x:v>4</x:v>
      </x:c>
      <x:c r="F337" s="90" t="n">
        <x:f>IF(E337=0,"",AVERAGE('13_W0_EC'!C24,'13_W0_EC'!E24,'13_W0_EC'!G24,'13_W0_EC'!I24))</x:f>
        <x:v>911</x:v>
      </x:c>
      <x:c r="G337" s="90" t="n">
        <x:f>IF(E337&lt;2,"",STDEV.S('13_W0_EC'!C24,'13_W0_EC'!E24,'13_W0_EC'!G24,'13_W0_EC'!I24))</x:f>
        <x:v>72.19879962067698</x:v>
      </x:c>
      <x:c r="H337" s="90" t="n">
        <x:f>IF(E337=0,"",MIN('13_W0_EC'!C24,'13_W0_EC'!E24,'13_W0_EC'!G24,'13_W0_EC'!I24))</x:f>
        <x:v>839</x:v>
      </x:c>
      <x:c r="I337" s="90" t="n">
        <x:f>IF(E337=0,"",MAX('13_W0_EC'!C24,'13_W0_EC'!E24,'13_W0_EC'!G24,'13_W0_EC'!I24))</x:f>
        <x:v>1009</x:v>
      </x:c>
      <x:c r="J337" s="32" t="str">
        <x:v>μS/cm</x:v>
      </x:c>
    </x:row>
    <x:row r="338">
      <x:c r="A338" s="72" t="n">
        <x:v>46240.872141203705</x:v>
      </x:c>
      <x:c r="B338" s="32" t="str">
        <x:v>土壤EC</x:v>
      </x:c>
      <x:c r="C338" s="32" t="str">
        <x:v>W0</x:v>
      </x:c>
      <x:c r="D338" s="32" t="str">
        <x:v>V1</x:v>
      </x:c>
      <x:c r="E338" s="86" t="n">
        <x:f>COUNT('13_W0_EC'!B25,'13_W0_EC'!D25,'13_W0_EC'!F25,'13_W0_EC'!H25)</x:f>
        <x:v>4</x:v>
      </x:c>
      <x:c r="F338" s="90" t="n">
        <x:f>IF(E338=0,"",AVERAGE('13_W0_EC'!B25,'13_W0_EC'!D25,'13_W0_EC'!F25,'13_W0_EC'!H25))</x:f>
        <x:v>899.75</x:v>
      </x:c>
      <x:c r="G338" s="90" t="n">
        <x:f>IF(E338&lt;2,"",STDEV.S('13_W0_EC'!B25,'13_W0_EC'!D25,'13_W0_EC'!F25,'13_W0_EC'!H25))</x:f>
        <x:v>66.48496070541066</x:v>
      </x:c>
      <x:c r="H338" s="90" t="n">
        <x:f>IF(E338=0,"",MIN('13_W0_EC'!B25,'13_W0_EC'!D25,'13_W0_EC'!F25,'13_W0_EC'!H25))</x:f>
        <x:v>821</x:v>
      </x:c>
      <x:c r="I338" s="90" t="n">
        <x:f>IF(E338=0,"",MAX('13_W0_EC'!B25,'13_W0_EC'!D25,'13_W0_EC'!F25,'13_W0_EC'!H25))</x:f>
        <x:v>982</x:v>
      </x:c>
      <x:c r="J338" s="32" t="str">
        <x:v>μS/cm</x:v>
      </x:c>
    </x:row>
    <x:row r="339">
      <x:c r="A339" s="72" t="n">
        <x:v>46240.872141203705</x:v>
      </x:c>
      <x:c r="B339" s="32" t="str">
        <x:v>土壤EC</x:v>
      </x:c>
      <x:c r="C339" s="32" t="str">
        <x:v>W0</x:v>
      </x:c>
      <x:c r="D339" s="32" t="str">
        <x:v>V2</x:v>
      </x:c>
      <x:c r="E339" s="86" t="n">
        <x:f>COUNT('13_W0_EC'!C25,'13_W0_EC'!E25,'13_W0_EC'!G25,'13_W0_EC'!I25)</x:f>
        <x:v>4</x:v>
      </x:c>
      <x:c r="F339" s="90" t="n">
        <x:f>IF(E339=0,"",AVERAGE('13_W0_EC'!C25,'13_W0_EC'!E25,'13_W0_EC'!G25,'13_W0_EC'!I25))</x:f>
        <x:v>911.25</x:v>
      </x:c>
      <x:c r="G339" s="90" t="n">
        <x:f>IF(E339&lt;2,"",STDEV.S('13_W0_EC'!C25,'13_W0_EC'!E25,'13_W0_EC'!G25,'13_W0_EC'!I25))</x:f>
        <x:v>68.44158092855541</x:v>
      </x:c>
      <x:c r="H339" s="90" t="n">
        <x:f>IF(E339=0,"",MIN('13_W0_EC'!C25,'13_W0_EC'!E25,'13_W0_EC'!G25,'13_W0_EC'!I25))</x:f>
        <x:v>837</x:v>
      </x:c>
      <x:c r="I339" s="90" t="n">
        <x:f>IF(E339=0,"",MAX('13_W0_EC'!C25,'13_W0_EC'!E25,'13_W0_EC'!G25,'13_W0_EC'!I25))</x:f>
        <x:v>1001</x:v>
      </x:c>
      <x:c r="J339" s="32" t="str">
        <x:v>μS/cm</x:v>
      </x:c>
    </x:row>
    <x:row r="340">
      <x:c r="A340" s="72" t="n">
        <x:v>46240.875613425924</x:v>
      </x:c>
      <x:c r="B340" s="32" t="str">
        <x:v>土壤EC</x:v>
      </x:c>
      <x:c r="C340" s="32" t="str">
        <x:v>W0</x:v>
      </x:c>
      <x:c r="D340" s="32" t="str">
        <x:v>V1</x:v>
      </x:c>
      <x:c r="E340" s="86" t="n">
        <x:f>COUNT('13_W0_EC'!B26,'13_W0_EC'!D26,'13_W0_EC'!F26,'13_W0_EC'!H26)</x:f>
        <x:v>4</x:v>
      </x:c>
      <x:c r="F340" s="90" t="n">
        <x:f>IF(E340=0,"",AVERAGE('13_W0_EC'!B26,'13_W0_EC'!D26,'13_W0_EC'!F26,'13_W0_EC'!H26))</x:f>
        <x:v>900.25</x:v>
      </x:c>
      <x:c r="G340" s="90" t="n">
        <x:f>IF(E340&lt;2,"",STDEV.S('13_W0_EC'!B26,'13_W0_EC'!D26,'13_W0_EC'!F26,'13_W0_EC'!H26))</x:f>
        <x:v>67.09880773903512</x:v>
      </x:c>
      <x:c r="H340" s="90" t="n">
        <x:f>IF(E340=0,"",MIN('13_W0_EC'!B26,'13_W0_EC'!D26,'13_W0_EC'!F26,'13_W0_EC'!H26))</x:f>
        <x:v>815</x:v>
      </x:c>
      <x:c r="I340" s="90" t="n">
        <x:f>IF(E340=0,"",MAX('13_W0_EC'!B26,'13_W0_EC'!D26,'13_W0_EC'!F26,'13_W0_EC'!H26))</x:f>
        <x:v>977</x:v>
      </x:c>
      <x:c r="J340" s="32" t="str">
        <x:v>μS/cm</x:v>
      </x:c>
    </x:row>
    <x:row r="341">
      <x:c r="A341" s="72" t="n">
        <x:v>46240.875613425924</x:v>
      </x:c>
      <x:c r="B341" s="32" t="str">
        <x:v>土壤EC</x:v>
      </x:c>
      <x:c r="C341" s="32" t="str">
        <x:v>W0</x:v>
      </x:c>
      <x:c r="D341" s="32" t="str">
        <x:v>V2</x:v>
      </x:c>
      <x:c r="E341" s="86" t="n">
        <x:f>COUNT('13_W0_EC'!C26,'13_W0_EC'!E26,'13_W0_EC'!G26,'13_W0_EC'!I26)</x:f>
        <x:v>4</x:v>
      </x:c>
      <x:c r="F341" s="90" t="n">
        <x:f>IF(E341=0,"",AVERAGE('13_W0_EC'!C26,'13_W0_EC'!E26,'13_W0_EC'!G26,'13_W0_EC'!I26))</x:f>
        <x:v>911.75</x:v>
      </x:c>
      <x:c r="G341" s="90" t="n">
        <x:f>IF(E341&lt;2,"",STDEV.S('13_W0_EC'!C26,'13_W0_EC'!E26,'13_W0_EC'!G26,'13_W0_EC'!I26))</x:f>
        <x:v>66.48496070541066</x:v>
      </x:c>
      <x:c r="H341" s="90" t="n">
        <x:f>IF(E341=0,"",MIN('13_W0_EC'!C26,'13_W0_EC'!E26,'13_W0_EC'!G26,'13_W0_EC'!I26))</x:f>
        <x:v>833</x:v>
      </x:c>
      <x:c r="I341" s="90" t="n">
        <x:f>IF(E341=0,"",MAX('13_W0_EC'!C26,'13_W0_EC'!E26,'13_W0_EC'!G26,'13_W0_EC'!I26))</x:f>
        <x:v>994</x:v>
      </x:c>
      <x:c r="J341" s="32" t="str">
        <x:v>μS/cm</x:v>
      </x:c>
    </x:row>
    <x:row r="342">
      <x:c r="A342" s="72" t="n">
        <x:v>46240.87908564815</x:v>
      </x:c>
      <x:c r="B342" s="32" t="str">
        <x:v>土壤EC</x:v>
      </x:c>
      <x:c r="C342" s="32" t="str">
        <x:v>W0</x:v>
      </x:c>
      <x:c r="D342" s="32" t="str">
        <x:v>V1</x:v>
      </x:c>
      <x:c r="E342" s="86" t="n">
        <x:f>COUNT('13_W0_EC'!B27,'13_W0_EC'!D27,'13_W0_EC'!F27,'13_W0_EC'!H27)</x:f>
        <x:v>4</x:v>
      </x:c>
      <x:c r="F342" s="90" t="n">
        <x:f>IF(E342=0,"",AVERAGE('13_W0_EC'!B27,'13_W0_EC'!D27,'13_W0_EC'!F27,'13_W0_EC'!H27))</x:f>
        <x:v>900.75</x:v>
      </x:c>
      <x:c r="G342" s="90" t="n">
        <x:f>IF(E342&lt;2,"",STDEV.S('13_W0_EC'!B27,'13_W0_EC'!D27,'13_W0_EC'!F27,'13_W0_EC'!H27))</x:f>
        <x:v>69.71071175460291</x:v>
      </x:c>
      <x:c r="H342" s="90" t="n">
        <x:f>IF(E342=0,"",MIN('13_W0_EC'!B27,'13_W0_EC'!D27,'13_W0_EC'!F27,'13_W0_EC'!H27))</x:f>
        <x:v>808</x:v>
      </x:c>
      <x:c r="I342" s="90" t="n">
        <x:f>IF(E342=0,"",MAX('13_W0_EC'!B27,'13_W0_EC'!D27,'13_W0_EC'!F27,'13_W0_EC'!H27))</x:f>
        <x:v>974</x:v>
      </x:c>
      <x:c r="J342" s="32" t="str">
        <x:v>μS/cm</x:v>
      </x:c>
    </x:row>
    <x:row r="343">
      <x:c r="A343" s="72" t="n">
        <x:v>46240.87908564815</x:v>
      </x:c>
      <x:c r="B343" s="32" t="str">
        <x:v>土壤EC</x:v>
      </x:c>
      <x:c r="C343" s="32" t="str">
        <x:v>W0</x:v>
      </x:c>
      <x:c r="D343" s="32" t="str">
        <x:v>V2</x:v>
      </x:c>
      <x:c r="E343" s="86" t="n">
        <x:f>COUNT('13_W0_EC'!C27,'13_W0_EC'!E27,'13_W0_EC'!G27,'13_W0_EC'!I27)</x:f>
        <x:v>4</x:v>
      </x:c>
      <x:c r="F343" s="90" t="n">
        <x:f>IF(E343=0,"",AVERAGE('13_W0_EC'!C27,'13_W0_EC'!E27,'13_W0_EC'!G27,'13_W0_EC'!I27))</x:f>
        <x:v>912.25</x:v>
      </x:c>
      <x:c r="G343" s="90" t="n">
        <x:f>IF(E343&lt;2,"",STDEV.S('13_W0_EC'!C27,'13_W0_EC'!E27,'13_W0_EC'!G27,'13_W0_EC'!I27))</x:f>
        <x:v>67.09880773903512</x:v>
      </x:c>
      <x:c r="H343" s="90" t="n">
        <x:f>IF(E343=0,"",MIN('13_W0_EC'!C27,'13_W0_EC'!E27,'13_W0_EC'!G27,'13_W0_EC'!I27))</x:f>
        <x:v>827</x:v>
      </x:c>
      <x:c r="I343" s="90" t="n">
        <x:f>IF(E343=0,"",MAX('13_W0_EC'!C27,'13_W0_EC'!E27,'13_W0_EC'!G27,'13_W0_EC'!I27))</x:f>
        <x:v>989</x:v>
      </x:c>
      <x:c r="J343" s="32" t="str">
        <x:v>μS/cm</x:v>
      </x:c>
    </x:row>
    <x:row r="344">
      <x:c r="A344" s="72" t="n">
        <x:v>46240.88255787037</x:v>
      </x:c>
      <x:c r="B344" s="32" t="str">
        <x:v>土壤EC</x:v>
      </x:c>
      <x:c r="C344" s="32" t="str">
        <x:v>W0</x:v>
      </x:c>
      <x:c r="D344" s="32" t="str">
        <x:v>V1</x:v>
      </x:c>
      <x:c r="E344" s="86" t="n">
        <x:f>COUNT('13_W0_EC'!B28,'13_W0_EC'!D28,'13_W0_EC'!F28,'13_W0_EC'!H28)</x:f>
        <x:v>4</x:v>
      </x:c>
      <x:c r="F344" s="90" t="n">
        <x:f>IF(E344=0,"",AVERAGE('13_W0_EC'!B28,'13_W0_EC'!D28,'13_W0_EC'!F28,'13_W0_EC'!H28))</x:f>
        <x:v>901.25</x:v>
      </x:c>
      <x:c r="G344" s="90" t="n">
        <x:f>IF(E344&lt;2,"",STDEV.S('13_W0_EC'!B28,'13_W0_EC'!D28,'13_W0_EC'!F28,'13_W0_EC'!H28))</x:f>
        <x:v>73.96564517846556</x:v>
      </x:c>
      <x:c r="H344" s="90" t="n">
        <x:f>IF(E344=0,"",MIN('13_W0_EC'!B28,'13_W0_EC'!D28,'13_W0_EC'!F28,'13_W0_EC'!H28))</x:f>
        <x:v>800</x:v>
      </x:c>
      <x:c r="I344" s="90" t="n">
        <x:f>IF(E344=0,"",MAX('13_W0_EC'!B28,'13_W0_EC'!D28,'13_W0_EC'!F28,'13_W0_EC'!H28))</x:f>
        <x:v>973</x:v>
      </x:c>
      <x:c r="J344" s="32" t="str">
        <x:v>μS/cm</x:v>
      </x:c>
    </x:row>
    <x:row r="345">
      <x:c r="A345" s="72" t="n">
        <x:v>46240.88255787037</x:v>
      </x:c>
      <x:c r="B345" s="32" t="str">
        <x:v>土壤EC</x:v>
      </x:c>
      <x:c r="C345" s="32" t="str">
        <x:v>W0</x:v>
      </x:c>
      <x:c r="D345" s="32" t="str">
        <x:v>V2</x:v>
      </x:c>
      <x:c r="E345" s="86" t="n">
        <x:f>COUNT('13_W0_EC'!C28,'13_W0_EC'!E28,'13_W0_EC'!G28,'13_W0_EC'!I28)</x:f>
        <x:v>4</x:v>
      </x:c>
      <x:c r="F345" s="90" t="n">
        <x:f>IF(E345=0,"",AVERAGE('13_W0_EC'!C28,'13_W0_EC'!E28,'13_W0_EC'!G28,'13_W0_EC'!I28))</x:f>
        <x:v>912.75</x:v>
      </x:c>
      <x:c r="G345" s="90" t="n">
        <x:f>IF(E345&lt;2,"",STDEV.S('13_W0_EC'!C28,'13_W0_EC'!E28,'13_W0_EC'!G28,'13_W0_EC'!I28))</x:f>
        <x:v>69.71071175460291</x:v>
      </x:c>
      <x:c r="H345" s="90" t="n">
        <x:f>IF(E345=0,"",MIN('13_W0_EC'!C28,'13_W0_EC'!E28,'13_W0_EC'!G28,'13_W0_EC'!I28))</x:f>
        <x:v>820</x:v>
      </x:c>
      <x:c r="I345" s="90" t="n">
        <x:f>IF(E345=0,"",MAX('13_W0_EC'!C28,'13_W0_EC'!E28,'13_W0_EC'!G28,'13_W0_EC'!I28))</x:f>
        <x:v>986</x:v>
      </x:c>
      <x:c r="J345" s="32" t="str">
        <x:v>μS/cm</x:v>
      </x:c>
    </x:row>
    <x:row r="346">
      <x:c r="A346" s="72" t="n">
        <x:v>46240.886030092595</x:v>
      </x:c>
      <x:c r="B346" s="32" t="str">
        <x:v>土壤EC</x:v>
      </x:c>
      <x:c r="C346" s="32" t="str">
        <x:v>W0</x:v>
      </x:c>
      <x:c r="D346" s="32" t="str">
        <x:v>V1</x:v>
      </x:c>
      <x:c r="E346" s="86" t="n">
        <x:f>COUNT('13_W0_EC'!B29,'13_W0_EC'!D29,'13_W0_EC'!F29,'13_W0_EC'!H29)</x:f>
        <x:v>4</x:v>
      </x:c>
      <x:c r="F346" s="90" t="n">
        <x:f>IF(E346=0,"",AVERAGE('13_W0_EC'!B29,'13_W0_EC'!D29,'13_W0_EC'!F29,'13_W0_EC'!H29))</x:f>
        <x:v>901.5</x:v>
      </x:c>
      <x:c r="G346" s="90" t="n">
        <x:f>IF(E346&lt;2,"",STDEV.S('13_W0_EC'!B29,'13_W0_EC'!D29,'13_W0_EC'!F29,'13_W0_EC'!H29))</x:f>
        <x:v>79.81854421122951</x:v>
      </x:c>
      <x:c r="H346" s="90" t="n">
        <x:f>IF(E346=0,"",MIN('13_W0_EC'!B29,'13_W0_EC'!D29,'13_W0_EC'!F29,'13_W0_EC'!H29))</x:f>
        <x:v>791</x:v>
      </x:c>
      <x:c r="I346" s="90" t="n">
        <x:f>IF(E346=0,"",MAX('13_W0_EC'!B29,'13_W0_EC'!D29,'13_W0_EC'!F29,'13_W0_EC'!H29))</x:f>
        <x:v>974</x:v>
      </x:c>
      <x:c r="J346" s="32" t="str">
        <x:v>μS/cm</x:v>
      </x:c>
    </x:row>
    <x:row r="347">
      <x:c r="A347" s="72" t="n">
        <x:v>46240.886030092595</x:v>
      </x:c>
      <x:c r="B347" s="32" t="str">
        <x:v>土壤EC</x:v>
      </x:c>
      <x:c r="C347" s="32" t="str">
        <x:v>W0</x:v>
      </x:c>
      <x:c r="D347" s="32" t="str">
        <x:v>V2</x:v>
      </x:c>
      <x:c r="E347" s="86" t="n">
        <x:f>COUNT('13_W0_EC'!C29,'13_W0_EC'!E29,'13_W0_EC'!G29,'13_W0_EC'!I29)</x:f>
        <x:v>4</x:v>
      </x:c>
      <x:c r="F347" s="90" t="n">
        <x:f>IF(E347=0,"",AVERAGE('13_W0_EC'!C29,'13_W0_EC'!E29,'13_W0_EC'!G29,'13_W0_EC'!I29))</x:f>
        <x:v>913.25</x:v>
      </x:c>
      <x:c r="G347" s="90" t="n">
        <x:f>IF(E347&lt;2,"",STDEV.S('13_W0_EC'!C29,'13_W0_EC'!E29,'13_W0_EC'!G29,'13_W0_EC'!I29))</x:f>
        <x:v>73.96564517846556</x:v>
      </x:c>
      <x:c r="H347" s="90" t="n">
        <x:f>IF(E347=0,"",MIN('13_W0_EC'!C29,'13_W0_EC'!E29,'13_W0_EC'!G29,'13_W0_EC'!I29))</x:f>
        <x:v>812</x:v>
      </x:c>
      <x:c r="I347" s="90" t="n">
        <x:f>IF(E347=0,"",MAX('13_W0_EC'!C29,'13_W0_EC'!E29,'13_W0_EC'!G29,'13_W0_EC'!I29))</x:f>
        <x:v>985</x:v>
      </x:c>
      <x:c r="J347" s="32" t="str">
        <x:v>μS/cm</x:v>
      </x:c>
    </x:row>
    <x:row r="348">
      <x:c r="A348" s="72" t="n">
        <x:v>46240.889502314814</x:v>
      </x:c>
      <x:c r="B348" s="32" t="str">
        <x:v>土壤EC</x:v>
      </x:c>
      <x:c r="C348" s="32" t="str">
        <x:v>W0</x:v>
      </x:c>
      <x:c r="D348" s="32" t="str">
        <x:v>V1</x:v>
      </x:c>
      <x:c r="E348" s="86" t="n">
        <x:f>COUNT('13_W0_EC'!B30,'13_W0_EC'!D30,'13_W0_EC'!F30,'13_W0_EC'!H30)</x:f>
        <x:v>4</x:v>
      </x:c>
      <x:c r="F348" s="90" t="n">
        <x:f>IF(E348=0,"",AVERAGE('13_W0_EC'!B30,'13_W0_EC'!D30,'13_W0_EC'!F30,'13_W0_EC'!H30))</x:f>
        <x:v>901.5</x:v>
      </x:c>
      <x:c r="G348" s="90" t="n">
        <x:f>IF(E348&lt;2,"",STDEV.S('13_W0_EC'!B30,'13_W0_EC'!D30,'13_W0_EC'!F30,'13_W0_EC'!H30))</x:f>
        <x:v>86.31917515824627</x:v>
      </x:c>
      <x:c r="H348" s="90" t="n">
        <x:f>IF(E348=0,"",MIN('13_W0_EC'!B30,'13_W0_EC'!D30,'13_W0_EC'!F30,'13_W0_EC'!H30))</x:f>
        <x:v>782</x:v>
      </x:c>
      <x:c r="I348" s="90" t="n">
        <x:f>IF(E348=0,"",MAX('13_W0_EC'!B30,'13_W0_EC'!D30,'13_W0_EC'!F30,'13_W0_EC'!H30))</x:f>
        <x:v>977</x:v>
      </x:c>
      <x:c r="J348" s="32" t="str">
        <x:v>μS/cm</x:v>
      </x:c>
    </x:row>
    <x:row r="349">
      <x:c r="A349" s="72" t="n">
        <x:v>46240.889502314814</x:v>
      </x:c>
      <x:c r="B349" s="32" t="str">
        <x:v>土壤EC</x:v>
      </x:c>
      <x:c r="C349" s="32" t="str">
        <x:v>W0</x:v>
      </x:c>
      <x:c r="D349" s="32" t="str">
        <x:v>V2</x:v>
      </x:c>
      <x:c r="E349" s="86" t="n">
        <x:f>COUNT('13_W0_EC'!C30,'13_W0_EC'!E30,'13_W0_EC'!G30,'13_W0_EC'!I30)</x:f>
        <x:v>4</x:v>
      </x:c>
      <x:c r="F349" s="90" t="n">
        <x:f>IF(E349=0,"",AVERAGE('13_W0_EC'!C30,'13_W0_EC'!E30,'13_W0_EC'!G30,'13_W0_EC'!I30))</x:f>
        <x:v>913.5</x:v>
      </x:c>
      <x:c r="G349" s="90" t="n">
        <x:f>IF(E349&lt;2,"",STDEV.S('13_W0_EC'!C30,'13_W0_EC'!E30,'13_W0_EC'!G30,'13_W0_EC'!I30))</x:f>
        <x:v>79.81854421122951</x:v>
      </x:c>
      <x:c r="H349" s="90" t="n">
        <x:f>IF(E349=0,"",MIN('13_W0_EC'!C30,'13_W0_EC'!E30,'13_W0_EC'!G30,'13_W0_EC'!I30))</x:f>
        <x:v>803</x:v>
      </x:c>
      <x:c r="I349" s="90" t="n">
        <x:f>IF(E349=0,"",MAX('13_W0_EC'!C30,'13_W0_EC'!E30,'13_W0_EC'!G30,'13_W0_EC'!I30))</x:f>
        <x:v>986</x:v>
      </x:c>
      <x:c r="J349" s="32" t="str">
        <x:v>μS/cm</x:v>
      </x:c>
    </x:row>
    <x:row r="350">
      <x:c r="A350" s="72" t="n">
        <x:v>46240.89297453704</x:v>
      </x:c>
      <x:c r="B350" s="32" t="str">
        <x:v>土壤EC</x:v>
      </x:c>
      <x:c r="C350" s="32" t="str">
        <x:v>W0</x:v>
      </x:c>
      <x:c r="D350" s="32" t="str">
        <x:v>V1</x:v>
      </x:c>
      <x:c r="E350" s="86" t="n">
        <x:f>COUNT('13_W0_EC'!B31,'13_W0_EC'!D31,'13_W0_EC'!F31,'13_W0_EC'!H31)</x:f>
        <x:v>4</x:v>
      </x:c>
      <x:c r="F350" s="90" t="n">
        <x:f>IF(E350=0,"",AVERAGE('13_W0_EC'!B31,'13_W0_EC'!D31,'13_W0_EC'!F31,'13_W0_EC'!H31))</x:f>
        <x:v>901.75</x:v>
      </x:c>
      <x:c r="G350" s="90" t="n">
        <x:f>IF(E350&lt;2,"",STDEV.S('13_W0_EC'!B31,'13_W0_EC'!D31,'13_W0_EC'!F31,'13_W0_EC'!H31))</x:f>
        <x:v>93.0962763308322</x:v>
      </x:c>
      <x:c r="H350" s="90" t="n">
        <x:f>IF(E350=0,"",MIN('13_W0_EC'!B31,'13_W0_EC'!D31,'13_W0_EC'!F31,'13_W0_EC'!H31))</x:f>
        <x:v>774</x:v>
      </x:c>
      <x:c r="I350" s="90" t="n">
        <x:f>IF(E350=0,"",MAX('13_W0_EC'!B31,'13_W0_EC'!D31,'13_W0_EC'!F31,'13_W0_EC'!H31))</x:f>
        <x:v>982</x:v>
      </x:c>
      <x:c r="J350" s="32" t="str">
        <x:v>μS/cm</x:v>
      </x:c>
    </x:row>
    <x:row r="351">
      <x:c r="A351" s="72" t="n">
        <x:v>46240.89297453704</x:v>
      </x:c>
      <x:c r="B351" s="32" t="str">
        <x:v>土壤EC</x:v>
      </x:c>
      <x:c r="C351" s="32" t="str">
        <x:v>W0</x:v>
      </x:c>
      <x:c r="D351" s="32" t="str">
        <x:v>V2</x:v>
      </x:c>
      <x:c r="E351" s="86" t="n">
        <x:f>COUNT('13_W0_EC'!C31,'13_W0_EC'!E31,'13_W0_EC'!G31,'13_W0_EC'!I31)</x:f>
        <x:v>4</x:v>
      </x:c>
      <x:c r="F351" s="90" t="n">
        <x:f>IF(E351=0,"",AVERAGE('13_W0_EC'!C31,'13_W0_EC'!E31,'13_W0_EC'!G31,'13_W0_EC'!I31))</x:f>
        <x:v>913.5</x:v>
      </x:c>
      <x:c r="G351" s="90" t="n">
        <x:f>IF(E351&lt;2,"",STDEV.S('13_W0_EC'!C31,'13_W0_EC'!E31,'13_W0_EC'!G31,'13_W0_EC'!I31))</x:f>
        <x:v>86.31917515824627</x:v>
      </x:c>
      <x:c r="H351" s="90" t="n">
        <x:f>IF(E351=0,"",MIN('13_W0_EC'!C31,'13_W0_EC'!E31,'13_W0_EC'!G31,'13_W0_EC'!I31))</x:f>
        <x:v>794</x:v>
      </x:c>
      <x:c r="I351" s="90" t="n">
        <x:f>IF(E351=0,"",MAX('13_W0_EC'!C31,'13_W0_EC'!E31,'13_W0_EC'!G31,'13_W0_EC'!I31))</x:f>
        <x:v>989</x:v>
      </x:c>
      <x:c r="J351" s="32" t="str">
        <x:v>μS/cm</x:v>
      </x:c>
    </x:row>
    <x:row r="352">
      <x:c r="A352" s="72" t="n">
        <x:v>46240.89644675926</x:v>
      </x:c>
      <x:c r="B352" s="32" t="str">
        <x:v>土壤EC</x:v>
      </x:c>
      <x:c r="C352" s="32" t="str">
        <x:v>W0</x:v>
      </x:c>
      <x:c r="D352" s="32" t="str">
        <x:v>V1</x:v>
      </x:c>
      <x:c r="E352" s="86" t="n">
        <x:f>COUNT('13_W0_EC'!B32,'13_W0_EC'!D32,'13_W0_EC'!F32,'13_W0_EC'!H32)</x:f>
        <x:v>4</x:v>
      </x:c>
      <x:c r="F352" s="90" t="n">
        <x:f>IF(E352=0,"",AVERAGE('13_W0_EC'!B32,'13_W0_EC'!D32,'13_W0_EC'!F32,'13_W0_EC'!H32))</x:f>
        <x:v>901.75</x:v>
      </x:c>
      <x:c r="G352" s="90" t="n">
        <x:f>IF(E352&lt;2,"",STDEV.S('13_W0_EC'!B32,'13_W0_EC'!D32,'13_W0_EC'!F32,'13_W0_EC'!H32))</x:f>
        <x:v>99.77098776698566</x:v>
      </x:c>
      <x:c r="H352" s="90" t="n">
        <x:f>IF(E352=0,"",MIN('13_W0_EC'!B32,'13_W0_EC'!D32,'13_W0_EC'!F32,'13_W0_EC'!H32))</x:f>
        <x:v>767</x:v>
      </x:c>
      <x:c r="I352" s="90" t="n">
        <x:f>IF(E352=0,"",MAX('13_W0_EC'!B32,'13_W0_EC'!D32,'13_W0_EC'!F32,'13_W0_EC'!H32))</x:f>
        <x:v>989</x:v>
      </x:c>
      <x:c r="J352" s="32" t="str">
        <x:v>μS/cm</x:v>
      </x:c>
    </x:row>
    <x:row r="353">
      <x:c r="A353" s="72" t="n">
        <x:v>46240.89644675926</x:v>
      </x:c>
      <x:c r="B353" s="32" t="str">
        <x:v>土壤EC</x:v>
      </x:c>
      <x:c r="C353" s="32" t="str">
        <x:v>W0</x:v>
      </x:c>
      <x:c r="D353" s="32" t="str">
        <x:v>V2</x:v>
      </x:c>
      <x:c r="E353" s="86" t="n">
        <x:f>COUNT('13_W0_EC'!C32,'13_W0_EC'!E32,'13_W0_EC'!G32,'13_W0_EC'!I32)</x:f>
        <x:v>4</x:v>
      </x:c>
      <x:c r="F353" s="90" t="n">
        <x:f>IF(E353=0,"",AVERAGE('13_W0_EC'!C32,'13_W0_EC'!E32,'13_W0_EC'!G32,'13_W0_EC'!I32))</x:f>
        <x:v>913.75</x:v>
      </x:c>
      <x:c r="G353" s="90" t="n">
        <x:f>IF(E353&lt;2,"",STDEV.S('13_W0_EC'!C32,'13_W0_EC'!E32,'13_W0_EC'!G32,'13_W0_EC'!I32))</x:f>
        <x:v>93.0962763308322</x:v>
      </x:c>
      <x:c r="H353" s="90" t="n">
        <x:f>IF(E353=0,"",MIN('13_W0_EC'!C32,'13_W0_EC'!E32,'13_W0_EC'!G32,'13_W0_EC'!I32))</x:f>
        <x:v>786</x:v>
      </x:c>
      <x:c r="I353" s="90" t="n">
        <x:f>IF(E353=0,"",MAX('13_W0_EC'!C32,'13_W0_EC'!E32,'13_W0_EC'!G32,'13_W0_EC'!I32))</x:f>
        <x:v>994</x:v>
      </x:c>
      <x:c r="J353" s="32" t="str">
        <x:v>μS/cm</x:v>
      </x:c>
    </x:row>
    <x:row r="354">
      <x:c r="A354" s="72" t="n">
        <x:v>46240.89991898148</x:v>
      </x:c>
      <x:c r="B354" s="32" t="str">
        <x:v>土壤EC</x:v>
      </x:c>
      <x:c r="C354" s="32" t="str">
        <x:v>W0</x:v>
      </x:c>
      <x:c r="D354" s="32" t="str">
        <x:v>V1</x:v>
      </x:c>
      <x:c r="E354" s="86" t="n">
        <x:f>COUNT('13_W0_EC'!B33,'13_W0_EC'!D33,'13_W0_EC'!F33,'13_W0_EC'!H33)</x:f>
        <x:v>4</x:v>
      </x:c>
      <x:c r="F354" s="90" t="n">
        <x:f>IF(E354=0,"",AVERAGE('13_W0_EC'!B33,'13_W0_EC'!D33,'13_W0_EC'!F33,'13_W0_EC'!H33))</x:f>
        <x:v>901.75</x:v>
      </x:c>
      <x:c r="G354" s="90" t="n">
        <x:f>IF(E354&lt;2,"",STDEV.S('13_W0_EC'!B33,'13_W0_EC'!D33,'13_W0_EC'!F33,'13_W0_EC'!H33))</x:f>
        <x:v>105.61683893521273</x:v>
      </x:c>
      <x:c r="H354" s="90" t="n">
        <x:f>IF(E354=0,"",MIN('13_W0_EC'!B33,'13_W0_EC'!D33,'13_W0_EC'!F33,'13_W0_EC'!H33))</x:f>
        <x:v>762</x:v>
      </x:c>
      <x:c r="I354" s="90" t="n">
        <x:f>IF(E354=0,"",MAX('13_W0_EC'!B33,'13_W0_EC'!D33,'13_W0_EC'!F33,'13_W0_EC'!H33))</x:f>
        <x:v>997</x:v>
      </x:c>
      <x:c r="J354" s="32" t="str">
        <x:v>μS/cm</x:v>
      </x:c>
    </x:row>
    <x:row r="355">
      <x:c r="A355" s="72" t="n">
        <x:v>46240.89991898148</x:v>
      </x:c>
      <x:c r="B355" s="32" t="str">
        <x:v>土壤EC</x:v>
      </x:c>
      <x:c r="C355" s="32" t="str">
        <x:v>W0</x:v>
      </x:c>
      <x:c r="D355" s="32" t="str">
        <x:v>V2</x:v>
      </x:c>
      <x:c r="E355" s="86" t="n">
        <x:f>COUNT('13_W0_EC'!C33,'13_W0_EC'!E33,'13_W0_EC'!G33,'13_W0_EC'!I33)</x:f>
        <x:v>4</x:v>
      </x:c>
      <x:c r="F355" s="90" t="n">
        <x:f>IF(E355=0,"",AVERAGE('13_W0_EC'!C33,'13_W0_EC'!E33,'13_W0_EC'!G33,'13_W0_EC'!I33))</x:f>
        <x:v>913.75</x:v>
      </x:c>
      <x:c r="G355" s="90" t="n">
        <x:f>IF(E355&lt;2,"",STDEV.S('13_W0_EC'!C33,'13_W0_EC'!E33,'13_W0_EC'!G33,'13_W0_EC'!I33))</x:f>
        <x:v>99.77098776698566</x:v>
      </x:c>
      <x:c r="H355" s="90" t="n">
        <x:f>IF(E355=0,"",MIN('13_W0_EC'!C33,'13_W0_EC'!E33,'13_W0_EC'!G33,'13_W0_EC'!I33))</x:f>
        <x:v>779</x:v>
      </x:c>
      <x:c r="I355" s="90" t="n">
        <x:f>IF(E355=0,"",MAX('13_W0_EC'!C33,'13_W0_EC'!E33,'13_W0_EC'!G33,'13_W0_EC'!I33))</x:f>
        <x:v>1001</x:v>
      </x:c>
      <x:c r="J355" s="32" t="str">
        <x:v>μS/cm</x:v>
      </x:c>
    </x:row>
    <x:row r="356">
      <x:c r="A356" s="72" t="n">
        <x:v>46240.903391203705</x:v>
      </x:c>
      <x:c r="B356" s="32" t="str">
        <x:v>土壤EC</x:v>
      </x:c>
      <x:c r="C356" s="32" t="str">
        <x:v>W0</x:v>
      </x:c>
      <x:c r="D356" s="32" t="str">
        <x:v>V1</x:v>
      </x:c>
      <x:c r="E356" s="86" t="n">
        <x:f>COUNT('13_W0_EC'!B34,'13_W0_EC'!D34,'13_W0_EC'!F34,'13_W0_EC'!H34)</x:f>
        <x:v>4</x:v>
      </x:c>
      <x:c r="F356" s="90" t="n">
        <x:f>IF(E356=0,"",AVERAGE('13_W0_EC'!B34,'13_W0_EC'!D34,'13_W0_EC'!F34,'13_W0_EC'!H34))</x:f>
        <x:v>901.5</x:v>
      </x:c>
      <x:c r="G356" s="90" t="n">
        <x:f>IF(E356&lt;2,"",STDEV.S('13_W0_EC'!B34,'13_W0_EC'!D34,'13_W0_EC'!F34,'13_W0_EC'!H34))</x:f>
        <x:v>111.06304515904469</x:v>
      </x:c>
      <x:c r="H356" s="90" t="n">
        <x:f>IF(E356=0,"",MIN('13_W0_EC'!B34,'13_W0_EC'!D34,'13_W0_EC'!F34,'13_W0_EC'!H34))</x:f>
        <x:v>758</x:v>
      </x:c>
      <x:c r="I356" s="90" t="n">
        <x:f>IF(E356=0,"",MAX('13_W0_EC'!B34,'13_W0_EC'!D34,'13_W0_EC'!F34,'13_W0_EC'!H34))</x:f>
        <x:v>1005</x:v>
      </x:c>
      <x:c r="J356" s="32" t="str">
        <x:v>μS/cm</x:v>
      </x:c>
    </x:row>
    <x:row r="357">
      <x:c r="A357" s="72" t="n">
        <x:v>46240.903391203705</x:v>
      </x:c>
      <x:c r="B357" s="32" t="str">
        <x:v>土壤EC</x:v>
      </x:c>
      <x:c r="C357" s="32" t="str">
        <x:v>W0</x:v>
      </x:c>
      <x:c r="D357" s="32" t="str">
        <x:v>V2</x:v>
      </x:c>
      <x:c r="E357" s="86" t="n">
        <x:f>COUNT('13_W0_EC'!C34,'13_W0_EC'!E34,'13_W0_EC'!G34,'13_W0_EC'!I34)</x:f>
        <x:v>4</x:v>
      </x:c>
      <x:c r="F357" s="90" t="n">
        <x:f>IF(E357=0,"",AVERAGE('13_W0_EC'!C34,'13_W0_EC'!E34,'13_W0_EC'!G34,'13_W0_EC'!I34))</x:f>
        <x:v>913.75</x:v>
      </x:c>
      <x:c r="G357" s="90" t="n">
        <x:f>IF(E357&lt;2,"",STDEV.S('13_W0_EC'!C34,'13_W0_EC'!E34,'13_W0_EC'!G34,'13_W0_EC'!I34))</x:f>
        <x:v>105.61683893521273</x:v>
      </x:c>
      <x:c r="H357" s="90" t="n">
        <x:f>IF(E357=0,"",MIN('13_W0_EC'!C34,'13_W0_EC'!E34,'13_W0_EC'!G34,'13_W0_EC'!I34))</x:f>
        <x:v>774</x:v>
      </x:c>
      <x:c r="I357" s="90" t="n">
        <x:f>IF(E357=0,"",MAX('13_W0_EC'!C34,'13_W0_EC'!E34,'13_W0_EC'!G34,'13_W0_EC'!I34))</x:f>
        <x:v>1009</x:v>
      </x:c>
      <x:c r="J357" s="32" t="str">
        <x:v>μS/cm</x:v>
      </x:c>
    </x:row>
    <x:row r="358">
      <x:c r="A358" s="72" t="n">
        <x:v>46240.906863425924</x:v>
      </x:c>
      <x:c r="B358" s="32" t="str">
        <x:v>土壤EC</x:v>
      </x:c>
      <x:c r="C358" s="32" t="str">
        <x:v>W0</x:v>
      </x:c>
      <x:c r="D358" s="32" t="str">
        <x:v>V1</x:v>
      </x:c>
      <x:c r="E358" s="86" t="n">
        <x:f>COUNT('13_W0_EC'!B35,'13_W0_EC'!D35,'13_W0_EC'!F35,'13_W0_EC'!H35)</x:f>
        <x:v>4</x:v>
      </x:c>
      <x:c r="F358" s="90" t="n">
        <x:f>IF(E358=0,"",AVERAGE('13_W0_EC'!B35,'13_W0_EC'!D35,'13_W0_EC'!F35,'13_W0_EC'!H35))</x:f>
        <x:v>901.25</x:v>
      </x:c>
      <x:c r="G358" s="90" t="n">
        <x:f>IF(E358&lt;2,"",STDEV.S('13_W0_EC'!B35,'13_W0_EC'!D35,'13_W0_EC'!F35,'13_W0_EC'!H35))</x:f>
        <x:v>115.25153650458056</x:v>
      </x:c>
      <x:c r="H358" s="90" t="n">
        <x:f>IF(E358=0,"",MIN('13_W0_EC'!B35,'13_W0_EC'!D35,'13_W0_EC'!F35,'13_W0_EC'!H35))</x:f>
        <x:v>757</x:v>
      </x:c>
      <x:c r="I358" s="90" t="n">
        <x:f>IF(E358=0,"",MAX('13_W0_EC'!B35,'13_W0_EC'!D35,'13_W0_EC'!F35,'13_W0_EC'!H35))</x:f>
        <x:v>1014</x:v>
      </x:c>
      <x:c r="J358" s="32" t="str">
        <x:v>μS/cm</x:v>
      </x:c>
    </x:row>
    <x:row r="359">
      <x:c r="A359" s="72" t="n">
        <x:v>46240.906863425924</x:v>
      </x:c>
      <x:c r="B359" s="32" t="str">
        <x:v>土壤EC</x:v>
      </x:c>
      <x:c r="C359" s="32" t="str">
        <x:v>W0</x:v>
      </x:c>
      <x:c r="D359" s="32" t="str">
        <x:v>V2</x:v>
      </x:c>
      <x:c r="E359" s="86" t="n">
        <x:f>COUNT('13_W0_EC'!C35,'13_W0_EC'!E35,'13_W0_EC'!G35,'13_W0_EC'!I35)</x:f>
        <x:v>4</x:v>
      </x:c>
      <x:c r="F359" s="90" t="n">
        <x:f>IF(E359=0,"",AVERAGE('13_W0_EC'!C35,'13_W0_EC'!E35,'13_W0_EC'!G35,'13_W0_EC'!I35))</x:f>
        <x:v>913.5</x:v>
      </x:c>
      <x:c r="G359" s="90" t="n">
        <x:f>IF(E359&lt;2,"",STDEV.S('13_W0_EC'!C35,'13_W0_EC'!E35,'13_W0_EC'!G35,'13_W0_EC'!I35))</x:f>
        <x:v>111.06304515904469</x:v>
      </x:c>
      <x:c r="H359" s="90" t="n">
        <x:f>IF(E359=0,"",MIN('13_W0_EC'!C35,'13_W0_EC'!E35,'13_W0_EC'!G35,'13_W0_EC'!I35))</x:f>
        <x:v>770</x:v>
      </x:c>
      <x:c r="I359" s="90" t="n">
        <x:f>IF(E359=0,"",MAX('13_W0_EC'!C35,'13_W0_EC'!E35,'13_W0_EC'!G35,'13_W0_EC'!I35))</x:f>
        <x:v>1017</x:v>
      </x:c>
      <x:c r="J359" s="32" t="str">
        <x:v>μS/cm</x:v>
      </x:c>
    </x:row>
    <x:row r="360">
      <x:c r="A360" s="72" t="n">
        <x:v>46240.91033564815</x:v>
      </x:c>
      <x:c r="B360" s="32" t="str">
        <x:v>土壤EC</x:v>
      </x:c>
      <x:c r="C360" s="32" t="str">
        <x:v>W0</x:v>
      </x:c>
      <x:c r="D360" s="32" t="str">
        <x:v>V1</x:v>
      </x:c>
      <x:c r="E360" s="86" t="n">
        <x:f>COUNT('13_W0_EC'!B36,'13_W0_EC'!D36,'13_W0_EC'!F36,'13_W0_EC'!H36)</x:f>
        <x:v>4</x:v>
      </x:c>
      <x:c r="F360" s="90" t="n">
        <x:f>IF(E360=0,"",AVERAGE('13_W0_EC'!B36,'13_W0_EC'!D36,'13_W0_EC'!F36,'13_W0_EC'!H36))</x:f>
        <x:v>900.75</x:v>
      </x:c>
      <x:c r="G360" s="90" t="n">
        <x:f>IF(E360&lt;2,"",STDEV.S('13_W0_EC'!B36,'13_W0_EC'!D36,'13_W0_EC'!F36,'13_W0_EC'!H36))</x:f>
        <x:v>118.21273197079915</x:v>
      </x:c>
      <x:c r="H360" s="90" t="n">
        <x:f>IF(E360=0,"",MIN('13_W0_EC'!B36,'13_W0_EC'!D36,'13_W0_EC'!F36,'13_W0_EC'!H36))</x:f>
        <x:v>758</x:v>
      </x:c>
      <x:c r="I360" s="90" t="n">
        <x:f>IF(E360=0,"",MAX('13_W0_EC'!B36,'13_W0_EC'!D36,'13_W0_EC'!F36,'13_W0_EC'!H36))</x:f>
        <x:v>1022</x:v>
      </x:c>
      <x:c r="J360" s="32" t="str">
        <x:v>μS/cm</x:v>
      </x:c>
    </x:row>
    <x:row r="361">
      <x:c r="A361" s="72" t="n">
        <x:v>46240.91033564815</x:v>
      </x:c>
      <x:c r="B361" s="32" t="str">
        <x:v>土壤EC</x:v>
      </x:c>
      <x:c r="C361" s="32" t="str">
        <x:v>W0</x:v>
      </x:c>
      <x:c r="D361" s="32" t="str">
        <x:v>V2</x:v>
      </x:c>
      <x:c r="E361" s="86" t="n">
        <x:f>COUNT('13_W0_EC'!C36,'13_W0_EC'!E36,'13_W0_EC'!G36,'13_W0_EC'!I36)</x:f>
        <x:v>4</x:v>
      </x:c>
      <x:c r="F361" s="90" t="n">
        <x:f>IF(E361=0,"",AVERAGE('13_W0_EC'!C36,'13_W0_EC'!E36,'13_W0_EC'!G36,'13_W0_EC'!I36))</x:f>
        <x:v>913.25</x:v>
      </x:c>
      <x:c r="G361" s="90" t="n">
        <x:f>IF(E361&lt;2,"",STDEV.S('13_W0_EC'!C36,'13_W0_EC'!E36,'13_W0_EC'!G36,'13_W0_EC'!I36))</x:f>
        <x:v>115.25153650458056</x:v>
      </x:c>
      <x:c r="H361" s="90" t="n">
        <x:f>IF(E361=0,"",MIN('13_W0_EC'!C36,'13_W0_EC'!E36,'13_W0_EC'!G36,'13_W0_EC'!I36))</x:f>
        <x:v>769</x:v>
      </x:c>
      <x:c r="I361" s="90" t="n">
        <x:f>IF(E361=0,"",MAX('13_W0_EC'!C36,'13_W0_EC'!E36,'13_W0_EC'!G36,'13_W0_EC'!I36))</x:f>
        <x:v>1026</x:v>
      </x:c>
      <x:c r="J361" s="32" t="str">
        <x:v>μS/cm</x:v>
      </x:c>
    </x:row>
    <x:row r="362">
      <x:c r="A362" s="72" t="n">
        <x:v>46240.91380787037</x:v>
      </x:c>
      <x:c r="B362" s="32" t="str">
        <x:v>土壤EC</x:v>
      </x:c>
      <x:c r="C362" s="32" t="str">
        <x:v>W0</x:v>
      </x:c>
      <x:c r="D362" s="32" t="str">
        <x:v>V1</x:v>
      </x:c>
      <x:c r="E362" s="86" t="n">
        <x:f>COUNT('13_W0_EC'!B37,'13_W0_EC'!D37,'13_W0_EC'!F37,'13_W0_EC'!H37)</x:f>
        <x:v>4</x:v>
      </x:c>
      <x:c r="F362" s="90" t="n">
        <x:f>IF(E362=0,"",AVERAGE('13_W0_EC'!B37,'13_W0_EC'!D37,'13_W0_EC'!F37,'13_W0_EC'!H37))</x:f>
        <x:v>900.5</x:v>
      </x:c>
      <x:c r="G362" s="90" t="n">
        <x:f>IF(E362&lt;2,"",STDEV.S('13_W0_EC'!B37,'13_W0_EC'!D37,'13_W0_EC'!F37,'13_W0_EC'!H37))</x:f>
        <x:v>120.223403157067</x:v>
      </x:c>
      <x:c r="H362" s="90" t="n">
        <x:f>IF(E362=0,"",MIN('13_W0_EC'!B37,'13_W0_EC'!D37,'13_W0_EC'!F37,'13_W0_EC'!H37))</x:f>
        <x:v>761</x:v>
      </x:c>
      <x:c r="I362" s="90" t="n">
        <x:f>IF(E362=0,"",MAX('13_W0_EC'!B37,'13_W0_EC'!D37,'13_W0_EC'!F37,'13_W0_EC'!H37))</x:f>
        <x:v>1030</x:v>
      </x:c>
      <x:c r="J362" s="32" t="str">
        <x:v>μS/cm</x:v>
      </x:c>
    </x:row>
    <x:row r="363">
      <x:c r="A363" s="72" t="n">
        <x:v>46240.91380787037</x:v>
      </x:c>
      <x:c r="B363" s="32" t="str">
        <x:v>土壤EC</x:v>
      </x:c>
      <x:c r="C363" s="32" t="str">
        <x:v>W0</x:v>
      </x:c>
      <x:c r="D363" s="32" t="str">
        <x:v>V2</x:v>
      </x:c>
      <x:c r="E363" s="86" t="n">
        <x:f>COUNT('13_W0_EC'!C37,'13_W0_EC'!E37,'13_W0_EC'!G37,'13_W0_EC'!I37)</x:f>
        <x:v>4</x:v>
      </x:c>
      <x:c r="F363" s="90" t="n">
        <x:f>IF(E363=0,"",AVERAGE('13_W0_EC'!C37,'13_W0_EC'!E37,'13_W0_EC'!G37,'13_W0_EC'!I37))</x:f>
        <x:v>912.75</x:v>
      </x:c>
      <x:c r="G363" s="90" t="n">
        <x:f>IF(E363&lt;2,"",STDEV.S('13_W0_EC'!C37,'13_W0_EC'!E37,'13_W0_EC'!G37,'13_W0_EC'!I37))</x:f>
        <x:v>118.21273197079915</x:v>
      </x:c>
      <x:c r="H363" s="90" t="n">
        <x:f>IF(E363=0,"",MIN('13_W0_EC'!C37,'13_W0_EC'!E37,'13_W0_EC'!G37,'13_W0_EC'!I37))</x:f>
        <x:v>770</x:v>
      </x:c>
      <x:c r="I363" s="90" t="n">
        <x:f>IF(E363=0,"",MAX('13_W0_EC'!C37,'13_W0_EC'!E37,'13_W0_EC'!G37,'13_W0_EC'!I37))</x:f>
        <x:v>1034</x:v>
      </x:c>
      <x:c r="J363" s="32" t="str">
        <x:v>μS/cm</x:v>
      </x:c>
    </x:row>
    <x:row r="364">
      <x:c r="A364" s="72" t="n">
        <x:v>46240.917280092595</x:v>
      </x:c>
      <x:c r="B364" s="32" t="str">
        <x:v>土壤EC</x:v>
      </x:c>
      <x:c r="C364" s="32" t="str">
        <x:v>W0</x:v>
      </x:c>
      <x:c r="D364" s="32" t="str">
        <x:v>V1</x:v>
      </x:c>
      <x:c r="E364" s="86" t="n">
        <x:f>COUNT('13_W0_EC'!B38,'13_W0_EC'!D38,'13_W0_EC'!F38,'13_W0_EC'!H38)</x:f>
        <x:v>4</x:v>
      </x:c>
      <x:c r="F364" s="90" t="n">
        <x:f>IF(E364=0,"",AVERAGE('13_W0_EC'!B38,'13_W0_EC'!D38,'13_W0_EC'!F38,'13_W0_EC'!H38))</x:f>
        <x:v>900</x:v>
      </x:c>
      <x:c r="G364" s="90" t="n">
        <x:f>IF(E364&lt;2,"",STDEV.S('13_W0_EC'!B38,'13_W0_EC'!D38,'13_W0_EC'!F38,'13_W0_EC'!H38))</x:f>
        <x:v>120.62890753601863</x:v>
      </x:c>
      <x:c r="H364" s="90" t="n">
        <x:f>IF(E364=0,"",MIN('13_W0_EC'!B38,'13_W0_EC'!D38,'13_W0_EC'!F38,'13_W0_EC'!H38))</x:f>
        <x:v>766</x:v>
      </x:c>
      <x:c r="I364" s="90" t="n">
        <x:f>IF(E364=0,"",MAX('13_W0_EC'!B38,'13_W0_EC'!D38,'13_W0_EC'!F38,'13_W0_EC'!H38))</x:f>
        <x:v>1036</x:v>
      </x:c>
      <x:c r="J364" s="32" t="str">
        <x:v>μS/cm</x:v>
      </x:c>
    </x:row>
    <x:row r="365">
      <x:c r="A365" s="72" t="n">
        <x:v>46240.917280092595</x:v>
      </x:c>
      <x:c r="B365" s="32" t="str">
        <x:v>土壤EC</x:v>
      </x:c>
      <x:c r="C365" s="32" t="str">
        <x:v>W0</x:v>
      </x:c>
      <x:c r="D365" s="32" t="str">
        <x:v>V2</x:v>
      </x:c>
      <x:c r="E365" s="86" t="n">
        <x:f>COUNT('13_W0_EC'!C38,'13_W0_EC'!E38,'13_W0_EC'!G38,'13_W0_EC'!I38)</x:f>
        <x:v>4</x:v>
      </x:c>
      <x:c r="F365" s="90" t="n">
        <x:f>IF(E365=0,"",AVERAGE('13_W0_EC'!C38,'13_W0_EC'!E38,'13_W0_EC'!G38,'13_W0_EC'!I38))</x:f>
        <x:v>912.5</x:v>
      </x:c>
      <x:c r="G365" s="90" t="n">
        <x:f>IF(E365&lt;2,"",STDEV.S('13_W0_EC'!C38,'13_W0_EC'!E38,'13_W0_EC'!G38,'13_W0_EC'!I38))</x:f>
        <x:v>120.223403157067</x:v>
      </x:c>
      <x:c r="H365" s="90" t="n">
        <x:f>IF(E365=0,"",MIN('13_W0_EC'!C38,'13_W0_EC'!E38,'13_W0_EC'!G38,'13_W0_EC'!I38))</x:f>
        <x:v>773</x:v>
      </x:c>
      <x:c r="I365" s="90" t="n">
        <x:f>IF(E365=0,"",MAX('13_W0_EC'!C38,'13_W0_EC'!E38,'13_W0_EC'!G38,'13_W0_EC'!I38))</x:f>
        <x:v>1042</x:v>
      </x:c>
      <x:c r="J365" s="32" t="str">
        <x:v>μS/cm</x:v>
      </x:c>
    </x:row>
    <x:row r="366">
      <x:c r="A366" s="72" t="n">
        <x:v>46240.920752314814</x:v>
      </x:c>
      <x:c r="B366" s="32" t="str">
        <x:v>土壤EC</x:v>
      </x:c>
      <x:c r="C366" s="32" t="str">
        <x:v>W0</x:v>
      </x:c>
      <x:c r="D366" s="32" t="str">
        <x:v>V1</x:v>
      </x:c>
      <x:c r="E366" s="86" t="n">
        <x:f>COUNT('13_W0_EC'!B39,'13_W0_EC'!D39,'13_W0_EC'!F39,'13_W0_EC'!H39)</x:f>
        <x:v>4</x:v>
      </x:c>
      <x:c r="F366" s="90" t="n">
        <x:f>IF(E366=0,"",AVERAGE('13_W0_EC'!B39,'13_W0_EC'!D39,'13_W0_EC'!F39,'13_W0_EC'!H39))</x:f>
        <x:v>899.5</x:v>
      </x:c>
      <x:c r="G366" s="90" t="n">
        <x:f>IF(E366&lt;2,"",STDEV.S('13_W0_EC'!B39,'13_W0_EC'!D39,'13_W0_EC'!F39,'13_W0_EC'!H39))</x:f>
        <x:v>119.78174596601382</x:v>
      </x:c>
      <x:c r="H366" s="90" t="n">
        <x:f>IF(E366=0,"",MIN('13_W0_EC'!B39,'13_W0_EC'!D39,'13_W0_EC'!F39,'13_W0_EC'!H39))</x:f>
        <x:v>772</x:v>
      </x:c>
      <x:c r="I366" s="90" t="n">
        <x:f>IF(E366=0,"",MAX('13_W0_EC'!B39,'13_W0_EC'!D39,'13_W0_EC'!F39,'13_W0_EC'!H39))</x:f>
        <x:v>1040</x:v>
      </x:c>
      <x:c r="J366" s="32" t="str">
        <x:v>μS/cm</x:v>
      </x:c>
    </x:row>
    <x:row r="367">
      <x:c r="A367" s="72" t="n">
        <x:v>46240.920752314814</x:v>
      </x:c>
      <x:c r="B367" s="32" t="str">
        <x:v>土壤EC</x:v>
      </x:c>
      <x:c r="C367" s="32" t="str">
        <x:v>W0</x:v>
      </x:c>
      <x:c r="D367" s="32" t="str">
        <x:v>V2</x:v>
      </x:c>
      <x:c r="E367" s="86" t="n">
        <x:f>COUNT('13_W0_EC'!C39,'13_W0_EC'!E39,'13_W0_EC'!G39,'13_W0_EC'!I39)</x:f>
        <x:v>4</x:v>
      </x:c>
      <x:c r="F367" s="90" t="n">
        <x:f>IF(E367=0,"",AVERAGE('13_W0_EC'!C39,'13_W0_EC'!E39,'13_W0_EC'!G39,'13_W0_EC'!I39))</x:f>
        <x:v>912</x:v>
      </x:c>
      <x:c r="G367" s="90" t="n">
        <x:f>IF(E367&lt;2,"",STDEV.S('13_W0_EC'!C39,'13_W0_EC'!E39,'13_W0_EC'!G39,'13_W0_EC'!I39))</x:f>
        <x:v>120.62890753601863</x:v>
      </x:c>
      <x:c r="H367" s="90" t="n">
        <x:f>IF(E367=0,"",MIN('13_W0_EC'!C39,'13_W0_EC'!E39,'13_W0_EC'!G39,'13_W0_EC'!I39))</x:f>
        <x:v>778</x:v>
      </x:c>
      <x:c r="I367" s="90" t="n">
        <x:f>IF(E367=0,"",MAX('13_W0_EC'!C39,'13_W0_EC'!E39,'13_W0_EC'!G39,'13_W0_EC'!I39))</x:f>
        <x:v>1048</x:v>
      </x:c>
      <x:c r="J367" s="32" t="str">
        <x:v>μS/cm</x:v>
      </x:c>
    </x:row>
    <x:row r="368">
      <x:c r="A368" s="72" t="n">
        <x:v>46240.92422453704</x:v>
      </x:c>
      <x:c r="B368" s="32" t="str">
        <x:v>土壤EC</x:v>
      </x:c>
      <x:c r="C368" s="32" t="str">
        <x:v>W0</x:v>
      </x:c>
      <x:c r="D368" s="32" t="str">
        <x:v>V1</x:v>
      </x:c>
      <x:c r="E368" s="86" t="n">
        <x:f>COUNT('13_W0_EC'!B40,'13_W0_EC'!D40,'13_W0_EC'!F40,'13_W0_EC'!H40)</x:f>
        <x:v>4</x:v>
      </x:c>
      <x:c r="F368" s="90" t="n">
        <x:f>IF(E368=0,"",AVERAGE('13_W0_EC'!B40,'13_W0_EC'!D40,'13_W0_EC'!F40,'13_W0_EC'!H40))</x:f>
        <x:v>899.25</x:v>
      </x:c>
      <x:c r="G368" s="90" t="n">
        <x:f>IF(E368&lt;2,"",STDEV.S('13_W0_EC'!B40,'13_W0_EC'!D40,'13_W0_EC'!F40,'13_W0_EC'!H40))</x:f>
        <x:v>117.87387327139123</x:v>
      </x:c>
      <x:c r="H368" s="90" t="n">
        <x:f>IF(E368=0,"",MIN('13_W0_EC'!B40,'13_W0_EC'!D40,'13_W0_EC'!F40,'13_W0_EC'!H40))</x:f>
        <x:v>780</x:v>
      </x:c>
      <x:c r="I368" s="90" t="n">
        <x:f>IF(E368=0,"",MAX('13_W0_EC'!B40,'13_W0_EC'!D40,'13_W0_EC'!F40,'13_W0_EC'!H40))</x:f>
        <x:v>1043</x:v>
      </x:c>
      <x:c r="J368" s="32" t="str">
        <x:v>μS/cm</x:v>
      </x:c>
    </x:row>
    <x:row r="369">
      <x:c r="A369" s="72" t="n">
        <x:v>46240.92422453704</x:v>
      </x:c>
      <x:c r="B369" s="32" t="str">
        <x:v>土壤EC</x:v>
      </x:c>
      <x:c r="C369" s="32" t="str">
        <x:v>W0</x:v>
      </x:c>
      <x:c r="D369" s="32" t="str">
        <x:v>V2</x:v>
      </x:c>
      <x:c r="E369" s="86" t="n">
        <x:f>COUNT('13_W0_EC'!C40,'13_W0_EC'!E40,'13_W0_EC'!G40,'13_W0_EC'!I40)</x:f>
        <x:v>4</x:v>
      </x:c>
      <x:c r="F369" s="90" t="n">
        <x:f>IF(E369=0,"",AVERAGE('13_W0_EC'!C40,'13_W0_EC'!E40,'13_W0_EC'!G40,'13_W0_EC'!I40))</x:f>
        <x:v>911.5</x:v>
      </x:c>
      <x:c r="G369" s="90" t="n">
        <x:f>IF(E369&lt;2,"",STDEV.S('13_W0_EC'!C40,'13_W0_EC'!E40,'13_W0_EC'!G40,'13_W0_EC'!I40))</x:f>
        <x:v>119.78174596601382</x:v>
      </x:c>
      <x:c r="H369" s="90" t="n">
        <x:f>IF(E369=0,"",MIN('13_W0_EC'!C40,'13_W0_EC'!E40,'13_W0_EC'!G40,'13_W0_EC'!I40))</x:f>
        <x:v>784</x:v>
      </x:c>
      <x:c r="I369" s="90" t="n">
        <x:f>IF(E369=0,"",MAX('13_W0_EC'!C40,'13_W0_EC'!E40,'13_W0_EC'!G40,'13_W0_EC'!I40))</x:f>
        <x:v>1052</x:v>
      </x:c>
      <x:c r="J369" s="32" t="str">
        <x:v>μS/cm</x:v>
      </x:c>
    </x:row>
    <x:row r="370">
      <x:c r="A370" s="72" t="n">
        <x:v>46240.92769675926</x:v>
      </x:c>
      <x:c r="B370" s="32" t="str">
        <x:v>土壤EC</x:v>
      </x:c>
      <x:c r="C370" s="32" t="str">
        <x:v>W0</x:v>
      </x:c>
      <x:c r="D370" s="32" t="str">
        <x:v>V1</x:v>
      </x:c>
      <x:c r="E370" s="86" t="n">
        <x:f>COUNT('13_W0_EC'!B41,'13_W0_EC'!D41,'13_W0_EC'!F41,'13_W0_EC'!H41)</x:f>
        <x:v>4</x:v>
      </x:c>
      <x:c r="F370" s="90" t="n">
        <x:f>IF(E370=0,"",AVERAGE('13_W0_EC'!B41,'13_W0_EC'!D41,'13_W0_EC'!F41,'13_W0_EC'!H41))</x:f>
        <x:v>898.75</x:v>
      </x:c>
      <x:c r="G370" s="90" t="n">
        <x:f>IF(E370&lt;2,"",STDEV.S('13_W0_EC'!B41,'13_W0_EC'!D41,'13_W0_EC'!F41,'13_W0_EC'!H41))</x:f>
        <x:v>114.38640653504244</x:v>
      </x:c>
      <x:c r="H370" s="90" t="n">
        <x:f>IF(E370=0,"",MIN('13_W0_EC'!B41,'13_W0_EC'!D41,'13_W0_EC'!F41,'13_W0_EC'!H41))</x:f>
        <x:v>788</x:v>
      </x:c>
      <x:c r="I370" s="90" t="n">
        <x:f>IF(E370=0,"",MAX('13_W0_EC'!B41,'13_W0_EC'!D41,'13_W0_EC'!F41,'13_W0_EC'!H41))</x:f>
        <x:v>1043</x:v>
      </x:c>
      <x:c r="J370" s="32" t="str">
        <x:v>μS/cm</x:v>
      </x:c>
    </x:row>
    <x:row r="371">
      <x:c r="A371" s="72" t="n">
        <x:v>46240.92769675926</x:v>
      </x:c>
      <x:c r="B371" s="32" t="str">
        <x:v>土壤EC</x:v>
      </x:c>
      <x:c r="C371" s="32" t="str">
        <x:v>W0</x:v>
      </x:c>
      <x:c r="D371" s="32" t="str">
        <x:v>V2</x:v>
      </x:c>
      <x:c r="E371" s="86" t="n">
        <x:f>COUNT('13_W0_EC'!C41,'13_W0_EC'!E41,'13_W0_EC'!G41,'13_W0_EC'!I41)</x:f>
        <x:v>4</x:v>
      </x:c>
      <x:c r="F371" s="90" t="n">
        <x:f>IF(E371=0,"",AVERAGE('13_W0_EC'!C41,'13_W0_EC'!E41,'13_W0_EC'!G41,'13_W0_EC'!I41))</x:f>
        <x:v>911.25</x:v>
      </x:c>
      <x:c r="G371" s="90" t="n">
        <x:f>IF(E371&lt;2,"",STDEV.S('13_W0_EC'!C41,'13_W0_EC'!E41,'13_W0_EC'!G41,'13_W0_EC'!I41))</x:f>
        <x:v>117.87387327139123</x:v>
      </x:c>
      <x:c r="H371" s="90" t="n">
        <x:f>IF(E371=0,"",MIN('13_W0_EC'!C41,'13_W0_EC'!E41,'13_W0_EC'!G41,'13_W0_EC'!I41))</x:f>
        <x:v>792</x:v>
      </x:c>
      <x:c r="I371" s="90" t="n">
        <x:f>IF(E371=0,"",MAX('13_W0_EC'!C41,'13_W0_EC'!E41,'13_W0_EC'!G41,'13_W0_EC'!I41))</x:f>
        <x:v>1055</x:v>
      </x:c>
      <x:c r="J371" s="32" t="str">
        <x:v>μS/cm</x:v>
      </x:c>
    </x:row>
    <x:row r="372">
      <x:c r="A372" s="72" t="n">
        <x:v>46240.93116898148</x:v>
      </x:c>
      <x:c r="B372" s="32" t="str">
        <x:v>土壤EC</x:v>
      </x:c>
      <x:c r="C372" s="32" t="str">
        <x:v>W0</x:v>
      </x:c>
      <x:c r="D372" s="32" t="str">
        <x:v>V1</x:v>
      </x:c>
      <x:c r="E372" s="86" t="n">
        <x:f>COUNT('13_W0_EC'!B42,'13_W0_EC'!D42,'13_W0_EC'!F42,'13_W0_EC'!H42)</x:f>
        <x:v>4</x:v>
      </x:c>
      <x:c r="F372" s="90" t="n">
        <x:f>IF(E372=0,"",AVERAGE('13_W0_EC'!B42,'13_W0_EC'!D42,'13_W0_EC'!F42,'13_W0_EC'!H42))</x:f>
        <x:v>898.5</x:v>
      </x:c>
      <x:c r="G372" s="90" t="n">
        <x:f>IF(E372&lt;2,"",STDEV.S('13_W0_EC'!B42,'13_W0_EC'!D42,'13_W0_EC'!F42,'13_W0_EC'!H42))</x:f>
        <x:v>109.63119993870357</x:v>
      </x:c>
      <x:c r="H372" s="90" t="n">
        <x:f>IF(E372=0,"",MIN('13_W0_EC'!B42,'13_W0_EC'!D42,'13_W0_EC'!F42,'13_W0_EC'!H42))</x:f>
        <x:v>797</x:v>
      </x:c>
      <x:c r="I372" s="90" t="n">
        <x:f>IF(E372=0,"",MAX('13_W0_EC'!B42,'13_W0_EC'!D42,'13_W0_EC'!F42,'13_W0_EC'!H42))</x:f>
        <x:v>1041</x:v>
      </x:c>
      <x:c r="J372" s="32" t="str">
        <x:v>μS/cm</x:v>
      </x:c>
    </x:row>
    <x:row r="373">
      <x:c r="A373" s="72" t="n">
        <x:v>46240.93116898148</x:v>
      </x:c>
      <x:c r="B373" s="32" t="str">
        <x:v>土壤EC</x:v>
      </x:c>
      <x:c r="C373" s="32" t="str">
        <x:v>W0</x:v>
      </x:c>
      <x:c r="D373" s="32" t="str">
        <x:v>V2</x:v>
      </x:c>
      <x:c r="E373" s="86" t="n">
        <x:f>COUNT('13_W0_EC'!C42,'13_W0_EC'!E42,'13_W0_EC'!G42,'13_W0_EC'!I42)</x:f>
        <x:v>4</x:v>
      </x:c>
      <x:c r="F373" s="90" t="n">
        <x:f>IF(E373=0,"",AVERAGE('13_W0_EC'!C42,'13_W0_EC'!E42,'13_W0_EC'!G42,'13_W0_EC'!I42))</x:f>
        <x:v>910.75</x:v>
      </x:c>
      <x:c r="G373" s="90" t="n">
        <x:f>IF(E373&lt;2,"",STDEV.S('13_W0_EC'!C42,'13_W0_EC'!E42,'13_W0_EC'!G42,'13_W0_EC'!I42))</x:f>
        <x:v>114.38640653504244</x:v>
      </x:c>
      <x:c r="H373" s="90" t="n">
        <x:f>IF(E373=0,"",MIN('13_W0_EC'!C42,'13_W0_EC'!E42,'13_W0_EC'!G42,'13_W0_EC'!I42))</x:f>
        <x:v>800</x:v>
      </x:c>
      <x:c r="I373" s="90" t="n">
        <x:f>IF(E373=0,"",MAX('13_W0_EC'!C42,'13_W0_EC'!E42,'13_W0_EC'!G42,'13_W0_EC'!I42))</x:f>
        <x:v>1055</x:v>
      </x:c>
      <x:c r="J373" s="32" t="str">
        <x:v>μS/cm</x:v>
      </x:c>
    </x:row>
    <x:row r="374">
      <x:c r="A374" s="72" t="n">
        <x:v>46240.934641203705</x:v>
      </x:c>
      <x:c r="B374" s="32" t="str">
        <x:v>土壤EC</x:v>
      </x:c>
      <x:c r="C374" s="32" t="str">
        <x:v>W0</x:v>
      </x:c>
      <x:c r="D374" s="32" t="str">
        <x:v>V1</x:v>
      </x:c>
      <x:c r="E374" s="86" t="n">
        <x:f>COUNT('13_W0_EC'!B43,'13_W0_EC'!D43,'13_W0_EC'!F43,'13_W0_EC'!H43)</x:f>
        <x:v>4</x:v>
      </x:c>
      <x:c r="F374" s="90" t="n">
        <x:f>IF(E374=0,"",AVERAGE('13_W0_EC'!B43,'13_W0_EC'!D43,'13_W0_EC'!F43,'13_W0_EC'!H43))</x:f>
        <x:v>898.25</x:v>
      </x:c>
      <x:c r="G374" s="90" t="n">
        <x:f>IF(E374&lt;2,"",STDEV.S('13_W0_EC'!B43,'13_W0_EC'!D43,'13_W0_EC'!F43,'13_W0_EC'!H43))</x:f>
        <x:v>104.23491097836015</x:v>
      </x:c>
      <x:c r="H374" s="90" t="n">
        <x:f>IF(E374=0,"",MIN('13_W0_EC'!B43,'13_W0_EC'!D43,'13_W0_EC'!F43,'13_W0_EC'!H43))</x:f>
        <x:v>805</x:v>
      </x:c>
      <x:c r="I374" s="90" t="n">
        <x:f>IF(E374=0,"",MAX('13_W0_EC'!B43,'13_W0_EC'!D43,'13_W0_EC'!F43,'13_W0_EC'!H43))</x:f>
        <x:v>1037</x:v>
      </x:c>
      <x:c r="J374" s="32" t="str">
        <x:v>μS/cm</x:v>
      </x:c>
    </x:row>
    <x:row r="375">
      <x:c r="A375" s="72" t="n">
        <x:v>46240.934641203705</x:v>
      </x:c>
      <x:c r="B375" s="32" t="str">
        <x:v>土壤EC</x:v>
      </x:c>
      <x:c r="C375" s="32" t="str">
        <x:v>W0</x:v>
      </x:c>
      <x:c r="D375" s="32" t="str">
        <x:v>V2</x:v>
      </x:c>
      <x:c r="E375" s="86" t="n">
        <x:f>COUNT('13_W0_EC'!C43,'13_W0_EC'!E43,'13_W0_EC'!G43,'13_W0_EC'!I43)</x:f>
        <x:v>4</x:v>
      </x:c>
      <x:c r="F375" s="90" t="n">
        <x:f>IF(E375=0,"",AVERAGE('13_W0_EC'!C43,'13_W0_EC'!E43,'13_W0_EC'!G43,'13_W0_EC'!I43))</x:f>
        <x:v>910.5</x:v>
      </x:c>
      <x:c r="G375" s="90" t="n">
        <x:f>IF(E375&lt;2,"",STDEV.S('13_W0_EC'!C43,'13_W0_EC'!E43,'13_W0_EC'!G43,'13_W0_EC'!I43))</x:f>
        <x:v>109.63119993870357</x:v>
      </x:c>
      <x:c r="H375" s="90" t="n">
        <x:f>IF(E375=0,"",MIN('13_W0_EC'!C43,'13_W0_EC'!E43,'13_W0_EC'!G43,'13_W0_EC'!I43))</x:f>
        <x:v>809</x:v>
      </x:c>
      <x:c r="I375" s="90" t="n">
        <x:f>IF(E375=0,"",MAX('13_W0_EC'!C43,'13_W0_EC'!E43,'13_W0_EC'!G43,'13_W0_EC'!I43))</x:f>
        <x:v>1053</x:v>
      </x:c>
      <x:c r="J375" s="32" t="str">
        <x:v>μS/cm</x:v>
      </x:c>
    </x:row>
    <x:row r="376">
      <x:c r="A376" s="72" t="n">
        <x:v>46240.938113425924</x:v>
      </x:c>
      <x:c r="B376" s="32" t="str">
        <x:v>土壤EC</x:v>
      </x:c>
      <x:c r="C376" s="32" t="str">
        <x:v>W0</x:v>
      </x:c>
      <x:c r="D376" s="32" t="str">
        <x:v>V1</x:v>
      </x:c>
      <x:c r="E376" s="86" t="n">
        <x:f>COUNT('13_W0_EC'!B44,'13_W0_EC'!D44,'13_W0_EC'!F44,'13_W0_EC'!H44)</x:f>
        <x:v>4</x:v>
      </x:c>
      <x:c r="F376" s="90" t="n">
        <x:f>IF(E376=0,"",AVERAGE('13_W0_EC'!B44,'13_W0_EC'!D44,'13_W0_EC'!F44,'13_W0_EC'!H44))</x:f>
        <x:v>898.25</x:v>
      </x:c>
      <x:c r="G376" s="90" t="n">
        <x:f>IF(E376&lt;2,"",STDEV.S('13_W0_EC'!B44,'13_W0_EC'!D44,'13_W0_EC'!F44,'13_W0_EC'!H44))</x:f>
        <x:v>97.7799400013452</x:v>
      </x:c>
      <x:c r="H376" s="90" t="n">
        <x:f>IF(E376=0,"",MIN('13_W0_EC'!B44,'13_W0_EC'!D44,'13_W0_EC'!F44,'13_W0_EC'!H44))</x:f>
        <x:v>813</x:v>
      </x:c>
      <x:c r="I376" s="90" t="n">
        <x:f>IF(E376=0,"",MAX('13_W0_EC'!B44,'13_W0_EC'!D44,'13_W0_EC'!F44,'13_W0_EC'!H44))</x:f>
        <x:v>1031</x:v>
      </x:c>
      <x:c r="J376" s="32" t="str">
        <x:v>μS/cm</x:v>
      </x:c>
    </x:row>
    <x:row r="377">
      <x:c r="A377" s="72" t="n">
        <x:v>46240.938113425924</x:v>
      </x:c>
      <x:c r="B377" s="32" t="str">
        <x:v>土壤EC</x:v>
      </x:c>
      <x:c r="C377" s="32" t="str">
        <x:v>W0</x:v>
      </x:c>
      <x:c r="D377" s="32" t="str">
        <x:v>V2</x:v>
      </x:c>
      <x:c r="E377" s="86" t="n">
        <x:f>COUNT('13_W0_EC'!C44,'13_W0_EC'!E44,'13_W0_EC'!G44,'13_W0_EC'!I44)</x:f>
        <x:v>4</x:v>
      </x:c>
      <x:c r="F377" s="90" t="n">
        <x:f>IF(E377=0,"",AVERAGE('13_W0_EC'!C44,'13_W0_EC'!E44,'13_W0_EC'!G44,'13_W0_EC'!I44))</x:f>
        <x:v>910.25</x:v>
      </x:c>
      <x:c r="G377" s="90" t="n">
        <x:f>IF(E377&lt;2,"",STDEV.S('13_W0_EC'!C44,'13_W0_EC'!E44,'13_W0_EC'!G44,'13_W0_EC'!I44))</x:f>
        <x:v>104.23491097836015</x:v>
      </x:c>
      <x:c r="H377" s="90" t="n">
        <x:f>IF(E377=0,"",MIN('13_W0_EC'!C44,'13_W0_EC'!E44,'13_W0_EC'!G44,'13_W0_EC'!I44))</x:f>
        <x:v>817</x:v>
      </x:c>
      <x:c r="I377" s="90" t="n">
        <x:f>IF(E377=0,"",MAX('13_W0_EC'!C44,'13_W0_EC'!E44,'13_W0_EC'!G44,'13_W0_EC'!I44))</x:f>
        <x:v>1049</x:v>
      </x:c>
      <x:c r="J377" s="32" t="str">
        <x:v>μS/cm</x:v>
      </x:c>
    </x:row>
    <x:row r="378">
      <x:c r="A378" s="72" t="n">
        <x:v>46240.94158564815</x:v>
      </x:c>
      <x:c r="B378" s="32" t="str">
        <x:v>土壤EC</x:v>
      </x:c>
      <x:c r="C378" s="32" t="str">
        <x:v>W0</x:v>
      </x:c>
      <x:c r="D378" s="32" t="str">
        <x:v>V1</x:v>
      </x:c>
      <x:c r="E378" s="86" t="n">
        <x:f>COUNT('13_W0_EC'!B45,'13_W0_EC'!D45,'13_W0_EC'!F45,'13_W0_EC'!H45)</x:f>
        <x:v>4</x:v>
      </x:c>
      <x:c r="F378" s="90" t="n">
        <x:f>IF(E378=0,"",AVERAGE('13_W0_EC'!B45,'13_W0_EC'!D45,'13_W0_EC'!F45,'13_W0_EC'!H45))</x:f>
        <x:v>898.25</x:v>
      </x:c>
      <x:c r="G378" s="90" t="n">
        <x:f>IF(E378&lt;2,"",STDEV.S('13_W0_EC'!B45,'13_W0_EC'!D45,'13_W0_EC'!F45,'13_W0_EC'!H45))</x:f>
        <x:v>91.4635628725086</x:v>
      </x:c>
      <x:c r="H378" s="90" t="n">
        <x:f>IF(E378=0,"",MIN('13_W0_EC'!B45,'13_W0_EC'!D45,'13_W0_EC'!F45,'13_W0_EC'!H45))</x:f>
        <x:v>819</x:v>
      </x:c>
      <x:c r="I378" s="90" t="n">
        <x:f>IF(E378=0,"",MAX('13_W0_EC'!B45,'13_W0_EC'!D45,'13_W0_EC'!F45,'13_W0_EC'!H45))</x:f>
        <x:v>1024</x:v>
      </x:c>
      <x:c r="J378" s="32" t="str">
        <x:v>μS/cm</x:v>
      </x:c>
    </x:row>
    <x:row r="379">
      <x:c r="A379" s="72" t="n">
        <x:v>46240.94158564815</x:v>
      </x:c>
      <x:c r="B379" s="32" t="str">
        <x:v>土壤EC</x:v>
      </x:c>
      <x:c r="C379" s="32" t="str">
        <x:v>W0</x:v>
      </x:c>
      <x:c r="D379" s="32" t="str">
        <x:v>V2</x:v>
      </x:c>
      <x:c r="E379" s="86" t="n">
        <x:f>COUNT('13_W0_EC'!C45,'13_W0_EC'!E45,'13_W0_EC'!G45,'13_W0_EC'!I45)</x:f>
        <x:v>4</x:v>
      </x:c>
      <x:c r="F379" s="90" t="n">
        <x:f>IF(E379=0,"",AVERAGE('13_W0_EC'!C45,'13_W0_EC'!E45,'13_W0_EC'!G45,'13_W0_EC'!I45))</x:f>
        <x:v>910.25</x:v>
      </x:c>
      <x:c r="G379" s="90" t="n">
        <x:f>IF(E379&lt;2,"",STDEV.S('13_W0_EC'!C45,'13_W0_EC'!E45,'13_W0_EC'!G45,'13_W0_EC'!I45))</x:f>
        <x:v>97.7799400013452</x:v>
      </x:c>
      <x:c r="H379" s="90" t="n">
        <x:f>IF(E379=0,"",MIN('13_W0_EC'!C45,'13_W0_EC'!E45,'13_W0_EC'!G45,'13_W0_EC'!I45))</x:f>
        <x:v>825</x:v>
      </x:c>
      <x:c r="I379" s="90" t="n">
        <x:f>IF(E379=0,"",MAX('13_W0_EC'!C45,'13_W0_EC'!E45,'13_W0_EC'!G45,'13_W0_EC'!I45))</x:f>
        <x:v>1043</x:v>
      </x:c>
      <x:c r="J379" s="32" t="str">
        <x:v>μS/cm</x:v>
      </x:c>
    </x:row>
    <x:row r="380">
      <x:c r="A380" s="72" t="n">
        <x:v>46240.94505787037</x:v>
      </x:c>
      <x:c r="B380" s="32" t="str">
        <x:v>土壤EC</x:v>
      </x:c>
      <x:c r="C380" s="32" t="str">
        <x:v>W0</x:v>
      </x:c>
      <x:c r="D380" s="32" t="str">
        <x:v>V1</x:v>
      </x:c>
      <x:c r="E380" s="86" t="n">
        <x:f>COUNT('13_W0_EC'!B46,'13_W0_EC'!D46,'13_W0_EC'!F46,'13_W0_EC'!H46)</x:f>
        <x:v>4</x:v>
      </x:c>
      <x:c r="F380" s="90" t="n">
        <x:f>IF(E380=0,"",AVERAGE('13_W0_EC'!B46,'13_W0_EC'!D46,'13_W0_EC'!F46,'13_W0_EC'!H46))</x:f>
        <x:v>898.5</x:v>
      </x:c>
      <x:c r="G380" s="90" t="n">
        <x:f>IF(E380&lt;2,"",STDEV.S('13_W0_EC'!B46,'13_W0_EC'!D46,'13_W0_EC'!F46,'13_W0_EC'!H46))</x:f>
        <x:v>84.71717653463199</x:v>
      </x:c>
      <x:c r="H380" s="90" t="n">
        <x:f>IF(E380=0,"",MIN('13_W0_EC'!B46,'13_W0_EC'!D46,'13_W0_EC'!F46,'13_W0_EC'!H46))</x:f>
        <x:v>824</x:v>
      </x:c>
      <x:c r="I380" s="90" t="n">
        <x:f>IF(E380=0,"",MAX('13_W0_EC'!B46,'13_W0_EC'!D46,'13_W0_EC'!F46,'13_W0_EC'!H46))</x:f>
        <x:v>1016</x:v>
      </x:c>
      <x:c r="J380" s="32" t="str">
        <x:v>μS/cm</x:v>
      </x:c>
    </x:row>
    <x:row r="381">
      <x:c r="A381" s="72" t="n">
        <x:v>46240.94505787037</x:v>
      </x:c>
      <x:c r="B381" s="32" t="str">
        <x:v>土壤EC</x:v>
      </x:c>
      <x:c r="C381" s="32" t="str">
        <x:v>W0</x:v>
      </x:c>
      <x:c r="D381" s="32" t="str">
        <x:v>V2</x:v>
      </x:c>
      <x:c r="E381" s="86" t="n">
        <x:f>COUNT('13_W0_EC'!C46,'13_W0_EC'!E46,'13_W0_EC'!G46,'13_W0_EC'!I46)</x:f>
        <x:v>4</x:v>
      </x:c>
      <x:c r="F381" s="90" t="n">
        <x:f>IF(E381=0,"",AVERAGE('13_W0_EC'!C46,'13_W0_EC'!E46,'13_W0_EC'!G46,'13_W0_EC'!I46))</x:f>
        <x:v>910.25</x:v>
      </x:c>
      <x:c r="G381" s="90" t="n">
        <x:f>IF(E381&lt;2,"",STDEV.S('13_W0_EC'!C46,'13_W0_EC'!E46,'13_W0_EC'!G46,'13_W0_EC'!I46))</x:f>
        <x:v>91.4635628725086</x:v>
      </x:c>
      <x:c r="H381" s="90" t="n">
        <x:f>IF(E381=0,"",MIN('13_W0_EC'!C46,'13_W0_EC'!E46,'13_W0_EC'!G46,'13_W0_EC'!I46))</x:f>
        <x:v>831</x:v>
      </x:c>
      <x:c r="I381" s="90" t="n">
        <x:f>IF(E381=0,"",MAX('13_W0_EC'!C46,'13_W0_EC'!E46,'13_W0_EC'!G46,'13_W0_EC'!I46))</x:f>
        <x:v>1036</x:v>
      </x:c>
      <x:c r="J381" s="32" t="str">
        <x:v>μS/cm</x:v>
      </x:c>
    </x:row>
    <x:row r="382">
      <x:c r="A382" s="72" t="n">
        <x:v>46240.948530092595</x:v>
      </x:c>
      <x:c r="B382" s="32" t="str">
        <x:v>土壤EC</x:v>
      </x:c>
      <x:c r="C382" s="32" t="str">
        <x:v>W0</x:v>
      </x:c>
      <x:c r="D382" s="32" t="str">
        <x:v>V1</x:v>
      </x:c>
      <x:c r="E382" s="86" t="n">
        <x:f>COUNT('13_W0_EC'!B47,'13_W0_EC'!D47,'13_W0_EC'!F47,'13_W0_EC'!H47)</x:f>
        <x:v>4</x:v>
      </x:c>
      <x:c r="F382" s="90" t="n">
        <x:f>IF(E382=0,"",AVERAGE('13_W0_EC'!B47,'13_W0_EC'!D47,'13_W0_EC'!F47,'13_W0_EC'!H47))</x:f>
        <x:v>898.5</x:v>
      </x:c>
      <x:c r="G382" s="90" t="n">
        <x:f>IF(E382&lt;2,"",STDEV.S('13_W0_EC'!B47,'13_W0_EC'!D47,'13_W0_EC'!F47,'13_W0_EC'!H47))</x:f>
        <x:v>78.56419880157458</x:v>
      </x:c>
      <x:c r="H382" s="90" t="n">
        <x:f>IF(E382=0,"",MIN('13_W0_EC'!B47,'13_W0_EC'!D47,'13_W0_EC'!F47,'13_W0_EC'!H47))</x:f>
        <x:v>826</x:v>
      </x:c>
      <x:c r="I382" s="90" t="n">
        <x:f>IF(E382=0,"",MAX('13_W0_EC'!B47,'13_W0_EC'!D47,'13_W0_EC'!F47,'13_W0_EC'!H47))</x:f>
        <x:v>1007</x:v>
      </x:c>
      <x:c r="J382" s="32" t="str">
        <x:v>μS/cm</x:v>
      </x:c>
    </x:row>
    <x:row r="383">
      <x:c r="A383" s="72" t="n">
        <x:v>46240.948530092595</x:v>
      </x:c>
      <x:c r="B383" s="32" t="str">
        <x:v>土壤EC</x:v>
      </x:c>
      <x:c r="C383" s="32" t="str">
        <x:v>W0</x:v>
      </x:c>
      <x:c r="D383" s="32" t="str">
        <x:v>V2</x:v>
      </x:c>
      <x:c r="E383" s="86" t="n">
        <x:f>COUNT('13_W0_EC'!C47,'13_W0_EC'!E47,'13_W0_EC'!G47,'13_W0_EC'!I47)</x:f>
        <x:v>4</x:v>
      </x:c>
      <x:c r="F383" s="90" t="n">
        <x:f>IF(E383=0,"",AVERAGE('13_W0_EC'!C47,'13_W0_EC'!E47,'13_W0_EC'!G47,'13_W0_EC'!I47))</x:f>
        <x:v>910.5</x:v>
      </x:c>
      <x:c r="G383" s="90" t="n">
        <x:f>IF(E383&lt;2,"",STDEV.S('13_W0_EC'!C47,'13_W0_EC'!E47,'13_W0_EC'!G47,'13_W0_EC'!I47))</x:f>
        <x:v>84.71717653463199</x:v>
      </x:c>
      <x:c r="H383" s="90" t="n">
        <x:f>IF(E383=0,"",MIN('13_W0_EC'!C47,'13_W0_EC'!E47,'13_W0_EC'!G47,'13_W0_EC'!I47))</x:f>
        <x:v>836</x:v>
      </x:c>
      <x:c r="I383" s="90" t="n">
        <x:f>IF(E383=0,"",MAX('13_W0_EC'!C47,'13_W0_EC'!E47,'13_W0_EC'!G47,'13_W0_EC'!I47))</x:f>
        <x:v>1028</x:v>
      </x:c>
      <x:c r="J383" s="32" t="str">
        <x:v>μS/cm</x:v>
      </x:c>
    </x:row>
    <x:row r="384">
      <x:c r="A384" s="72" t="n">
        <x:v>46240.952002314814</x:v>
      </x:c>
      <x:c r="B384" s="32" t="str">
        <x:v>土壤EC</x:v>
      </x:c>
      <x:c r="C384" s="32" t="str">
        <x:v>W0</x:v>
      </x:c>
      <x:c r="D384" s="32" t="str">
        <x:v>V1</x:v>
      </x:c>
      <x:c r="E384" s="86" t="n">
        <x:f>COUNT('13_W0_EC'!B48,'13_W0_EC'!D48,'13_W0_EC'!F48,'13_W0_EC'!H48)</x:f>
        <x:v>4</x:v>
      </x:c>
      <x:c r="F384" s="90" t="n">
        <x:f>IF(E384=0,"",AVERAGE('13_W0_EC'!B48,'13_W0_EC'!D48,'13_W0_EC'!F48,'13_W0_EC'!H48))</x:f>
        <x:v>899</x:v>
      </x:c>
      <x:c r="G384" s="90" t="n">
        <x:f>IF(E384&lt;2,"",STDEV.S('13_W0_EC'!B48,'13_W0_EC'!D48,'13_W0_EC'!F48,'13_W0_EC'!H48))</x:f>
        <x:v>72.78736154031138</x:v>
      </x:c>
      <x:c r="H384" s="90" t="n">
        <x:f>IF(E384=0,"",MIN('13_W0_EC'!B48,'13_W0_EC'!D48,'13_W0_EC'!F48,'13_W0_EC'!H48))</x:f>
        <x:v>827</x:v>
      </x:c>
      <x:c r="I384" s="90" t="n">
        <x:f>IF(E384=0,"",MAX('13_W0_EC'!B48,'13_W0_EC'!D48,'13_W0_EC'!F48,'13_W0_EC'!H48))</x:f>
        <x:v>998</x:v>
      </x:c>
      <x:c r="J384" s="32" t="str">
        <x:v>μS/cm</x:v>
      </x:c>
    </x:row>
    <x:row r="385">
      <x:c r="A385" s="72" t="n">
        <x:v>46240.952002314814</x:v>
      </x:c>
      <x:c r="B385" s="32" t="str">
        <x:v>土壤EC</x:v>
      </x:c>
      <x:c r="C385" s="32" t="str">
        <x:v>W0</x:v>
      </x:c>
      <x:c r="D385" s="32" t="str">
        <x:v>V2</x:v>
      </x:c>
      <x:c r="E385" s="86" t="n">
        <x:f>COUNT('13_W0_EC'!C48,'13_W0_EC'!E48,'13_W0_EC'!G48,'13_W0_EC'!I48)</x:f>
        <x:v>4</x:v>
      </x:c>
      <x:c r="F385" s="90" t="n">
        <x:f>IF(E385=0,"",AVERAGE('13_W0_EC'!C48,'13_W0_EC'!E48,'13_W0_EC'!G48,'13_W0_EC'!I48))</x:f>
        <x:v>910.5</x:v>
      </x:c>
      <x:c r="G385" s="90" t="n">
        <x:f>IF(E385&lt;2,"",STDEV.S('13_W0_EC'!C48,'13_W0_EC'!E48,'13_W0_EC'!G48,'13_W0_EC'!I48))</x:f>
        <x:v>78.56419880157458</x:v>
      </x:c>
      <x:c r="H385" s="90" t="n">
        <x:f>IF(E385=0,"",MIN('13_W0_EC'!C48,'13_W0_EC'!E48,'13_W0_EC'!G48,'13_W0_EC'!I48))</x:f>
        <x:v>838</x:v>
      </x:c>
      <x:c r="I385" s="90" t="n">
        <x:f>IF(E385=0,"",MAX('13_W0_EC'!C48,'13_W0_EC'!E48,'13_W0_EC'!G48,'13_W0_EC'!I48))</x:f>
        <x:v>1019</x:v>
      </x:c>
      <x:c r="J385" s="32" t="str">
        <x:v>μS/cm</x:v>
      </x:c>
    </x:row>
    <x:row r="386">
      <x:c r="A386" s="72" t="n">
        <x:v>46240.95547453704</x:v>
      </x:c>
      <x:c r="B386" s="32" t="str">
        <x:v>土壤EC</x:v>
      </x:c>
      <x:c r="C386" s="32" t="str">
        <x:v>W0</x:v>
      </x:c>
      <x:c r="D386" s="32" t="str">
        <x:v>V1</x:v>
      </x:c>
      <x:c r="E386" s="86" t="n">
        <x:f>COUNT('13_W0_EC'!B49,'13_W0_EC'!D49,'13_W0_EC'!F49,'13_W0_EC'!H49)</x:f>
        <x:v>4</x:v>
      </x:c>
      <x:c r="F386" s="90" t="n">
        <x:f>IF(E386=0,"",AVERAGE('13_W0_EC'!B49,'13_W0_EC'!D49,'13_W0_EC'!F49,'13_W0_EC'!H49))</x:f>
        <x:v>899.25</x:v>
      </x:c>
      <x:c r="G386" s="90" t="n">
        <x:f>IF(E386&lt;2,"",STDEV.S('13_W0_EC'!B49,'13_W0_EC'!D49,'13_W0_EC'!F49,'13_W0_EC'!H49))</x:f>
        <x:v>68.98490172977466</x:v>
      </x:c>
      <x:c r="H386" s="90" t="n">
        <x:f>IF(E386=0,"",MIN('13_W0_EC'!B49,'13_W0_EC'!D49,'13_W0_EC'!F49,'13_W0_EC'!H49))</x:f>
        <x:v>825</x:v>
      </x:c>
      <x:c r="I386" s="90" t="n">
        <x:f>IF(E386=0,"",MAX('13_W0_EC'!B49,'13_W0_EC'!D49,'13_W0_EC'!F49,'13_W0_EC'!H49))</x:f>
        <x:v>990</x:v>
      </x:c>
      <x:c r="J386" s="32" t="str">
        <x:v>μS/cm</x:v>
      </x:c>
    </x:row>
    <x:row r="387">
      <x:c r="A387" s="72" t="n">
        <x:v>46240.95547453704</x:v>
      </x:c>
      <x:c r="B387" s="32" t="str">
        <x:v>土壤EC</x:v>
      </x:c>
      <x:c r="C387" s="32" t="str">
        <x:v>W0</x:v>
      </x:c>
      <x:c r="D387" s="32" t="str">
        <x:v>V2</x:v>
      </x:c>
      <x:c r="E387" s="86" t="n">
        <x:f>COUNT('13_W0_EC'!C49,'13_W0_EC'!E49,'13_W0_EC'!G49,'13_W0_EC'!I49)</x:f>
        <x:v>4</x:v>
      </x:c>
      <x:c r="F387" s="90" t="n">
        <x:f>IF(E387=0,"",AVERAGE('13_W0_EC'!C49,'13_W0_EC'!E49,'13_W0_EC'!G49,'13_W0_EC'!I49))</x:f>
        <x:v>911</x:v>
      </x:c>
      <x:c r="G387" s="90" t="n">
        <x:f>IF(E387&lt;2,"",STDEV.S('13_W0_EC'!C49,'13_W0_EC'!E49,'13_W0_EC'!G49,'13_W0_EC'!I49))</x:f>
        <x:v>72.78736154031138</x:v>
      </x:c>
      <x:c r="H387" s="90" t="n">
        <x:f>IF(E387=0,"",MIN('13_W0_EC'!C49,'13_W0_EC'!E49,'13_W0_EC'!G49,'13_W0_EC'!I49))</x:f>
        <x:v>839</x:v>
      </x:c>
      <x:c r="I387" s="90" t="n">
        <x:f>IF(E387=0,"",MAX('13_W0_EC'!C49,'13_W0_EC'!E49,'13_W0_EC'!G49,'13_W0_EC'!I49))</x:f>
        <x:v>1010</x:v>
      </x:c>
      <x:c r="J387" s="32" t="str">
        <x:v>μS/cm</x:v>
      </x:c>
    </x:row>
    <x:row r="388">
      <x:c r="A388" s="72" t="n">
        <x:v>46240.95894675926</x:v>
      </x:c>
      <x:c r="B388" s="32" t="str">
        <x:v>土壤EC</x:v>
      </x:c>
      <x:c r="C388" s="32" t="str">
        <x:v>W0</x:v>
      </x:c>
      <x:c r="D388" s="32" t="str">
        <x:v>V1</x:v>
      </x:c>
      <x:c r="E388" s="86" t="n">
        <x:f>COUNT('13_W0_EC'!B50,'13_W0_EC'!D50,'13_W0_EC'!F50,'13_W0_EC'!H50)</x:f>
        <x:v>4</x:v>
      </x:c>
      <x:c r="F388" s="90" t="n">
        <x:f>IF(E388=0,"",AVERAGE('13_W0_EC'!B50,'13_W0_EC'!D50,'13_W0_EC'!F50,'13_W0_EC'!H50))</x:f>
        <x:v>899.75</x:v>
      </x:c>
      <x:c r="G388" s="90" t="n">
        <x:f>IF(E388&lt;2,"",STDEV.S('13_W0_EC'!B50,'13_W0_EC'!D50,'13_W0_EC'!F50,'13_W0_EC'!H50))</x:f>
        <x:v>66.96952043031716</x:v>
      </x:c>
      <x:c r="H388" s="90" t="n">
        <x:f>IF(E388=0,"",MIN('13_W0_EC'!B50,'13_W0_EC'!D50,'13_W0_EC'!F50,'13_W0_EC'!H50))</x:f>
        <x:v>821</x:v>
      </x:c>
      <x:c r="I388" s="90" t="n">
        <x:f>IF(E388=0,"",MAX('13_W0_EC'!B50,'13_W0_EC'!D50,'13_W0_EC'!F50,'13_W0_EC'!H50))</x:f>
        <x:v>983</x:v>
      </x:c>
      <x:c r="J388" s="32" t="str">
        <x:v>μS/cm</x:v>
      </x:c>
    </x:row>
    <x:row r="389">
      <x:c r="A389" s="72" t="n">
        <x:v>46240.95894675926</x:v>
      </x:c>
      <x:c r="B389" s="32" t="str">
        <x:v>土壤EC</x:v>
      </x:c>
      <x:c r="C389" s="32" t="str">
        <x:v>W0</x:v>
      </x:c>
      <x:c r="D389" s="32" t="str">
        <x:v>V2</x:v>
      </x:c>
      <x:c r="E389" s="86" t="n">
        <x:f>COUNT('13_W0_EC'!C50,'13_W0_EC'!E50,'13_W0_EC'!G50,'13_W0_EC'!I50)</x:f>
        <x:v>4</x:v>
      </x:c>
      <x:c r="F389" s="90" t="n">
        <x:f>IF(E389=0,"",AVERAGE('13_W0_EC'!C50,'13_W0_EC'!E50,'13_W0_EC'!G50,'13_W0_EC'!I50))</x:f>
        <x:v>911.25</x:v>
      </x:c>
      <x:c r="G389" s="90" t="n">
        <x:f>IF(E389&lt;2,"",STDEV.S('13_W0_EC'!C50,'13_W0_EC'!E50,'13_W0_EC'!G50,'13_W0_EC'!I50))</x:f>
        <x:v>68.98490172977466</x:v>
      </x:c>
      <x:c r="H389" s="90" t="n">
        <x:f>IF(E389=0,"",MIN('13_W0_EC'!C50,'13_W0_EC'!E50,'13_W0_EC'!G50,'13_W0_EC'!I50))</x:f>
        <x:v>837</x:v>
      </x:c>
      <x:c r="I389" s="90" t="n">
        <x:f>IF(E389=0,"",MAX('13_W0_EC'!C50,'13_W0_EC'!E50,'13_W0_EC'!G50,'13_W0_EC'!I50))</x:f>
        <x:v>1002</x:v>
      </x:c>
      <x:c r="J389" s="32" t="str">
        <x:v>μS/cm</x:v>
      </x:c>
    </x:row>
    <x:row r="390">
      <x:c r="A390" s="72" t="n">
        <x:v>46240.96241898148</x:v>
      </x:c>
      <x:c r="B390" s="32" t="str">
        <x:v>土壤EC</x:v>
      </x:c>
      <x:c r="C390" s="32" t="str">
        <x:v>W0</x:v>
      </x:c>
      <x:c r="D390" s="32" t="str">
        <x:v>V1</x:v>
      </x:c>
      <x:c r="E390" s="86" t="n">
        <x:f>COUNT('13_W0_EC'!B51,'13_W0_EC'!D51,'13_W0_EC'!F51,'13_W0_EC'!H51)</x:f>
        <x:v>4</x:v>
      </x:c>
      <x:c r="F390" s="90" t="n">
        <x:f>IF(E390=0,"",AVERAGE('13_W0_EC'!B51,'13_W0_EC'!D51,'13_W0_EC'!F51,'13_W0_EC'!H51))</x:f>
        <x:v>900.25</x:v>
      </x:c>
      <x:c r="G390" s="90" t="n">
        <x:f>IF(E390&lt;2,"",STDEV.S('13_W0_EC'!B51,'13_W0_EC'!D51,'13_W0_EC'!F51,'13_W0_EC'!H51))</x:f>
        <x:v>67.02424934305493</x:v>
      </x:c>
      <x:c r="H390" s="90" t="n">
        <x:f>IF(E390=0,"",MIN('13_W0_EC'!B51,'13_W0_EC'!D51,'13_W0_EC'!F51,'13_W0_EC'!H51))</x:f>
        <x:v>816</x:v>
      </x:c>
      <x:c r="I390" s="90" t="n">
        <x:f>IF(E390=0,"",MAX('13_W0_EC'!B51,'13_W0_EC'!D51,'13_W0_EC'!F51,'13_W0_EC'!H51))</x:f>
        <x:v>978</x:v>
      </x:c>
      <x:c r="J390" s="32" t="str">
        <x:v>μS/cm</x:v>
      </x:c>
    </x:row>
    <x:row r="391">
      <x:c r="A391" s="72" t="n">
        <x:v>46240.96241898148</x:v>
      </x:c>
      <x:c r="B391" s="32" t="str">
        <x:v>土壤EC</x:v>
      </x:c>
      <x:c r="C391" s="32" t="str">
        <x:v>W0</x:v>
      </x:c>
      <x:c r="D391" s="32" t="str">
        <x:v>V2</x:v>
      </x:c>
      <x:c r="E391" s="86" t="n">
        <x:f>COUNT('13_W0_EC'!C51,'13_W0_EC'!E51,'13_W0_EC'!G51,'13_W0_EC'!I51)</x:f>
        <x:v>4</x:v>
      </x:c>
      <x:c r="F391" s="90" t="n">
        <x:f>IF(E391=0,"",AVERAGE('13_W0_EC'!C51,'13_W0_EC'!E51,'13_W0_EC'!G51,'13_W0_EC'!I51))</x:f>
        <x:v>911.75</x:v>
      </x:c>
      <x:c r="G391" s="90" t="n">
        <x:f>IF(E391&lt;2,"",STDEV.S('13_W0_EC'!C51,'13_W0_EC'!E51,'13_W0_EC'!G51,'13_W0_EC'!I51))</x:f>
        <x:v>66.96952043031716</x:v>
      </x:c>
      <x:c r="H391" s="90" t="n">
        <x:f>IF(E391=0,"",MIN('13_W0_EC'!C51,'13_W0_EC'!E51,'13_W0_EC'!G51,'13_W0_EC'!I51))</x:f>
        <x:v>833</x:v>
      </x:c>
      <x:c r="I391" s="90" t="n">
        <x:f>IF(E391=0,"",MAX('13_W0_EC'!C51,'13_W0_EC'!E51,'13_W0_EC'!G51,'13_W0_EC'!I51))</x:f>
        <x:v>995</x:v>
      </x:c>
      <x:c r="J391" s="32" t="str">
        <x:v>μS/cm</x:v>
      </x:c>
    </x:row>
    <x:row r="392">
      <x:c r="A392" s="72" t="n">
        <x:v>46240.965891203705</x:v>
      </x:c>
      <x:c r="B392" s="32" t="str">
        <x:v>土壤EC</x:v>
      </x:c>
      <x:c r="C392" s="32" t="str">
        <x:v>W0</x:v>
      </x:c>
      <x:c r="D392" s="32" t="str">
        <x:v>V1</x:v>
      </x:c>
      <x:c r="E392" s="86" t="n">
        <x:f>COUNT('13_W0_EC'!B52,'13_W0_EC'!D52,'13_W0_EC'!F52,'13_W0_EC'!H52)</x:f>
        <x:v>4</x:v>
      </x:c>
      <x:c r="F392" s="90" t="n">
        <x:f>IF(E392=0,"",AVERAGE('13_W0_EC'!B52,'13_W0_EC'!D52,'13_W0_EC'!F52,'13_W0_EC'!H52))</x:f>
        <x:v>900.75</x:v>
      </x:c>
      <x:c r="G392" s="90" t="n">
        <x:f>IF(E392&lt;2,"",STDEV.S('13_W0_EC'!B52,'13_W0_EC'!D52,'13_W0_EC'!F52,'13_W0_EC'!H52))</x:f>
        <x:v>69.15381406690452</x:v>
      </x:c>
      <x:c r="H392" s="90" t="n">
        <x:f>IF(E392=0,"",MIN('13_W0_EC'!B52,'13_W0_EC'!D52,'13_W0_EC'!F52,'13_W0_EC'!H52))</x:f>
        <x:v>809</x:v>
      </x:c>
      <x:c r="I392" s="90" t="n">
        <x:f>IF(E392=0,"",MAX('13_W0_EC'!B52,'13_W0_EC'!D52,'13_W0_EC'!F52,'13_W0_EC'!H52))</x:f>
        <x:v>974</x:v>
      </x:c>
      <x:c r="J392" s="32" t="str">
        <x:v>μS/cm</x:v>
      </x:c>
    </x:row>
    <x:row r="393">
      <x:c r="A393" s="72" t="n">
        <x:v>46240.965891203705</x:v>
      </x:c>
      <x:c r="B393" s="32" t="str">
        <x:v>土壤EC</x:v>
      </x:c>
      <x:c r="C393" s="32" t="str">
        <x:v>W0</x:v>
      </x:c>
      <x:c r="D393" s="32" t="str">
        <x:v>V2</x:v>
      </x:c>
      <x:c r="E393" s="86" t="n">
        <x:f>COUNT('13_W0_EC'!C52,'13_W0_EC'!E52,'13_W0_EC'!G52,'13_W0_EC'!I52)</x:f>
        <x:v>4</x:v>
      </x:c>
      <x:c r="F393" s="90" t="n">
        <x:f>IF(E393=0,"",AVERAGE('13_W0_EC'!C52,'13_W0_EC'!E52,'13_W0_EC'!G52,'13_W0_EC'!I52))</x:f>
        <x:v>912.25</x:v>
      </x:c>
      <x:c r="G393" s="90" t="n">
        <x:f>IF(E393&lt;2,"",STDEV.S('13_W0_EC'!C52,'13_W0_EC'!E52,'13_W0_EC'!G52,'13_W0_EC'!I52))</x:f>
        <x:v>67.02424934305493</x:v>
      </x:c>
      <x:c r="H393" s="90" t="n">
        <x:f>IF(E393=0,"",MIN('13_W0_EC'!C52,'13_W0_EC'!E52,'13_W0_EC'!G52,'13_W0_EC'!I52))</x:f>
        <x:v>828</x:v>
      </x:c>
      <x:c r="I393" s="90" t="n">
        <x:f>IF(E393=0,"",MAX('13_W0_EC'!C52,'13_W0_EC'!E52,'13_W0_EC'!G52,'13_W0_EC'!I52))</x:f>
        <x:v>990</x:v>
      </x:c>
      <x:c r="J393" s="32" t="str">
        <x:v>μS/cm</x:v>
      </x:c>
    </x:row>
    <x:row r="394">
      <x:c r="A394" s="72" t="n">
        <x:v>46240.969363425924</x:v>
      </x:c>
      <x:c r="B394" s="32" t="str">
        <x:v>土壤EC</x:v>
      </x:c>
      <x:c r="C394" s="32" t="str">
        <x:v>W0</x:v>
      </x:c>
      <x:c r="D394" s="32" t="str">
        <x:v>V1</x:v>
      </x:c>
      <x:c r="E394" s="86" t="n">
        <x:f>COUNT('13_W0_EC'!B53,'13_W0_EC'!D53,'13_W0_EC'!F53,'13_W0_EC'!H53)</x:f>
        <x:v>4</x:v>
      </x:c>
      <x:c r="F394" s="90" t="n">
        <x:f>IF(E394=0,"",AVERAGE('13_W0_EC'!B53,'13_W0_EC'!D53,'13_W0_EC'!F53,'13_W0_EC'!H53))</x:f>
        <x:v>901</x:v>
      </x:c>
      <x:c r="G394" s="90" t="n">
        <x:f>IF(E394&lt;2,"",STDEV.S('13_W0_EC'!B53,'13_W0_EC'!D53,'13_W0_EC'!F53,'13_W0_EC'!H53))</x:f>
        <x:v>73.38028799798123</x:v>
      </x:c>
      <x:c r="H394" s="90" t="n">
        <x:f>IF(E394=0,"",MIN('13_W0_EC'!B53,'13_W0_EC'!D53,'13_W0_EC'!F53,'13_W0_EC'!H53))</x:f>
        <x:v>801</x:v>
      </x:c>
      <x:c r="I394" s="90" t="n">
        <x:f>IF(E394=0,"",MAX('13_W0_EC'!B53,'13_W0_EC'!D53,'13_W0_EC'!F53,'13_W0_EC'!H53))</x:f>
        <x:v>973</x:v>
      </x:c>
      <x:c r="J394" s="32" t="str">
        <x:v>μS/cm</x:v>
      </x:c>
    </x:row>
    <x:row r="395">
      <x:c r="A395" s="72" t="n">
        <x:v>46240.969363425924</x:v>
      </x:c>
      <x:c r="B395" s="32" t="str">
        <x:v>土壤EC</x:v>
      </x:c>
      <x:c r="C395" s="32" t="str">
        <x:v>W0</x:v>
      </x:c>
      <x:c r="D395" s="32" t="str">
        <x:v>V2</x:v>
      </x:c>
      <x:c r="E395" s="86" t="n">
        <x:f>COUNT('13_W0_EC'!C53,'13_W0_EC'!E53,'13_W0_EC'!G53,'13_W0_EC'!I53)</x:f>
        <x:v>4</x:v>
      </x:c>
      <x:c r="F395" s="90" t="n">
        <x:f>IF(E395=0,"",AVERAGE('13_W0_EC'!C53,'13_W0_EC'!E53,'13_W0_EC'!G53,'13_W0_EC'!I53))</x:f>
        <x:v>912.75</x:v>
      </x:c>
      <x:c r="G395" s="90" t="n">
        <x:f>IF(E395&lt;2,"",STDEV.S('13_W0_EC'!C53,'13_W0_EC'!E53,'13_W0_EC'!G53,'13_W0_EC'!I53))</x:f>
        <x:v>69.15381406690452</x:v>
      </x:c>
      <x:c r="H395" s="90" t="n">
        <x:f>IF(E395=0,"",MIN('13_W0_EC'!C53,'13_W0_EC'!E53,'13_W0_EC'!G53,'13_W0_EC'!I53))</x:f>
        <x:v>821</x:v>
      </x:c>
      <x:c r="I395" s="90" t="n">
        <x:f>IF(E395=0,"",MAX('13_W0_EC'!C53,'13_W0_EC'!E53,'13_W0_EC'!G53,'13_W0_EC'!I53))</x:f>
        <x:v>986</x:v>
      </x:c>
      <x:c r="J395" s="32" t="str">
        <x:v>μS/cm</x:v>
      </x:c>
    </x:row>
    <x:row r="396">
      <x:c r="A396" s="72" t="n">
        <x:v>46240.80269675926</x:v>
      </x:c>
      <x:c r="B396" s="32" t="str">
        <x:v>土壤pH</x:v>
      </x:c>
      <x:c r="C396" s="32" t="str">
        <x:v>W0</x:v>
      </x:c>
      <x:c r="D396" s="32" t="str">
        <x:v>V1</x:v>
      </x:c>
      <x:c r="E396" s="86" t="n">
        <x:f>COUNT('14_W0_pH'!B5,'14_W0_pH'!D5,'14_W0_pH'!F5,'14_W0_pH'!H5)</x:f>
        <x:v>4</x:v>
      </x:c>
      <x:c r="F396" s="90" t="n">
        <x:f>IF(E396=0,"",AVERAGE('14_W0_pH'!B5,'14_W0_pH'!D5,'14_W0_pH'!F5,'14_W0_pH'!H5))</x:f>
        <x:v>6.425</x:v>
      </x:c>
      <x:c r="G396" s="90" t="n">
        <x:f>IF(E396&lt;2,"",STDEV.S('14_W0_pH'!B5,'14_W0_pH'!D5,'14_W0_pH'!F5,'14_W0_pH'!H5))</x:f>
        <x:v>0.059160797830996155</x:v>
      </x:c>
      <x:c r="H396" s="90" t="n">
        <x:f>IF(E396=0,"",MIN('14_W0_pH'!B5,'14_W0_pH'!D5,'14_W0_pH'!F5,'14_W0_pH'!H5))</x:f>
        <x:v>6.34</x:v>
      </x:c>
      <x:c r="I396" s="90" t="n">
        <x:f>IF(E396=0,"",MAX('14_W0_pH'!B5,'14_W0_pH'!D5,'14_W0_pH'!F5,'14_W0_pH'!H5))</x:f>
        <x:v>6.47</x:v>
      </x:c>
      <x:c r="J396" s="32" t="str"/>
    </x:row>
    <x:row r="397">
      <x:c r="A397" s="72" t="n">
        <x:v>46240.80269675926</x:v>
      </x:c>
      <x:c r="B397" s="32" t="str">
        <x:v>土壤pH</x:v>
      </x:c>
      <x:c r="C397" s="32" t="str">
        <x:v>W0</x:v>
      </x:c>
      <x:c r="D397" s="32" t="str">
        <x:v>V2</x:v>
      </x:c>
      <x:c r="E397" s="86" t="n">
        <x:f>COUNT('14_W0_pH'!C5,'14_W0_pH'!E5,'14_W0_pH'!G5,'14_W0_pH'!I5)</x:f>
        <x:v>4</x:v>
      </x:c>
      <x:c r="F397" s="90" t="n">
        <x:f>IF(E397=0,"",AVERAGE('14_W0_pH'!C5,'14_W0_pH'!E5,'14_W0_pH'!G5,'14_W0_pH'!I5))</x:f>
        <x:v>6.415</x:v>
      </x:c>
      <x:c r="G397" s="90" t="n">
        <x:f>IF(E397&lt;2,"",STDEV.S('14_W0_pH'!C5,'14_W0_pH'!E5,'14_W0_pH'!G5,'14_W0_pH'!I5))</x:f>
        <x:v>0.10723805294763629</x:v>
      </x:c>
      <x:c r="H397" s="90" t="n">
        <x:f>IF(E397=0,"",MIN('14_W0_pH'!C5,'14_W0_pH'!E5,'14_W0_pH'!G5,'14_W0_pH'!I5))</x:f>
        <x:v>6.27</x:v>
      </x:c>
      <x:c r="I397" s="90" t="n">
        <x:f>IF(E397=0,"",MAX('14_W0_pH'!C5,'14_W0_pH'!E5,'14_W0_pH'!G5,'14_W0_pH'!I5))</x:f>
        <x:v>6.51</x:v>
      </x:c>
      <x:c r="J397" s="32" t="str"/>
    </x:row>
    <x:row r="398">
      <x:c r="A398" s="72" t="n">
        <x:v>46240.80616898148</x:v>
      </x:c>
      <x:c r="B398" s="32" t="str">
        <x:v>土壤pH</x:v>
      </x:c>
      <x:c r="C398" s="32" t="str">
        <x:v>W0</x:v>
      </x:c>
      <x:c r="D398" s="32" t="str">
        <x:v>V1</x:v>
      </x:c>
      <x:c r="E398" s="86" t="n">
        <x:f>COUNT('14_W0_pH'!B6,'14_W0_pH'!D6,'14_W0_pH'!F6,'14_W0_pH'!H6)</x:f>
        <x:v>4</x:v>
      </x:c>
      <x:c r="F398" s="90" t="n">
        <x:f>IF(E398=0,"",AVERAGE('14_W0_pH'!B6,'14_W0_pH'!D6,'14_W0_pH'!F6,'14_W0_pH'!H6))</x:f>
        <x:v>6.425</x:v>
      </x:c>
      <x:c r="G398" s="90" t="n">
        <x:f>IF(E398&lt;2,"",STDEV.S('14_W0_pH'!B6,'14_W0_pH'!D6,'14_W0_pH'!F6,'14_W0_pH'!H6))</x:f>
        <x:v>0.06855654600401047</x:v>
      </x:c>
      <x:c r="H398" s="90" t="n">
        <x:f>IF(E398=0,"",MIN('14_W0_pH'!B6,'14_W0_pH'!D6,'14_W0_pH'!F6,'14_W0_pH'!H6))</x:f>
        <x:v>6.33</x:v>
      </x:c>
      <x:c r="I398" s="90" t="n">
        <x:f>IF(E398=0,"",MAX('14_W0_pH'!B6,'14_W0_pH'!D6,'14_W0_pH'!F6,'14_W0_pH'!H6))</x:f>
        <x:v>6.48</x:v>
      </x:c>
      <x:c r="J398" s="32" t="str"/>
    </x:row>
    <x:row r="399">
      <x:c r="A399" s="72" t="n">
        <x:v>46240.80616898148</x:v>
      </x:c>
      <x:c r="B399" s="32" t="str">
        <x:v>土壤pH</x:v>
      </x:c>
      <x:c r="C399" s="32" t="str">
        <x:v>W0</x:v>
      </x:c>
      <x:c r="D399" s="32" t="str">
        <x:v>V2</x:v>
      </x:c>
      <x:c r="E399" s="86" t="n">
        <x:f>COUNT('14_W0_pH'!C6,'14_W0_pH'!E6,'14_W0_pH'!G6,'14_W0_pH'!I6)</x:f>
        <x:v>4</x:v>
      </x:c>
      <x:c r="F399" s="90" t="n">
        <x:f>IF(E399=0,"",AVERAGE('14_W0_pH'!C6,'14_W0_pH'!E6,'14_W0_pH'!G6,'14_W0_pH'!I6))</x:f>
        <x:v>6.4125000000000005</x:v>
      </x:c>
      <x:c r="G399" s="90" t="n">
        <x:f>IF(E399&lt;2,"",STDEV.S('14_W0_pH'!C6,'14_W0_pH'!E6,'14_W0_pH'!G6,'14_W0_pH'!I6))</x:f>
        <x:v>0.10781929326423936</x:v>
      </x:c>
      <x:c r="H399" s="90" t="n">
        <x:f>IF(E399=0,"",MIN('14_W0_pH'!C6,'14_W0_pH'!E6,'14_W0_pH'!G6,'14_W0_pH'!I6))</x:f>
        <x:v>6.27</x:v>
      </x:c>
      <x:c r="I399" s="90" t="n">
        <x:f>IF(E399=0,"",MAX('14_W0_pH'!C6,'14_W0_pH'!E6,'14_W0_pH'!G6,'14_W0_pH'!I6))</x:f>
        <x:v>6.51</x:v>
      </x:c>
      <x:c r="J399" s="32" t="str"/>
    </x:row>
    <x:row r="400">
      <x:c r="A400" s="72" t="n">
        <x:v>46240.809641203705</x:v>
      </x:c>
      <x:c r="B400" s="32" t="str">
        <x:v>土壤pH</x:v>
      </x:c>
      <x:c r="C400" s="32" t="str">
        <x:v>W0</x:v>
      </x:c>
      <x:c r="D400" s="32" t="str">
        <x:v>V1</x:v>
      </x:c>
      <x:c r="E400" s="86" t="n">
        <x:f>COUNT('14_W0_pH'!B7,'14_W0_pH'!D7,'14_W0_pH'!F7,'14_W0_pH'!H7)</x:f>
        <x:v>4</x:v>
      </x:c>
      <x:c r="F400" s="90" t="n">
        <x:f>IF(E400=0,"",AVERAGE('14_W0_pH'!B7,'14_W0_pH'!D7,'14_W0_pH'!F7,'14_W0_pH'!H7))</x:f>
        <x:v>6.425</x:v>
      </x:c>
      <x:c r="G400" s="90" t="n">
        <x:f>IF(E400&lt;2,"",STDEV.S('14_W0_pH'!B7,'14_W0_pH'!D7,'14_W0_pH'!F7,'14_W0_pH'!H7))</x:f>
        <x:v>0.06855654600401047</x:v>
      </x:c>
      <x:c r="H400" s="90" t="n">
        <x:f>IF(E400=0,"",MIN('14_W0_pH'!B7,'14_W0_pH'!D7,'14_W0_pH'!F7,'14_W0_pH'!H7))</x:f>
        <x:v>6.33</x:v>
      </x:c>
      <x:c r="I400" s="90" t="n">
        <x:f>IF(E400=0,"",MAX('14_W0_pH'!B7,'14_W0_pH'!D7,'14_W0_pH'!F7,'14_W0_pH'!H7))</x:f>
        <x:v>6.48</x:v>
      </x:c>
      <x:c r="J400" s="32" t="str"/>
    </x:row>
    <x:row r="401">
      <x:c r="A401" s="72" t="n">
        <x:v>46240.809641203705</x:v>
      </x:c>
      <x:c r="B401" s="32" t="str">
        <x:v>土壤pH</x:v>
      </x:c>
      <x:c r="C401" s="32" t="str">
        <x:v>W0</x:v>
      </x:c>
      <x:c r="D401" s="32" t="str">
        <x:v>V2</x:v>
      </x:c>
      <x:c r="E401" s="86" t="n">
        <x:f>COUNT('14_W0_pH'!C7,'14_W0_pH'!E7,'14_W0_pH'!G7,'14_W0_pH'!I7)</x:f>
        <x:v>4</x:v>
      </x:c>
      <x:c r="F401" s="90" t="n">
        <x:f>IF(E401=0,"",AVERAGE('14_W0_pH'!C7,'14_W0_pH'!E7,'14_W0_pH'!G7,'14_W0_pH'!I7))</x:f>
        <x:v>6.4125</x:v>
      </x:c>
      <x:c r="G401" s="90" t="n">
        <x:f>IF(E401&lt;2,"",STDEV.S('14_W0_pH'!C7,'14_W0_pH'!E7,'14_W0_pH'!G7,'14_W0_pH'!I7))</x:f>
        <x:v>0.10563301251660522</x:v>
      </x:c>
      <x:c r="H401" s="90" t="n">
        <x:f>IF(E401=0,"",MIN('14_W0_pH'!C7,'14_W0_pH'!E7,'14_W0_pH'!G7,'14_W0_pH'!I7))</x:f>
        <x:v>6.28</x:v>
      </x:c>
      <x:c r="I401" s="90" t="n">
        <x:f>IF(E401=0,"",MAX('14_W0_pH'!C7,'14_W0_pH'!E7,'14_W0_pH'!G7,'14_W0_pH'!I7))</x:f>
        <x:v>6.52</x:v>
      </x:c>
      <x:c r="J401" s="32" t="str"/>
    </x:row>
    <x:row r="402">
      <x:c r="A402" s="72" t="n">
        <x:v>46240.813113425924</x:v>
      </x:c>
      <x:c r="B402" s="32" t="str">
        <x:v>土壤pH</x:v>
      </x:c>
      <x:c r="C402" s="32" t="str">
        <x:v>W0</x:v>
      </x:c>
      <x:c r="D402" s="32" t="str">
        <x:v>V1</x:v>
      </x:c>
      <x:c r="E402" s="86" t="n">
        <x:f>COUNT('14_W0_pH'!B8,'14_W0_pH'!D8,'14_W0_pH'!F8,'14_W0_pH'!H8)</x:f>
        <x:v>4</x:v>
      </x:c>
      <x:c r="F402" s="90" t="n">
        <x:f>IF(E402=0,"",AVERAGE('14_W0_pH'!B8,'14_W0_pH'!D8,'14_W0_pH'!F8,'14_W0_pH'!H8))</x:f>
        <x:v>6.425000000000001</x:v>
      </x:c>
      <x:c r="G402" s="90" t="n">
        <x:f>IF(E402&lt;2,"",STDEV.S('14_W0_pH'!B8,'14_W0_pH'!D8,'14_W0_pH'!F8,'14_W0_pH'!H8))</x:f>
        <x:v>0.07852812659593167</x:v>
      </x:c>
      <x:c r="H402" s="90" t="n">
        <x:f>IF(E402=0,"",MIN('14_W0_pH'!B8,'14_W0_pH'!D8,'14_W0_pH'!F8,'14_W0_pH'!H8))</x:f>
        <x:v>6.32</x:v>
      </x:c>
      <x:c r="I402" s="90" t="n">
        <x:f>IF(E402=0,"",MAX('14_W0_pH'!B8,'14_W0_pH'!D8,'14_W0_pH'!F8,'14_W0_pH'!H8))</x:f>
        <x:v>6.49</x:v>
      </x:c>
      <x:c r="J402" s="32" t="str"/>
    </x:row>
    <x:row r="403">
      <x:c r="A403" s="72" t="n">
        <x:v>46240.813113425924</x:v>
      </x:c>
      <x:c r="B403" s="32" t="str">
        <x:v>土壤pH</x:v>
      </x:c>
      <x:c r="C403" s="32" t="str">
        <x:v>W0</x:v>
      </x:c>
      <x:c r="D403" s="32" t="str">
        <x:v>V2</x:v>
      </x:c>
      <x:c r="E403" s="86" t="n">
        <x:f>COUNT('14_W0_pH'!C8,'14_W0_pH'!E8,'14_W0_pH'!G8,'14_W0_pH'!I8)</x:f>
        <x:v>4</x:v>
      </x:c>
      <x:c r="F403" s="90" t="n">
        <x:f>IF(E403=0,"",AVERAGE('14_W0_pH'!C8,'14_W0_pH'!E8,'14_W0_pH'!G8,'14_W0_pH'!I8))</x:f>
        <x:v>6.4125</x:v>
      </x:c>
      <x:c r="G403" s="90" t="n">
        <x:f>IF(E403&lt;2,"",STDEV.S('14_W0_pH'!C8,'14_W0_pH'!E8,'14_W0_pH'!G8,'14_W0_pH'!I8))</x:f>
        <x:v>0.10563301251660522</x:v>
      </x:c>
      <x:c r="H403" s="90" t="n">
        <x:f>IF(E403=0,"",MIN('14_W0_pH'!C8,'14_W0_pH'!E8,'14_W0_pH'!G8,'14_W0_pH'!I8))</x:f>
        <x:v>6.28</x:v>
      </x:c>
      <x:c r="I403" s="90" t="n">
        <x:f>IF(E403=0,"",MAX('14_W0_pH'!C8,'14_W0_pH'!E8,'14_W0_pH'!G8,'14_W0_pH'!I8))</x:f>
        <x:v>6.52</x:v>
      </x:c>
      <x:c r="J403" s="32" t="str"/>
    </x:row>
    <x:row r="404">
      <x:c r="A404" s="72" t="n">
        <x:v>46240.81658564815</x:v>
      </x:c>
      <x:c r="B404" s="32" t="str">
        <x:v>土壤pH</x:v>
      </x:c>
      <x:c r="C404" s="32" t="str">
        <x:v>W0</x:v>
      </x:c>
      <x:c r="D404" s="32" t="str">
        <x:v>V1</x:v>
      </x:c>
      <x:c r="E404" s="86" t="n">
        <x:f>COUNT('14_W0_pH'!B9,'14_W0_pH'!D9,'14_W0_pH'!F9,'14_W0_pH'!H9)</x:f>
        <x:v>4</x:v>
      </x:c>
      <x:c r="F404" s="90" t="n">
        <x:f>IF(E404=0,"",AVERAGE('14_W0_pH'!B9,'14_W0_pH'!D9,'14_W0_pH'!F9,'14_W0_pH'!H9))</x:f>
        <x:v>6.4275</x:v>
      </x:c>
      <x:c r="G404" s="90" t="n">
        <x:f>IF(E404&lt;2,"",STDEV.S('14_W0_pH'!B9,'14_W0_pH'!D9,'14_W0_pH'!F9,'14_W0_pH'!H9))</x:f>
        <x:v>0.08139410298049848</x:v>
      </x:c>
      <x:c r="H404" s="90" t="n">
        <x:f>IF(E404=0,"",MIN('14_W0_pH'!B9,'14_W0_pH'!D9,'14_W0_pH'!F9,'14_W0_pH'!H9))</x:f>
        <x:v>6.32</x:v>
      </x:c>
      <x:c r="I404" s="90" t="n">
        <x:f>IF(E404=0,"",MAX('14_W0_pH'!B9,'14_W0_pH'!D9,'14_W0_pH'!F9,'14_W0_pH'!H9))</x:f>
        <x:v>6.5</x:v>
      </x:c>
      <x:c r="J404" s="32" t="str"/>
    </x:row>
    <x:row r="405">
      <x:c r="A405" s="72" t="n">
        <x:v>46240.81658564815</x:v>
      </x:c>
      <x:c r="B405" s="32" t="str">
        <x:v>土壤pH</x:v>
      </x:c>
      <x:c r="C405" s="32" t="str">
        <x:v>W0</x:v>
      </x:c>
      <x:c r="D405" s="32" t="str">
        <x:v>V2</x:v>
      </x:c>
      <x:c r="E405" s="86" t="n">
        <x:f>COUNT('14_W0_pH'!C9,'14_W0_pH'!E9,'14_W0_pH'!G9,'14_W0_pH'!I9)</x:f>
        <x:v>4</x:v>
      </x:c>
      <x:c r="F405" s="90" t="n">
        <x:f>IF(E405=0,"",AVERAGE('14_W0_pH'!C9,'14_W0_pH'!E9,'14_W0_pH'!G9,'14_W0_pH'!I9))</x:f>
        <x:v>6.4125</x:v>
      </x:c>
      <x:c r="G405" s="90" t="n">
        <x:f>IF(E405&lt;2,"",STDEV.S('14_W0_pH'!C9,'14_W0_pH'!E9,'14_W0_pH'!G9,'14_W0_pH'!I9))</x:f>
        <x:v>0.10468205831628144</x:v>
      </x:c>
      <x:c r="H405" s="90" t="n">
        <x:f>IF(E405=0,"",MIN('14_W0_pH'!C9,'14_W0_pH'!E9,'14_W0_pH'!G9,'14_W0_pH'!I9))</x:f>
        <x:v>6.29</x:v>
      </x:c>
      <x:c r="I405" s="90" t="n">
        <x:f>IF(E405=0,"",MAX('14_W0_pH'!C9,'14_W0_pH'!E9,'14_W0_pH'!G9,'14_W0_pH'!I9))</x:f>
        <x:v>6.53</x:v>
      </x:c>
      <x:c r="J405" s="32" t="str"/>
    </x:row>
    <x:row r="406">
      <x:c r="A406" s="72" t="n">
        <x:v>46240.82005787037</x:v>
      </x:c>
      <x:c r="B406" s="32" t="str">
        <x:v>土壤pH</x:v>
      </x:c>
      <x:c r="C406" s="32" t="str">
        <x:v>W0</x:v>
      </x:c>
      <x:c r="D406" s="32" t="str">
        <x:v>V1</x:v>
      </x:c>
      <x:c r="E406" s="86" t="n">
        <x:f>COUNT('14_W0_pH'!B10,'14_W0_pH'!D10,'14_W0_pH'!F10,'14_W0_pH'!H10)</x:f>
        <x:v>4</x:v>
      </x:c>
      <x:c r="F406" s="90" t="n">
        <x:f>IF(E406=0,"",AVERAGE('14_W0_pH'!B10,'14_W0_pH'!D10,'14_W0_pH'!F10,'14_W0_pH'!H10))</x:f>
        <x:v>6.4275</x:v>
      </x:c>
      <x:c r="G406" s="90" t="n">
        <x:f>IF(E406&lt;2,"",STDEV.S('14_W0_pH'!B10,'14_W0_pH'!D10,'14_W0_pH'!F10,'14_W0_pH'!H10))</x:f>
        <x:v>0.08539125638299652</x:v>
      </x:c>
      <x:c r="H406" s="90" t="n">
        <x:f>IF(E406=0,"",MIN('14_W0_pH'!B10,'14_W0_pH'!D10,'14_W0_pH'!F10,'14_W0_pH'!H10))</x:f>
        <x:v>6.32</x:v>
      </x:c>
      <x:c r="I406" s="90" t="n">
        <x:f>IF(E406=0,"",MAX('14_W0_pH'!B10,'14_W0_pH'!D10,'14_W0_pH'!F10,'14_W0_pH'!H10))</x:f>
        <x:v>6.51</x:v>
      </x:c>
      <x:c r="J406" s="32" t="str"/>
    </x:row>
    <x:row r="407">
      <x:c r="A407" s="72" t="n">
        <x:v>46240.82005787037</x:v>
      </x:c>
      <x:c r="B407" s="32" t="str">
        <x:v>土壤pH</x:v>
      </x:c>
      <x:c r="C407" s="32" t="str">
        <x:v>W0</x:v>
      </x:c>
      <x:c r="D407" s="32" t="str">
        <x:v>V2</x:v>
      </x:c>
      <x:c r="E407" s="86" t="n">
        <x:f>COUNT('14_W0_pH'!C10,'14_W0_pH'!E10,'14_W0_pH'!G10,'14_W0_pH'!I10)</x:f>
        <x:v>4</x:v>
      </x:c>
      <x:c r="F407" s="90" t="n">
        <x:f>IF(E407=0,"",AVERAGE('14_W0_pH'!C10,'14_W0_pH'!E10,'14_W0_pH'!G10,'14_W0_pH'!I10))</x:f>
        <x:v>6.415</x:v>
      </x:c>
      <x:c r="G407" s="90" t="n">
        <x:f>IF(E407&lt;2,"",STDEV.S('14_W0_pH'!C10,'14_W0_pH'!E10,'14_W0_pH'!G10,'14_W0_pH'!I10))</x:f>
        <x:v>0.1008298897483613</x:v>
      </x:c>
      <x:c r="H407" s="90" t="n">
        <x:f>IF(E407=0,"",MIN('14_W0_pH'!C10,'14_W0_pH'!E10,'14_W0_pH'!G10,'14_W0_pH'!I10))</x:f>
        <x:v>6.3</x:v>
      </x:c>
      <x:c r="I407" s="90" t="n">
        <x:f>IF(E407=0,"",MAX('14_W0_pH'!C10,'14_W0_pH'!E10,'14_W0_pH'!G10,'14_W0_pH'!I10))</x:f>
        <x:v>6.53</x:v>
      </x:c>
      <x:c r="J407" s="32" t="str"/>
    </x:row>
    <x:row r="408">
      <x:c r="A408" s="72" t="n">
        <x:v>46240.823530092595</x:v>
      </x:c>
      <x:c r="B408" s="32" t="str">
        <x:v>土壤pH</x:v>
      </x:c>
      <x:c r="C408" s="32" t="str">
        <x:v>W0</x:v>
      </x:c>
      <x:c r="D408" s="32" t="str">
        <x:v>V1</x:v>
      </x:c>
      <x:c r="E408" s="86" t="n">
        <x:f>COUNT('14_W0_pH'!B11,'14_W0_pH'!D11,'14_W0_pH'!F11,'14_W0_pH'!H11)</x:f>
        <x:v>4</x:v>
      </x:c>
      <x:c r="F408" s="90" t="n">
        <x:f>IF(E408=0,"",AVERAGE('14_W0_pH'!B11,'14_W0_pH'!D11,'14_W0_pH'!F11,'14_W0_pH'!H11))</x:f>
        <x:v>6.425000000000001</x:v>
      </x:c>
      <x:c r="G408" s="90" t="n">
        <x:f>IF(E408&lt;2,"",STDEV.S('14_W0_pH'!B11,'14_W0_pH'!D11,'14_W0_pH'!F11,'14_W0_pH'!H11))</x:f>
        <x:v>0.08660254037844381</x:v>
      </x:c>
      <x:c r="H408" s="90" t="n">
        <x:f>IF(E408=0,"",MIN('14_W0_pH'!B11,'14_W0_pH'!D11,'14_W0_pH'!F11,'14_W0_pH'!H11))</x:f>
        <x:v>6.32</x:v>
      </x:c>
      <x:c r="I408" s="90" t="n">
        <x:f>IF(E408=0,"",MAX('14_W0_pH'!B11,'14_W0_pH'!D11,'14_W0_pH'!F11,'14_W0_pH'!H11))</x:f>
        <x:v>6.51</x:v>
      </x:c>
      <x:c r="J408" s="32" t="str"/>
    </x:row>
    <x:row r="409">
      <x:c r="A409" s="72" t="n">
        <x:v>46240.823530092595</x:v>
      </x:c>
      <x:c r="B409" s="32" t="str">
        <x:v>土壤pH</x:v>
      </x:c>
      <x:c r="C409" s="32" t="str">
        <x:v>W0</x:v>
      </x:c>
      <x:c r="D409" s="32" t="str">
        <x:v>V2</x:v>
      </x:c>
      <x:c r="E409" s="86" t="n">
        <x:f>COUNT('14_W0_pH'!C11,'14_W0_pH'!E11,'14_W0_pH'!G11,'14_W0_pH'!I11)</x:f>
        <x:v>4</x:v>
      </x:c>
      <x:c r="F409" s="90" t="n">
        <x:f>IF(E409=0,"",AVERAGE('14_W0_pH'!C11,'14_W0_pH'!E11,'14_W0_pH'!G11,'14_W0_pH'!I11))</x:f>
        <x:v>6.415</x:v>
      </x:c>
      <x:c r="G409" s="90" t="n">
        <x:f>IF(E409&lt;2,"",STDEV.S('14_W0_pH'!C11,'14_W0_pH'!E11,'14_W0_pH'!G11,'14_W0_pH'!I11))</x:f>
        <x:v>0.09574271077563405</x:v>
      </x:c>
      <x:c r="H409" s="90" t="n">
        <x:f>IF(E409=0,"",MIN('14_W0_pH'!C11,'14_W0_pH'!E11,'14_W0_pH'!G11,'14_W0_pH'!I11))</x:f>
        <x:v>6.31</x:v>
      </x:c>
      <x:c r="I409" s="90" t="n">
        <x:f>IF(E409=0,"",MAX('14_W0_pH'!C11,'14_W0_pH'!E11,'14_W0_pH'!G11,'14_W0_pH'!I11))</x:f>
        <x:v>6.53</x:v>
      </x:c>
      <x:c r="J409" s="32" t="str"/>
    </x:row>
    <x:row r="410">
      <x:c r="A410" s="72" t="n">
        <x:v>46240.827002314814</x:v>
      </x:c>
      <x:c r="B410" s="32" t="str">
        <x:v>土壤pH</x:v>
      </x:c>
      <x:c r="C410" s="32" t="str">
        <x:v>W0</x:v>
      </x:c>
      <x:c r="D410" s="32" t="str">
        <x:v>V1</x:v>
      </x:c>
      <x:c r="E410" s="86" t="n">
        <x:f>COUNT('14_W0_pH'!B12,'14_W0_pH'!D12,'14_W0_pH'!F12,'14_W0_pH'!H12)</x:f>
        <x:v>4</x:v>
      </x:c>
      <x:c r="F410" s="90" t="n">
        <x:f>IF(E410=0,"",AVERAGE('14_W0_pH'!B12,'14_W0_pH'!D12,'14_W0_pH'!F12,'14_W0_pH'!H12))</x:f>
        <x:v>6.422499999999999</x:v>
      </x:c>
      <x:c r="G410" s="90" t="n">
        <x:f>IF(E410&lt;2,"",STDEV.S('14_W0_pH'!B12,'14_W0_pH'!D12,'14_W0_pH'!F12,'14_W0_pH'!H12))</x:f>
        <x:v>0.0895823643358443</x:v>
      </x:c>
      <x:c r="H410" s="90" t="n">
        <x:f>IF(E410=0,"",MIN('14_W0_pH'!B12,'14_W0_pH'!D12,'14_W0_pH'!F12,'14_W0_pH'!H12))</x:f>
        <x:v>6.32</x:v>
      </x:c>
      <x:c r="I410" s="90" t="n">
        <x:f>IF(E410=0,"",MAX('14_W0_pH'!B12,'14_W0_pH'!D12,'14_W0_pH'!F12,'14_W0_pH'!H12))</x:f>
        <x:v>6.52</x:v>
      </x:c>
      <x:c r="J410" s="32" t="str"/>
    </x:row>
    <x:row r="411">
      <x:c r="A411" s="72" t="n">
        <x:v>46240.827002314814</x:v>
      </x:c>
      <x:c r="B411" s="32" t="str">
        <x:v>土壤pH</x:v>
      </x:c>
      <x:c r="C411" s="32" t="str">
        <x:v>W0</x:v>
      </x:c>
      <x:c r="D411" s="32" t="str">
        <x:v>V2</x:v>
      </x:c>
      <x:c r="E411" s="86" t="n">
        <x:f>COUNT('14_W0_pH'!C12,'14_W0_pH'!E12,'14_W0_pH'!G12,'14_W0_pH'!I12)</x:f>
        <x:v>4</x:v>
      </x:c>
      <x:c r="F411" s="90" t="n">
        <x:f>IF(E411=0,"",AVERAGE('14_W0_pH'!C12,'14_W0_pH'!E12,'14_W0_pH'!G12,'14_W0_pH'!I12))</x:f>
        <x:v>6.4125</x:v>
      </x:c>
      <x:c r="G411" s="90" t="n">
        <x:f>IF(E411&lt;2,"",STDEV.S('14_W0_pH'!C12,'14_W0_pH'!E12,'14_W0_pH'!G12,'14_W0_pH'!I12))</x:f>
        <x:v>0.09464847243000482</x:v>
      </x:c>
      <x:c r="H411" s="90" t="n">
        <x:f>IF(E411=0,"",MIN('14_W0_pH'!C12,'14_W0_pH'!E12,'14_W0_pH'!G12,'14_W0_pH'!I12))</x:f>
        <x:v>6.31</x:v>
      </x:c>
      <x:c r="I411" s="90" t="n">
        <x:f>IF(E411=0,"",MAX('14_W0_pH'!C12,'14_W0_pH'!E12,'14_W0_pH'!G12,'14_W0_pH'!I12))</x:f>
        <x:v>6.53</x:v>
      </x:c>
      <x:c r="J411" s="32" t="str"/>
    </x:row>
    <x:row r="412">
      <x:c r="A412" s="72" t="n">
        <x:v>46240.83047453704</x:v>
      </x:c>
      <x:c r="B412" s="32" t="str">
        <x:v>土壤pH</x:v>
      </x:c>
      <x:c r="C412" s="32" t="str">
        <x:v>W0</x:v>
      </x:c>
      <x:c r="D412" s="32" t="str">
        <x:v>V1</x:v>
      </x:c>
      <x:c r="E412" s="86" t="n">
        <x:f>COUNT('14_W0_pH'!B13,'14_W0_pH'!D13,'14_W0_pH'!F13,'14_W0_pH'!H13)</x:f>
        <x:v>4</x:v>
      </x:c>
      <x:c r="F412" s="90" t="n">
        <x:f>IF(E412=0,"",AVERAGE('14_W0_pH'!B13,'14_W0_pH'!D13,'14_W0_pH'!F13,'14_W0_pH'!H13))</x:f>
        <x:v>6.425</x:v>
      </x:c>
      <x:c r="G412" s="90" t="n">
        <x:f>IF(E412&lt;2,"",STDEV.S('14_W0_pH'!B13,'14_W0_pH'!D13,'14_W0_pH'!F13,'14_W0_pH'!H13))</x:f>
        <x:v>0.08582928793055801</x:v>
      </x:c>
      <x:c r="H412" s="90" t="n">
        <x:f>IF(E412=0,"",MIN('14_W0_pH'!B13,'14_W0_pH'!D13,'14_W0_pH'!F13,'14_W0_pH'!H13))</x:f>
        <x:v>6.33</x:v>
      </x:c>
      <x:c r="I412" s="90" t="n">
        <x:f>IF(E412=0,"",MAX('14_W0_pH'!B13,'14_W0_pH'!D13,'14_W0_pH'!F13,'14_W0_pH'!H13))</x:f>
        <x:v>6.52</x:v>
      </x:c>
      <x:c r="J412" s="32" t="str"/>
    </x:row>
    <x:row r="413">
      <x:c r="A413" s="72" t="n">
        <x:v>46240.83047453704</x:v>
      </x:c>
      <x:c r="B413" s="32" t="str">
        <x:v>土壤pH</x:v>
      </x:c>
      <x:c r="C413" s="32" t="str">
        <x:v>W0</x:v>
      </x:c>
      <x:c r="D413" s="32" t="str">
        <x:v>V2</x:v>
      </x:c>
      <x:c r="E413" s="86" t="n">
        <x:f>COUNT('14_W0_pH'!C13,'14_W0_pH'!E13,'14_W0_pH'!G13,'14_W0_pH'!I13)</x:f>
        <x:v>4</x:v>
      </x:c>
      <x:c r="F413" s="90" t="n">
        <x:f>IF(E413=0,"",AVERAGE('14_W0_pH'!C13,'14_W0_pH'!E13,'14_W0_pH'!G13,'14_W0_pH'!I13))</x:f>
        <x:v>6.41</x:v>
      </x:c>
      <x:c r="G413" s="90" t="n">
        <x:f>IF(E413&lt;2,"",STDEV.S('14_W0_pH'!C13,'14_W0_pH'!E13,'14_W0_pH'!G13,'14_W0_pH'!I13))</x:f>
        <x:v>0.08602325267042595</x:v>
      </x:c>
      <x:c r="H413" s="90" t="n">
        <x:f>IF(E413=0,"",MIN('14_W0_pH'!C13,'14_W0_pH'!E13,'14_W0_pH'!G13,'14_W0_pH'!I13))</x:f>
        <x:v>6.32</x:v>
      </x:c>
      <x:c r="I413" s="90" t="n">
        <x:f>IF(E413=0,"",MAX('14_W0_pH'!C13,'14_W0_pH'!E13,'14_W0_pH'!G13,'14_W0_pH'!I13))</x:f>
        <x:v>6.52</x:v>
      </x:c>
      <x:c r="J413" s="32" t="str"/>
    </x:row>
    <x:row r="414">
      <x:c r="A414" s="72" t="n">
        <x:v>46240.83394675926</x:v>
      </x:c>
      <x:c r="B414" s="32" t="str">
        <x:v>土壤pH</x:v>
      </x:c>
      <x:c r="C414" s="32" t="str">
        <x:v>W0</x:v>
      </x:c>
      <x:c r="D414" s="32" t="str">
        <x:v>V1</x:v>
      </x:c>
      <x:c r="E414" s="86" t="n">
        <x:f>COUNT('14_W0_pH'!B14,'14_W0_pH'!D14,'14_W0_pH'!F14,'14_W0_pH'!H14)</x:f>
        <x:v>4</x:v>
      </x:c>
      <x:c r="F414" s="90" t="n">
        <x:f>IF(E414=0,"",AVERAGE('14_W0_pH'!B14,'14_W0_pH'!D14,'14_W0_pH'!F14,'14_W0_pH'!H14))</x:f>
        <x:v>6.4225</x:v>
      </x:c>
      <x:c r="G414" s="90" t="n">
        <x:f>IF(E414&lt;2,"",STDEV.S('14_W0_pH'!B14,'14_W0_pH'!D14,'14_W0_pH'!F14,'14_W0_pH'!H14))</x:f>
        <x:v>0.08995369179009095</x:v>
      </x:c>
      <x:c r="H414" s="90" t="n">
        <x:f>IF(E414=0,"",MIN('14_W0_pH'!B14,'14_W0_pH'!D14,'14_W0_pH'!F14,'14_W0_pH'!H14))</x:f>
        <x:v>6.33</x:v>
      </x:c>
      <x:c r="I414" s="90" t="n">
        <x:f>IF(E414=0,"",MAX('14_W0_pH'!B14,'14_W0_pH'!D14,'14_W0_pH'!F14,'14_W0_pH'!H14))</x:f>
        <x:v>6.53</x:v>
      </x:c>
      <x:c r="J414" s="32" t="str"/>
    </x:row>
    <x:row r="415">
      <x:c r="A415" s="72" t="n">
        <x:v>46240.83394675926</x:v>
      </x:c>
      <x:c r="B415" s="32" t="str">
        <x:v>土壤pH</x:v>
      </x:c>
      <x:c r="C415" s="32" t="str">
        <x:v>W0</x:v>
      </x:c>
      <x:c r="D415" s="32" t="str">
        <x:v>V2</x:v>
      </x:c>
      <x:c r="E415" s="86" t="n">
        <x:f>COUNT('14_W0_pH'!C14,'14_W0_pH'!E14,'14_W0_pH'!G14,'14_W0_pH'!I14)</x:f>
        <x:v>4</x:v>
      </x:c>
      <x:c r="F415" s="90" t="n">
        <x:f>IF(E415=0,"",AVERAGE('14_W0_pH'!C14,'14_W0_pH'!E14,'14_W0_pH'!G14,'14_W0_pH'!I14))</x:f>
        <x:v>6.4125</x:v>
      </x:c>
      <x:c r="G415" s="90" t="n">
        <x:f>IF(E415&lt;2,"",STDEV.S('14_W0_pH'!C14,'14_W0_pH'!E14,'14_W0_pH'!G14,'14_W0_pH'!I14))</x:f>
        <x:v>0.08460693430998008</x:v>
      </x:c>
      <x:c r="H415" s="90" t="n">
        <x:f>IF(E415=0,"",MIN('14_W0_pH'!C14,'14_W0_pH'!E14,'14_W0_pH'!G14,'14_W0_pH'!I14))</x:f>
        <x:v>6.32</x:v>
      </x:c>
      <x:c r="I415" s="90" t="n">
        <x:f>IF(E415=0,"",MAX('14_W0_pH'!C14,'14_W0_pH'!E14,'14_W0_pH'!G14,'14_W0_pH'!I14))</x:f>
        <x:v>6.52</x:v>
      </x:c>
      <x:c r="J415" s="32" t="str"/>
    </x:row>
    <x:row r="416">
      <x:c r="A416" s="72" t="n">
        <x:v>46240.83741898148</x:v>
      </x:c>
      <x:c r="B416" s="32" t="str">
        <x:v>土壤pH</x:v>
      </x:c>
      <x:c r="C416" s="32" t="str">
        <x:v>W0</x:v>
      </x:c>
      <x:c r="D416" s="32" t="str">
        <x:v>V1</x:v>
      </x:c>
      <x:c r="E416" s="86" t="n">
        <x:f>COUNT('14_W0_pH'!B15,'14_W0_pH'!D15,'14_W0_pH'!F15,'14_W0_pH'!H15)</x:f>
        <x:v>4</x:v>
      </x:c>
      <x:c r="F416" s="90" t="n">
        <x:f>IF(E416=0,"",AVERAGE('14_W0_pH'!B15,'14_W0_pH'!D15,'14_W0_pH'!F15,'14_W0_pH'!H15))</x:f>
        <x:v>6.425000000000001</x:v>
      </x:c>
      <x:c r="G416" s="90" t="n">
        <x:f>IF(E416&lt;2,"",STDEV.S('14_W0_pH'!B15,'14_W0_pH'!D15,'14_W0_pH'!F15,'14_W0_pH'!H15))</x:f>
        <x:v>0.08660254037844399</x:v>
      </x:c>
      <x:c r="H416" s="90" t="n">
        <x:f>IF(E416=0,"",MIN('14_W0_pH'!B15,'14_W0_pH'!D15,'14_W0_pH'!F15,'14_W0_pH'!H15))</x:f>
        <x:v>6.34</x:v>
      </x:c>
      <x:c r="I416" s="90" t="n">
        <x:f>IF(E416=0,"",MAX('14_W0_pH'!B15,'14_W0_pH'!D15,'14_W0_pH'!F15,'14_W0_pH'!H15))</x:f>
        <x:v>6.53</x:v>
      </x:c>
      <x:c r="J416" s="32" t="str"/>
    </x:row>
    <x:row r="417">
      <x:c r="A417" s="72" t="n">
        <x:v>46240.83741898148</x:v>
      </x:c>
      <x:c r="B417" s="32" t="str">
        <x:v>土壤pH</x:v>
      </x:c>
      <x:c r="C417" s="32" t="str">
        <x:v>W0</x:v>
      </x:c>
      <x:c r="D417" s="32" t="str">
        <x:v>V2</x:v>
      </x:c>
      <x:c r="E417" s="86" t="n">
        <x:f>COUNT('14_W0_pH'!C15,'14_W0_pH'!E15,'14_W0_pH'!G15,'14_W0_pH'!I15)</x:f>
        <x:v>4</x:v>
      </x:c>
      <x:c r="F417" s="90" t="n">
        <x:f>IF(E417=0,"",AVERAGE('14_W0_pH'!C15,'14_W0_pH'!E15,'14_W0_pH'!G15,'14_W0_pH'!I15))</x:f>
        <x:v>6.41</x:v>
      </x:c>
      <x:c r="G417" s="90" t="n">
        <x:f>IF(E417&lt;2,"",STDEV.S('14_W0_pH'!C15,'14_W0_pH'!E15,'14_W0_pH'!G15,'14_W0_pH'!I15))</x:f>
        <x:v>0.07615773105863897</x:v>
      </x:c>
      <x:c r="H417" s="90" t="n">
        <x:f>IF(E417=0,"",MIN('14_W0_pH'!C15,'14_W0_pH'!E15,'14_W0_pH'!G15,'14_W0_pH'!I15))</x:f>
        <x:v>6.33</x:v>
      </x:c>
      <x:c r="I417" s="90" t="n">
        <x:f>IF(E417=0,"",MAX('14_W0_pH'!C15,'14_W0_pH'!E15,'14_W0_pH'!G15,'14_W0_pH'!I15))</x:f>
        <x:v>6.51</x:v>
      </x:c>
      <x:c r="J417" s="32" t="str"/>
    </x:row>
    <x:row r="418">
      <x:c r="A418" s="72" t="n">
        <x:v>46240.840891203705</x:v>
      </x:c>
      <x:c r="B418" s="32" t="str">
        <x:v>土壤pH</x:v>
      </x:c>
      <x:c r="C418" s="32" t="str">
        <x:v>W0</x:v>
      </x:c>
      <x:c r="D418" s="32" t="str">
        <x:v>V1</x:v>
      </x:c>
      <x:c r="E418" s="86" t="n">
        <x:f>COUNT('14_W0_pH'!B16,'14_W0_pH'!D16,'14_W0_pH'!F16,'14_W0_pH'!H16)</x:f>
        <x:v>4</x:v>
      </x:c>
      <x:c r="F418" s="90" t="n">
        <x:f>IF(E418=0,"",AVERAGE('14_W0_pH'!B16,'14_W0_pH'!D16,'14_W0_pH'!F16,'14_W0_pH'!H16))</x:f>
        <x:v>6.425</x:v>
      </x:c>
      <x:c r="G418" s="90" t="n">
        <x:f>IF(E418&lt;2,"",STDEV.S('14_W0_pH'!B16,'14_W0_pH'!D16,'14_W0_pH'!F16,'14_W0_pH'!H16))</x:f>
        <x:v>0.08225975119502064</x:v>
      </x:c>
      <x:c r="H418" s="90" t="n">
        <x:f>IF(E418=0,"",MIN('14_W0_pH'!B16,'14_W0_pH'!D16,'14_W0_pH'!F16,'14_W0_pH'!H16))</x:f>
        <x:v>6.35</x:v>
      </x:c>
      <x:c r="I418" s="90" t="n">
        <x:f>IF(E418=0,"",MAX('14_W0_pH'!B16,'14_W0_pH'!D16,'14_W0_pH'!F16,'14_W0_pH'!H16))</x:f>
        <x:v>6.53</x:v>
      </x:c>
      <x:c r="J418" s="32" t="str"/>
    </x:row>
    <x:row r="419">
      <x:c r="A419" s="72" t="n">
        <x:v>46240.840891203705</x:v>
      </x:c>
      <x:c r="B419" s="32" t="str">
        <x:v>土壤pH</x:v>
      </x:c>
      <x:c r="C419" s="32" t="str">
        <x:v>W0</x:v>
      </x:c>
      <x:c r="D419" s="32" t="str">
        <x:v>V2</x:v>
      </x:c>
      <x:c r="E419" s="86" t="n">
        <x:f>COUNT('14_W0_pH'!C16,'14_W0_pH'!E16,'14_W0_pH'!G16,'14_W0_pH'!I16)</x:f>
        <x:v>4</x:v>
      </x:c>
      <x:c r="F419" s="90" t="n">
        <x:f>IF(E419=0,"",AVERAGE('14_W0_pH'!C16,'14_W0_pH'!E16,'14_W0_pH'!G16,'14_W0_pH'!I16))</x:f>
        <x:v>6.4125</x:v>
      </x:c>
      <x:c r="G419" s="90" t="n">
        <x:f>IF(E419&lt;2,"",STDEV.S('14_W0_pH'!C16,'14_W0_pH'!E16,'14_W0_pH'!G16,'14_W0_pH'!I16))</x:f>
        <x:v>0.07499999999999991</x:v>
      </x:c>
      <x:c r="H419" s="90" t="n">
        <x:f>IF(E419=0,"",MIN('14_W0_pH'!C16,'14_W0_pH'!E16,'14_W0_pH'!G16,'14_W0_pH'!I16))</x:f>
        <x:v>6.33</x:v>
      </x:c>
      <x:c r="I419" s="90" t="n">
        <x:f>IF(E419=0,"",MAX('14_W0_pH'!C16,'14_W0_pH'!E16,'14_W0_pH'!G16,'14_W0_pH'!I16))</x:f>
        <x:v>6.51</x:v>
      </x:c>
      <x:c r="J419" s="32" t="str"/>
    </x:row>
    <x:row r="420">
      <x:c r="A420" s="72" t="n">
        <x:v>46240.844363425924</x:v>
      </x:c>
      <x:c r="B420" s="32" t="str">
        <x:v>土壤pH</x:v>
      </x:c>
      <x:c r="C420" s="32" t="str">
        <x:v>W0</x:v>
      </x:c>
      <x:c r="D420" s="32" t="str">
        <x:v>V1</x:v>
      </x:c>
      <x:c r="E420" s="86" t="n">
        <x:f>COUNT('14_W0_pH'!B17,'14_W0_pH'!D17,'14_W0_pH'!F17,'14_W0_pH'!H17)</x:f>
        <x:v>4</x:v>
      </x:c>
      <x:c r="F420" s="90" t="n">
        <x:f>IF(E420=0,"",AVERAGE('14_W0_pH'!B17,'14_W0_pH'!D17,'14_W0_pH'!F17,'14_W0_pH'!H17))</x:f>
        <x:v>6.425000000000001</x:v>
      </x:c>
      <x:c r="G420" s="90" t="n">
        <x:f>IF(E420&lt;2,"",STDEV.S('14_W0_pH'!B17,'14_W0_pH'!D17,'14_W0_pH'!F17,'14_W0_pH'!H17))</x:f>
        <x:v>0.07852812659593167</x:v>
      </x:c>
      <x:c r="H420" s="90" t="n">
        <x:f>IF(E420=0,"",MIN('14_W0_pH'!B17,'14_W0_pH'!D17,'14_W0_pH'!F17,'14_W0_pH'!H17))</x:f>
        <x:v>6.36</x:v>
      </x:c>
      <x:c r="I420" s="90" t="n">
        <x:f>IF(E420=0,"",MAX('14_W0_pH'!B17,'14_W0_pH'!D17,'14_W0_pH'!F17,'14_W0_pH'!H17))</x:f>
        <x:v>6.53</x:v>
      </x:c>
      <x:c r="J420" s="32" t="str"/>
    </x:row>
    <x:row r="421">
      <x:c r="A421" s="72" t="n">
        <x:v>46240.844363425924</x:v>
      </x:c>
      <x:c r="B421" s="32" t="str">
        <x:v>土壤pH</x:v>
      </x:c>
      <x:c r="C421" s="32" t="str">
        <x:v>W0</x:v>
      </x:c>
      <x:c r="D421" s="32" t="str">
        <x:v>V2</x:v>
      </x:c>
      <x:c r="E421" s="86" t="n">
        <x:f>COUNT('14_W0_pH'!C17,'14_W0_pH'!E17,'14_W0_pH'!G17,'14_W0_pH'!I17)</x:f>
        <x:v>4</x:v>
      </x:c>
      <x:c r="F421" s="90" t="n">
        <x:f>IF(E421=0,"",AVERAGE('14_W0_pH'!C17,'14_W0_pH'!E17,'14_W0_pH'!G17,'14_W0_pH'!I17))</x:f>
        <x:v>6.4125</x:v>
      </x:c>
      <x:c r="G421" s="90" t="n">
        <x:f>IF(E421&lt;2,"",STDEV.S('14_W0_pH'!C17,'14_W0_pH'!E17,'14_W0_pH'!G17,'14_W0_pH'!I17))</x:f>
        <x:v>0.06994045086119091</x:v>
      </x:c>
      <x:c r="H421" s="90" t="n">
        <x:f>IF(E421=0,"",MIN('14_W0_pH'!C17,'14_W0_pH'!E17,'14_W0_pH'!G17,'14_W0_pH'!I17))</x:f>
        <x:v>6.33</x:v>
      </x:c>
      <x:c r="I421" s="90" t="n">
        <x:f>IF(E421=0,"",MAX('14_W0_pH'!C17,'14_W0_pH'!E17,'14_W0_pH'!G17,'14_W0_pH'!I17))</x:f>
        <x:v>6.5</x:v>
      </x:c>
      <x:c r="J421" s="32" t="str"/>
    </x:row>
    <x:row r="422">
      <x:c r="A422" s="72" t="n">
        <x:v>46240.84783564815</x:v>
      </x:c>
      <x:c r="B422" s="32" t="str">
        <x:v>土壤pH</x:v>
      </x:c>
      <x:c r="C422" s="32" t="str">
        <x:v>W0</x:v>
      </x:c>
      <x:c r="D422" s="32" t="str">
        <x:v>V1</x:v>
      </x:c>
      <x:c r="E422" s="86" t="n">
        <x:f>COUNT('14_W0_pH'!B18,'14_W0_pH'!D18,'14_W0_pH'!F18,'14_W0_pH'!H18)</x:f>
        <x:v>4</x:v>
      </x:c>
      <x:c r="F422" s="90" t="n">
        <x:f>IF(E422=0,"",AVERAGE('14_W0_pH'!B18,'14_W0_pH'!D18,'14_W0_pH'!F18,'14_W0_pH'!H18))</x:f>
        <x:v>6.42</x:v>
      </x:c>
      <x:c r="G422" s="90" t="n">
        <x:f>IF(E422&lt;2,"",STDEV.S('14_W0_pH'!B18,'14_W0_pH'!D18,'14_W0_pH'!F18,'14_W0_pH'!H18))</x:f>
        <x:v>0.07348469228349502</x:v>
      </x:c>
      <x:c r="H422" s="90" t="n">
        <x:f>IF(E422=0,"",MIN('14_W0_pH'!B18,'14_W0_pH'!D18,'14_W0_pH'!F18,'14_W0_pH'!H18))</x:f>
        <x:v>6.36</x:v>
      </x:c>
      <x:c r="I422" s="90" t="n">
        <x:f>IF(E422=0,"",MAX('14_W0_pH'!B18,'14_W0_pH'!D18,'14_W0_pH'!F18,'14_W0_pH'!H18))</x:f>
        <x:v>6.52</x:v>
      </x:c>
      <x:c r="J422" s="32" t="str"/>
    </x:row>
    <x:row r="423">
      <x:c r="A423" s="72" t="n">
        <x:v>46240.84783564815</x:v>
      </x:c>
      <x:c r="B423" s="32" t="str">
        <x:v>土壤pH</x:v>
      </x:c>
      <x:c r="C423" s="32" t="str">
        <x:v>W0</x:v>
      </x:c>
      <x:c r="D423" s="32" t="str">
        <x:v>V2</x:v>
      </x:c>
      <x:c r="E423" s="86" t="n">
        <x:f>COUNT('14_W0_pH'!C18,'14_W0_pH'!E18,'14_W0_pH'!G18,'14_W0_pH'!I18)</x:f>
        <x:v>4</x:v>
      </x:c>
      <x:c r="F423" s="90" t="n">
        <x:f>IF(E423=0,"",AVERAGE('14_W0_pH'!C18,'14_W0_pH'!E18,'14_W0_pH'!G18,'14_W0_pH'!I18))</x:f>
        <x:v>6.4125</x:v>
      </x:c>
      <x:c r="G423" s="90" t="n">
        <x:f>IF(E423&lt;2,"",STDEV.S('14_W0_pH'!C18,'14_W0_pH'!E18,'14_W0_pH'!G18,'14_W0_pH'!I18))</x:f>
        <x:v>0.06551081335677854</x:v>
      </x:c>
      <x:c r="H423" s="90" t="n">
        <x:f>IF(E423=0,"",MIN('14_W0_pH'!C18,'14_W0_pH'!E18,'14_W0_pH'!G18,'14_W0_pH'!I18))</x:f>
        <x:v>6.33</x:v>
      </x:c>
      <x:c r="I423" s="90" t="n">
        <x:f>IF(E423=0,"",MAX('14_W0_pH'!C18,'14_W0_pH'!E18,'14_W0_pH'!G18,'14_W0_pH'!I18))</x:f>
        <x:v>6.49</x:v>
      </x:c>
      <x:c r="J423" s="32" t="str"/>
    </x:row>
    <x:row r="424">
      <x:c r="A424" s="72" t="n">
        <x:v>46240.85130787037</x:v>
      </x:c>
      <x:c r="B424" s="32" t="str">
        <x:v>土壤pH</x:v>
      </x:c>
      <x:c r="C424" s="32" t="str">
        <x:v>W0</x:v>
      </x:c>
      <x:c r="D424" s="32" t="str">
        <x:v>V1</x:v>
      </x:c>
      <x:c r="E424" s="86" t="n">
        <x:f>COUNT('14_W0_pH'!B19,'14_W0_pH'!D19,'14_W0_pH'!F19,'14_W0_pH'!H19)</x:f>
        <x:v>4</x:v>
      </x:c>
      <x:c r="F424" s="90" t="n">
        <x:f>IF(E424=0,"",AVERAGE('14_W0_pH'!B19,'14_W0_pH'!D19,'14_W0_pH'!F19,'14_W0_pH'!H19))</x:f>
        <x:v>6.425</x:v>
      </x:c>
      <x:c r="G424" s="90" t="n">
        <x:f>IF(E424&lt;2,"",STDEV.S('14_W0_pH'!B19,'14_W0_pH'!D19,'14_W0_pH'!F19,'14_W0_pH'!H19))</x:f>
        <x:v>0.06855654600401023</x:v>
      </x:c>
      <x:c r="H424" s="90" t="n">
        <x:f>IF(E424=0,"",MIN('14_W0_pH'!B19,'14_W0_pH'!D19,'14_W0_pH'!F19,'14_W0_pH'!H19))</x:f>
        <x:v>6.37</x:v>
      </x:c>
      <x:c r="I424" s="90" t="n">
        <x:f>IF(E424=0,"",MAX('14_W0_pH'!B19,'14_W0_pH'!D19,'14_W0_pH'!F19,'14_W0_pH'!H19))</x:f>
        <x:v>6.52</x:v>
      </x:c>
      <x:c r="J424" s="32" t="str"/>
    </x:row>
    <x:row r="425">
      <x:c r="A425" s="72" t="n">
        <x:v>46240.85130787037</x:v>
      </x:c>
      <x:c r="B425" s="32" t="str">
        <x:v>土壤pH</x:v>
      </x:c>
      <x:c r="C425" s="32" t="str">
        <x:v>W0</x:v>
      </x:c>
      <x:c r="D425" s="32" t="str">
        <x:v>V2</x:v>
      </x:c>
      <x:c r="E425" s="86" t="n">
        <x:f>COUNT('14_W0_pH'!C19,'14_W0_pH'!E19,'14_W0_pH'!G19,'14_W0_pH'!I19)</x:f>
        <x:v>4</x:v>
      </x:c>
      <x:c r="F425" s="90" t="n">
        <x:f>IF(E425=0,"",AVERAGE('14_W0_pH'!C19,'14_W0_pH'!E19,'14_W0_pH'!G19,'14_W0_pH'!I19))</x:f>
        <x:v>6.407500000000001</x:v>
      </x:c>
      <x:c r="G425" s="90" t="n">
        <x:f>IF(E425&lt;2,"",STDEV.S('14_W0_pH'!C19,'14_W0_pH'!E19,'14_W0_pH'!G19,'14_W0_pH'!I19))</x:f>
        <x:v>0.0660176744011279</x:v>
      </x:c>
      <x:c r="H425" s="90" t="n">
        <x:f>IF(E425=0,"",MIN('14_W0_pH'!C19,'14_W0_pH'!E19,'14_W0_pH'!G19,'14_W0_pH'!I19))</x:f>
        <x:v>6.32</x:v>
      </x:c>
      <x:c r="I425" s="90" t="n">
        <x:f>IF(E425=0,"",MAX('14_W0_pH'!C19,'14_W0_pH'!E19,'14_W0_pH'!G19,'14_W0_pH'!I19))</x:f>
        <x:v>6.48</x:v>
      </x:c>
      <x:c r="J425" s="32" t="str"/>
    </x:row>
    <x:row r="426">
      <x:c r="A426" s="72" t="n">
        <x:v>46240.854780092595</x:v>
      </x:c>
      <x:c r="B426" s="32" t="str">
        <x:v>土壤pH</x:v>
      </x:c>
      <x:c r="C426" s="32" t="str">
        <x:v>W0</x:v>
      </x:c>
      <x:c r="D426" s="32" t="str">
        <x:v>V1</x:v>
      </x:c>
      <x:c r="E426" s="86" t="n">
        <x:f>COUNT('14_W0_pH'!B20,'14_W0_pH'!D20,'14_W0_pH'!F20,'14_W0_pH'!H20)</x:f>
        <x:v>4</x:v>
      </x:c>
      <x:c r="F426" s="90" t="n">
        <x:f>IF(E426=0,"",AVERAGE('14_W0_pH'!B20,'14_W0_pH'!D20,'14_W0_pH'!F20,'14_W0_pH'!H20))</x:f>
        <x:v>6.42</x:v>
      </x:c>
      <x:c r="G426" s="90" t="n">
        <x:f>IF(E426&lt;2,"",STDEV.S('14_W0_pH'!B20,'14_W0_pH'!D20,'14_W0_pH'!F20,'14_W0_pH'!H20))</x:f>
        <x:v>0.06377042156569654</x:v>
      </x:c>
      <x:c r="H426" s="90" t="n">
        <x:f>IF(E426=0,"",MIN('14_W0_pH'!B20,'14_W0_pH'!D20,'14_W0_pH'!F20,'14_W0_pH'!H20))</x:f>
        <x:v>6.37</x:v>
      </x:c>
      <x:c r="I426" s="90" t="n">
        <x:f>IF(E426=0,"",MAX('14_W0_pH'!B20,'14_W0_pH'!D20,'14_W0_pH'!F20,'14_W0_pH'!H20))</x:f>
        <x:v>6.51</x:v>
      </x:c>
      <x:c r="J426" s="32" t="str"/>
    </x:row>
    <x:row r="427">
      <x:c r="A427" s="72" t="n">
        <x:v>46240.854780092595</x:v>
      </x:c>
      <x:c r="B427" s="32" t="str">
        <x:v>土壤pH</x:v>
      </x:c>
      <x:c r="C427" s="32" t="str">
        <x:v>W0</x:v>
      </x:c>
      <x:c r="D427" s="32" t="str">
        <x:v>V2</x:v>
      </x:c>
      <x:c r="E427" s="86" t="n">
        <x:f>COUNT('14_W0_pH'!C20,'14_W0_pH'!E20,'14_W0_pH'!G20,'14_W0_pH'!I20)</x:f>
        <x:v>4</x:v>
      </x:c>
      <x:c r="F427" s="90" t="n">
        <x:f>IF(E427=0,"",AVERAGE('14_W0_pH'!C20,'14_W0_pH'!E20,'14_W0_pH'!G20,'14_W0_pH'!I20))</x:f>
        <x:v>6.4125</x:v>
      </x:c>
      <x:c r="G427" s="90" t="n">
        <x:f>IF(E427&lt;2,"",STDEV.S('14_W0_pH'!C20,'14_W0_pH'!E20,'14_W0_pH'!G20,'14_W0_pH'!I20))</x:f>
        <x:v>0.06701989754294366</x:v>
      </x:c>
      <x:c r="H427" s="90" t="n">
        <x:f>IF(E427=0,"",MIN('14_W0_pH'!C20,'14_W0_pH'!E20,'14_W0_pH'!G20,'14_W0_pH'!I20))</x:f>
        <x:v>6.32</x:v>
      </x:c>
      <x:c r="I427" s="90" t="n">
        <x:f>IF(E427=0,"",MAX('14_W0_pH'!C20,'14_W0_pH'!E20,'14_W0_pH'!G20,'14_W0_pH'!I20))</x:f>
        <x:v>6.48</x:v>
      </x:c>
      <x:c r="J427" s="32" t="str"/>
    </x:row>
    <x:row r="428">
      <x:c r="A428" s="72" t="n">
        <x:v>46240.858252314814</x:v>
      </x:c>
      <x:c r="B428" s="32" t="str">
        <x:v>土壤pH</x:v>
      </x:c>
      <x:c r="C428" s="32" t="str">
        <x:v>W0</x:v>
      </x:c>
      <x:c r="D428" s="32" t="str">
        <x:v>V1</x:v>
      </x:c>
      <x:c r="E428" s="86" t="n">
        <x:f>COUNT('14_W0_pH'!B21,'14_W0_pH'!D21,'14_W0_pH'!F21,'14_W0_pH'!H21)</x:f>
        <x:v>4</x:v>
      </x:c>
      <x:c r="F428" s="90" t="n">
        <x:f>IF(E428=0,"",AVERAGE('14_W0_pH'!B21,'14_W0_pH'!D21,'14_W0_pH'!F21,'14_W0_pH'!H21))</x:f>
        <x:v>6.424999999999999</x:v>
      </x:c>
      <x:c r="G428" s="90" t="n">
        <x:f>IF(E428&lt;2,"",STDEV.S('14_W0_pH'!B21,'14_W0_pH'!D21,'14_W0_pH'!F21,'14_W0_pH'!H21))</x:f>
        <x:v>0.059160797830996155</x:v>
      </x:c>
      <x:c r="H428" s="90" t="n">
        <x:f>IF(E428=0,"",MIN('14_W0_pH'!B21,'14_W0_pH'!D21,'14_W0_pH'!F21,'14_W0_pH'!H21))</x:f>
        <x:v>6.38</x:v>
      </x:c>
      <x:c r="I428" s="90" t="n">
        <x:f>IF(E428=0,"",MAX('14_W0_pH'!B21,'14_W0_pH'!D21,'14_W0_pH'!F21,'14_W0_pH'!H21))</x:f>
        <x:v>6.51</x:v>
      </x:c>
      <x:c r="J428" s="32" t="str"/>
    </x:row>
    <x:row r="429">
      <x:c r="A429" s="72" t="n">
        <x:v>46240.858252314814</x:v>
      </x:c>
      <x:c r="B429" s="32" t="str">
        <x:v>土壤pH</x:v>
      </x:c>
      <x:c r="C429" s="32" t="str">
        <x:v>W0</x:v>
      </x:c>
      <x:c r="D429" s="32" t="str">
        <x:v>V2</x:v>
      </x:c>
      <x:c r="E429" s="86" t="n">
        <x:f>COUNT('14_W0_pH'!C21,'14_W0_pH'!E21,'14_W0_pH'!G21,'14_W0_pH'!I21)</x:f>
        <x:v>4</x:v>
      </x:c>
      <x:c r="F429" s="90" t="n">
        <x:f>IF(E429=0,"",AVERAGE('14_W0_pH'!C21,'14_W0_pH'!E21,'14_W0_pH'!G21,'14_W0_pH'!I21))</x:f>
        <x:v>6.4075</x:v>
      </x:c>
      <x:c r="G429" s="90" t="n">
        <x:f>IF(E429&lt;2,"",STDEV.S('14_W0_pH'!C21,'14_W0_pH'!E21,'14_W0_pH'!G21,'14_W0_pH'!I21))</x:f>
        <x:v>0.06849574196011514</x:v>
      </x:c>
      <x:c r="H429" s="90" t="n">
        <x:f>IF(E429=0,"",MIN('14_W0_pH'!C21,'14_W0_pH'!E21,'14_W0_pH'!G21,'14_W0_pH'!I21))</x:f>
        <x:v>6.31</x:v>
      </x:c>
      <x:c r="I429" s="90" t="n">
        <x:f>IF(E429=0,"",MAX('14_W0_pH'!C21,'14_W0_pH'!E21,'14_W0_pH'!G21,'14_W0_pH'!I21))</x:f>
        <x:v>6.47</x:v>
      </x:c>
      <x:c r="J429" s="32" t="str"/>
    </x:row>
    <x:row r="430">
      <x:c r="A430" s="72" t="n">
        <x:v>46240.86172453704</x:v>
      </x:c>
      <x:c r="B430" s="32" t="str">
        <x:v>土壤pH</x:v>
      </x:c>
      <x:c r="C430" s="32" t="str">
        <x:v>W0</x:v>
      </x:c>
      <x:c r="D430" s="32" t="str">
        <x:v>V1</x:v>
      </x:c>
      <x:c r="E430" s="86" t="n">
        <x:f>COUNT('14_W0_pH'!B22,'14_W0_pH'!D22,'14_W0_pH'!F22,'14_W0_pH'!H22)</x:f>
        <x:v>4</x:v>
      </x:c>
      <x:c r="F430" s="90" t="n">
        <x:f>IF(E430=0,"",AVERAGE('14_W0_pH'!B22,'14_W0_pH'!D22,'14_W0_pH'!F22,'14_W0_pH'!H22))</x:f>
        <x:v>6.425000000000001</x:v>
      </x:c>
      <x:c r="G430" s="90" t="n">
        <x:f>IF(E430&lt;2,"",STDEV.S('14_W0_pH'!B22,'14_W0_pH'!D22,'14_W0_pH'!F22,'14_W0_pH'!H22))</x:f>
        <x:v>0.05259911279353164</x:v>
      </x:c>
      <x:c r="H430" s="90" t="n">
        <x:f>IF(E430=0,"",MIN('14_W0_pH'!B22,'14_W0_pH'!D22,'14_W0_pH'!F22,'14_W0_pH'!H22))</x:f>
        <x:v>6.38</x:v>
      </x:c>
      <x:c r="I430" s="90" t="n">
        <x:f>IF(E430=0,"",MAX('14_W0_pH'!B22,'14_W0_pH'!D22,'14_W0_pH'!F22,'14_W0_pH'!H22))</x:f>
        <x:v>6.5</x:v>
      </x:c>
      <x:c r="J430" s="32" t="str"/>
    </x:row>
    <x:row r="431">
      <x:c r="A431" s="72" t="n">
        <x:v>46240.86172453704</x:v>
      </x:c>
      <x:c r="B431" s="32" t="str">
        <x:v>土壤pH</x:v>
      </x:c>
      <x:c r="C431" s="32" t="str">
        <x:v>W0</x:v>
      </x:c>
      <x:c r="D431" s="32" t="str">
        <x:v>V2</x:v>
      </x:c>
      <x:c r="E431" s="86" t="n">
        <x:f>COUNT('14_W0_pH'!C22,'14_W0_pH'!E22,'14_W0_pH'!G22,'14_W0_pH'!I22)</x:f>
        <x:v>4</x:v>
      </x:c>
      <x:c r="F431" s="90" t="n">
        <x:f>IF(E431=0,"",AVERAGE('14_W0_pH'!C22,'14_W0_pH'!E22,'14_W0_pH'!G22,'14_W0_pH'!I22))</x:f>
        <x:v>6.4125</x:v>
      </x:c>
      <x:c r="G431" s="90" t="n">
        <x:f>IF(E431&lt;2,"",STDEV.S('14_W0_pH'!C22,'14_W0_pH'!E22,'14_W0_pH'!G22,'14_W0_pH'!I22))</x:f>
        <x:v>0.07041543391425883</x:v>
      </x:c>
      <x:c r="H431" s="90" t="n">
        <x:f>IF(E431=0,"",MIN('14_W0_pH'!C22,'14_W0_pH'!E22,'14_W0_pH'!G22,'14_W0_pH'!I22))</x:f>
        <x:v>6.31</x:v>
      </x:c>
      <x:c r="I431" s="90" t="n">
        <x:f>IF(E431=0,"",MAX('14_W0_pH'!C22,'14_W0_pH'!E22,'14_W0_pH'!G22,'14_W0_pH'!I22))</x:f>
        <x:v>6.47</x:v>
      </x:c>
      <x:c r="J431" s="32" t="str"/>
    </x:row>
    <x:row r="432">
      <x:c r="A432" s="72" t="n">
        <x:v>46240.86519675926</x:v>
      </x:c>
      <x:c r="B432" s="32" t="str">
        <x:v>土壤pH</x:v>
      </x:c>
      <x:c r="C432" s="32" t="str">
        <x:v>W0</x:v>
      </x:c>
      <x:c r="D432" s="32" t="str">
        <x:v>V1</x:v>
      </x:c>
      <x:c r="E432" s="86" t="n">
        <x:f>COUNT('14_W0_pH'!B23,'14_W0_pH'!D23,'14_W0_pH'!F23,'14_W0_pH'!H23)</x:f>
        <x:v>4</x:v>
      </x:c>
      <x:c r="F432" s="90" t="n">
        <x:f>IF(E432=0,"",AVERAGE('14_W0_pH'!B23,'14_W0_pH'!D23,'14_W0_pH'!F23,'14_W0_pH'!H23))</x:f>
        <x:v>6.425000000000001</x:v>
      </x:c>
      <x:c r="G432" s="90" t="n">
        <x:f>IF(E432&lt;2,"",STDEV.S('14_W0_pH'!B23,'14_W0_pH'!D23,'14_W0_pH'!F23,'14_W0_pH'!H23))</x:f>
        <x:v>0.046547466812563255</x:v>
      </x:c>
      <x:c r="H432" s="90" t="n">
        <x:f>IF(E432=0,"",MIN('14_W0_pH'!B23,'14_W0_pH'!D23,'14_W0_pH'!F23,'14_W0_pH'!H23))</x:f>
        <x:v>6.38</x:v>
      </x:c>
      <x:c r="I432" s="90" t="n">
        <x:f>IF(E432=0,"",MAX('14_W0_pH'!B23,'14_W0_pH'!D23,'14_W0_pH'!F23,'14_W0_pH'!H23))</x:f>
        <x:v>6.49</x:v>
      </x:c>
      <x:c r="J432" s="32" t="str"/>
    </x:row>
    <x:row r="433">
      <x:c r="A433" s="72" t="n">
        <x:v>46240.86519675926</x:v>
      </x:c>
      <x:c r="B433" s="32" t="str">
        <x:v>土壤pH</x:v>
      </x:c>
      <x:c r="C433" s="32" t="str">
        <x:v>W0</x:v>
      </x:c>
      <x:c r="D433" s="32" t="str">
        <x:v>V2</x:v>
      </x:c>
      <x:c r="E433" s="86" t="n">
        <x:f>COUNT('14_W0_pH'!C23,'14_W0_pH'!E23,'14_W0_pH'!G23,'14_W0_pH'!I23)</x:f>
        <x:v>4</x:v>
      </x:c>
      <x:c r="F433" s="90" t="n">
        <x:f>IF(E433=0,"",AVERAGE('14_W0_pH'!C23,'14_W0_pH'!E23,'14_W0_pH'!G23,'14_W0_pH'!I23))</x:f>
        <x:v>6.4125</x:v>
      </x:c>
      <x:c r="G433" s="90" t="n">
        <x:f>IF(E433&lt;2,"",STDEV.S('14_W0_pH'!C23,'14_W0_pH'!E23,'14_W0_pH'!G23,'14_W0_pH'!I23))</x:f>
        <x:v>0.07675719293112973</x:v>
      </x:c>
      <x:c r="H433" s="90" t="n">
        <x:f>IF(E433=0,"",MIN('14_W0_pH'!C23,'14_W0_pH'!E23,'14_W0_pH'!G23,'14_W0_pH'!I23))</x:f>
        <x:v>6.3</x:v>
      </x:c>
      <x:c r="I433" s="90" t="n">
        <x:f>IF(E433=0,"",MAX('14_W0_pH'!C23,'14_W0_pH'!E23,'14_W0_pH'!G23,'14_W0_pH'!I23))</x:f>
        <x:v>6.47</x:v>
      </x:c>
      <x:c r="J433" s="32" t="str"/>
    </x:row>
    <x:row r="434">
      <x:c r="A434" s="72" t="n">
        <x:v>46240.86866898148</x:v>
      </x:c>
      <x:c r="B434" s="32" t="str">
        <x:v>土壤pH</x:v>
      </x:c>
      <x:c r="C434" s="32" t="str">
        <x:v>W0</x:v>
      </x:c>
      <x:c r="D434" s="32" t="str">
        <x:v>V1</x:v>
      </x:c>
      <x:c r="E434" s="86" t="n">
        <x:f>COUNT('14_W0_pH'!B24,'14_W0_pH'!D24,'14_W0_pH'!F24,'14_W0_pH'!H24)</x:f>
        <x:v>4</x:v>
      </x:c>
      <x:c r="F434" s="90" t="n">
        <x:f>IF(E434=0,"",AVERAGE('14_W0_pH'!B24,'14_W0_pH'!D24,'14_W0_pH'!F24,'14_W0_pH'!H24))</x:f>
        <x:v>6.4225</x:v>
      </x:c>
      <x:c r="G434" s="90" t="n">
        <x:f>IF(E434&lt;2,"",STDEV.S('14_W0_pH'!B24,'14_W0_pH'!D24,'14_W0_pH'!F24,'14_W0_pH'!H24))</x:f>
        <x:v>0.04193248541803063</x:v>
      </x:c>
      <x:c r="H434" s="90" t="n">
        <x:f>IF(E434=0,"",MIN('14_W0_pH'!B24,'14_W0_pH'!D24,'14_W0_pH'!F24,'14_W0_pH'!H24))</x:f>
        <x:v>6.38</x:v>
      </x:c>
      <x:c r="I434" s="90" t="n">
        <x:f>IF(E434=0,"",MAX('14_W0_pH'!B24,'14_W0_pH'!D24,'14_W0_pH'!F24,'14_W0_pH'!H24))</x:f>
        <x:v>6.48</x:v>
      </x:c>
      <x:c r="J434" s="32" t="str"/>
    </x:row>
    <x:row r="435">
      <x:c r="A435" s="72" t="n">
        <x:v>46240.86866898148</x:v>
      </x:c>
      <x:c r="B435" s="32" t="str">
        <x:v>土壤pH</x:v>
      </x:c>
      <x:c r="C435" s="32" t="str">
        <x:v>W0</x:v>
      </x:c>
      <x:c r="D435" s="32" t="str">
        <x:v>V2</x:v>
      </x:c>
      <x:c r="E435" s="86" t="n">
        <x:f>COUNT('14_W0_pH'!C24,'14_W0_pH'!E24,'14_W0_pH'!G24,'14_W0_pH'!I24)</x:f>
        <x:v>4</x:v>
      </x:c>
      <x:c r="F435" s="90" t="n">
        <x:f>IF(E435=0,"",AVERAGE('14_W0_pH'!C24,'14_W0_pH'!E24,'14_W0_pH'!G24,'14_W0_pH'!I24))</x:f>
        <x:v>6.4125</x:v>
      </x:c>
      <x:c r="G435" s="90" t="n">
        <x:f>IF(E435&lt;2,"",STDEV.S('14_W0_pH'!C24,'14_W0_pH'!E24,'14_W0_pH'!G24,'14_W0_pH'!I24))</x:f>
        <x:v>0.08341662504161455</x:v>
      </x:c>
      <x:c r="H435" s="90" t="n">
        <x:f>IF(E435=0,"",MIN('14_W0_pH'!C24,'14_W0_pH'!E24,'14_W0_pH'!G24,'14_W0_pH'!I24))</x:f>
        <x:v>6.29</x:v>
      </x:c>
      <x:c r="I435" s="90" t="n">
        <x:f>IF(E435=0,"",MAX('14_W0_pH'!C24,'14_W0_pH'!E24,'14_W0_pH'!G24,'14_W0_pH'!I24))</x:f>
        <x:v>6.47</x:v>
      </x:c>
      <x:c r="J435" s="32" t="str"/>
    </x:row>
    <x:row r="436">
      <x:c r="A436" s="72" t="n">
        <x:v>46240.872141203705</x:v>
      </x:c>
      <x:c r="B436" s="32" t="str">
        <x:v>土壤pH</x:v>
      </x:c>
      <x:c r="C436" s="32" t="str">
        <x:v>W0</x:v>
      </x:c>
      <x:c r="D436" s="32" t="str">
        <x:v>V1</x:v>
      </x:c>
      <x:c r="E436" s="86" t="n">
        <x:f>COUNT('14_W0_pH'!B25,'14_W0_pH'!D25,'14_W0_pH'!F25,'14_W0_pH'!H25)</x:f>
        <x:v>4</x:v>
      </x:c>
      <x:c r="F436" s="90" t="n">
        <x:f>IF(E436=0,"",AVERAGE('14_W0_pH'!B25,'14_W0_pH'!D25,'14_W0_pH'!F25,'14_W0_pH'!H25))</x:f>
        <x:v>6.425</x:v>
      </x:c>
      <x:c r="G436" s="90" t="n">
        <x:f>IF(E436&lt;2,"",STDEV.S('14_W0_pH'!B25,'14_W0_pH'!D25,'14_W0_pH'!F25,'14_W0_pH'!H25))</x:f>
        <x:v>0.04509249752822906</x:v>
      </x:c>
      <x:c r="H436" s="90" t="n">
        <x:f>IF(E436=0,"",MIN('14_W0_pH'!B25,'14_W0_pH'!D25,'14_W0_pH'!F25,'14_W0_pH'!H25))</x:f>
        <x:v>6.37</x:v>
      </x:c>
      <x:c r="I436" s="90" t="n">
        <x:f>IF(E436=0,"",MAX('14_W0_pH'!B25,'14_W0_pH'!D25,'14_W0_pH'!F25,'14_W0_pH'!H25))</x:f>
        <x:v>6.48</x:v>
      </x:c>
      <x:c r="J436" s="32" t="str"/>
    </x:row>
    <x:row r="437">
      <x:c r="A437" s="72" t="n">
        <x:v>46240.872141203705</x:v>
      </x:c>
      <x:c r="B437" s="32" t="str">
        <x:v>土壤pH</x:v>
      </x:c>
      <x:c r="C437" s="32" t="str">
        <x:v>W0</x:v>
      </x:c>
      <x:c r="D437" s="32" t="str">
        <x:v>V2</x:v>
      </x:c>
      <x:c r="E437" s="86" t="n">
        <x:f>COUNT('14_W0_pH'!C25,'14_W0_pH'!E25,'14_W0_pH'!G25,'14_W0_pH'!I25)</x:f>
        <x:v>4</x:v>
      </x:c>
      <x:c r="F437" s="90" t="n">
        <x:f>IF(E437=0,"",AVERAGE('14_W0_pH'!C25,'14_W0_pH'!E25,'14_W0_pH'!G25,'14_W0_pH'!I25))</x:f>
        <x:v>6.41</x:v>
      </x:c>
      <x:c r="G437" s="90" t="n">
        <x:f>IF(E437&lt;2,"",STDEV.S('14_W0_pH'!C25,'14_W0_pH'!E25,'14_W0_pH'!G25,'14_W0_pH'!I25))</x:f>
        <x:v>0.08831760866327826</x:v>
      </x:c>
      <x:c r="H437" s="90" t="n">
        <x:f>IF(E437=0,"",MIN('14_W0_pH'!C25,'14_W0_pH'!E25,'14_W0_pH'!G25,'14_W0_pH'!I25))</x:f>
        <x:v>6.28</x:v>
      </x:c>
      <x:c r="I437" s="90" t="n">
        <x:f>IF(E437=0,"",MAX('14_W0_pH'!C25,'14_W0_pH'!E25,'14_W0_pH'!G25,'14_W0_pH'!I25))</x:f>
        <x:v>6.47</x:v>
      </x:c>
      <x:c r="J437" s="32" t="str"/>
    </x:row>
    <x:row r="438">
      <x:c r="A438" s="72" t="n">
        <x:v>46240.875613425924</x:v>
      </x:c>
      <x:c r="B438" s="32" t="str">
        <x:v>土壤pH</x:v>
      </x:c>
      <x:c r="C438" s="32" t="str">
        <x:v>W0</x:v>
      </x:c>
      <x:c r="D438" s="32" t="str">
        <x:v>V1</x:v>
      </x:c>
      <x:c r="E438" s="86" t="n">
        <x:f>COUNT('14_W0_pH'!B26,'14_W0_pH'!D26,'14_W0_pH'!F26,'14_W0_pH'!H26)</x:f>
        <x:v>4</x:v>
      </x:c>
      <x:c r="F438" s="90" t="n">
        <x:f>IF(E438=0,"",AVERAGE('14_W0_pH'!B26,'14_W0_pH'!D26,'14_W0_pH'!F26,'14_W0_pH'!H26))</x:f>
        <x:v>6.422499999999999</x:v>
      </x:c>
      <x:c r="G438" s="90" t="n">
        <x:f>IF(E438&lt;2,"",STDEV.S('14_W0_pH'!B26,'14_W0_pH'!D26,'14_W0_pH'!F26,'14_W0_pH'!H26))</x:f>
        <x:v>0.041129875597510065</x:v>
      </x:c>
      <x:c r="H438" s="90" t="n">
        <x:f>IF(E438=0,"",MIN('14_W0_pH'!B26,'14_W0_pH'!D26,'14_W0_pH'!F26,'14_W0_pH'!H26))</x:f>
        <x:v>6.37</x:v>
      </x:c>
      <x:c r="I438" s="90" t="n">
        <x:f>IF(E438=0,"",MAX('14_W0_pH'!B26,'14_W0_pH'!D26,'14_W0_pH'!F26,'14_W0_pH'!H26))</x:f>
        <x:v>6.47</x:v>
      </x:c>
      <x:c r="J438" s="32" t="str"/>
    </x:row>
    <x:row r="439">
      <x:c r="A439" s="72" t="n">
        <x:v>46240.875613425924</x:v>
      </x:c>
      <x:c r="B439" s="32" t="str">
        <x:v>土壤pH</x:v>
      </x:c>
      <x:c r="C439" s="32" t="str">
        <x:v>W0</x:v>
      </x:c>
      <x:c r="D439" s="32" t="str">
        <x:v>V2</x:v>
      </x:c>
      <x:c r="E439" s="86" t="n">
        <x:f>COUNT('14_W0_pH'!C26,'14_W0_pH'!E26,'14_W0_pH'!G26,'14_W0_pH'!I26)</x:f>
        <x:v>4</x:v>
      </x:c>
      <x:c r="F439" s="90" t="n">
        <x:f>IF(E439=0,"",AVERAGE('14_W0_pH'!C26,'14_W0_pH'!E26,'14_W0_pH'!G26,'14_W0_pH'!I26))</x:f>
        <x:v>6.4125000000000005</x:v>
      </x:c>
      <x:c r="G439" s="90" t="n">
        <x:f>IF(E439&lt;2,"",STDEV.S('14_W0_pH'!C26,'14_W0_pH'!E26,'14_W0_pH'!G26,'14_W0_pH'!I26))</x:f>
        <x:v>0.09215023964519384</x:v>
      </x:c>
      <x:c r="H439" s="90" t="n">
        <x:f>IF(E439=0,"",MIN('14_W0_pH'!C26,'14_W0_pH'!E26,'14_W0_pH'!G26,'14_W0_pH'!I26))</x:f>
        <x:v>6.28</x:v>
      </x:c>
      <x:c r="I439" s="90" t="n">
        <x:f>IF(E439=0,"",MAX('14_W0_pH'!C26,'14_W0_pH'!E26,'14_W0_pH'!G26,'14_W0_pH'!I26))</x:f>
        <x:v>6.48</x:v>
      </x:c>
      <x:c r="J439" s="32" t="str"/>
    </x:row>
    <x:row r="440">
      <x:c r="A440" s="72" t="n">
        <x:v>46240.87908564815</x:v>
      </x:c>
      <x:c r="B440" s="32" t="str">
        <x:v>土壤pH</x:v>
      </x:c>
      <x:c r="C440" s="32" t="str">
        <x:v>W0</x:v>
      </x:c>
      <x:c r="D440" s="32" t="str">
        <x:v>V1</x:v>
      </x:c>
      <x:c r="E440" s="86" t="n">
        <x:f>COUNT('14_W0_pH'!B27,'14_W0_pH'!D27,'14_W0_pH'!F27,'14_W0_pH'!H27)</x:f>
        <x:v>4</x:v>
      </x:c>
      <x:c r="F440" s="90" t="n">
        <x:f>IF(E440=0,"",AVERAGE('14_W0_pH'!B27,'14_W0_pH'!D27,'14_W0_pH'!F27,'14_W0_pH'!H27))</x:f>
        <x:v>6.425</x:v>
      </x:c>
      <x:c r="G440" s="90" t="n">
        <x:f>IF(E440&lt;2,"",STDEV.S('14_W0_pH'!B27,'14_W0_pH'!D27,'14_W0_pH'!F27,'14_W0_pH'!H27))</x:f>
        <x:v>0.04654746681256294</x:v>
      </x:c>
      <x:c r="H440" s="90" t="n">
        <x:f>IF(E440=0,"",MIN('14_W0_pH'!B27,'14_W0_pH'!D27,'14_W0_pH'!F27,'14_W0_pH'!H27))</x:f>
        <x:v>6.36</x:v>
      </x:c>
      <x:c r="I440" s="90" t="n">
        <x:f>IF(E440=0,"",MAX('14_W0_pH'!B27,'14_W0_pH'!D27,'14_W0_pH'!F27,'14_W0_pH'!H27))</x:f>
        <x:v>6.47</x:v>
      </x:c>
      <x:c r="J440" s="32" t="str"/>
    </x:row>
    <x:row r="441">
      <x:c r="A441" s="72" t="n">
        <x:v>46240.87908564815</x:v>
      </x:c>
      <x:c r="B441" s="32" t="str">
        <x:v>土壤pH</x:v>
      </x:c>
      <x:c r="C441" s="32" t="str">
        <x:v>W0</x:v>
      </x:c>
      <x:c r="D441" s="32" t="str">
        <x:v>V2</x:v>
      </x:c>
      <x:c r="E441" s="86" t="n">
        <x:f>COUNT('14_W0_pH'!C27,'14_W0_pH'!E27,'14_W0_pH'!G27,'14_W0_pH'!I27)</x:f>
        <x:v>4</x:v>
      </x:c>
      <x:c r="F441" s="90" t="n">
        <x:f>IF(E441=0,"",AVERAGE('14_W0_pH'!C27,'14_W0_pH'!E27,'14_W0_pH'!G27,'14_W0_pH'!I27))</x:f>
        <x:v>6.41</x:v>
      </x:c>
      <x:c r="G441" s="90" t="n">
        <x:f>IF(E441&lt;2,"",STDEV.S('14_W0_pH'!C27,'14_W0_pH'!E27,'14_W0_pH'!G27,'14_W0_pH'!I27))</x:f>
        <x:v>0.09695359714832684</x:v>
      </x:c>
      <x:c r="H441" s="90" t="n">
        <x:f>IF(E441=0,"",MIN('14_W0_pH'!C27,'14_W0_pH'!E27,'14_W0_pH'!G27,'14_W0_pH'!I27))</x:f>
        <x:v>6.27</x:v>
      </x:c>
      <x:c r="I441" s="90" t="n">
        <x:f>IF(E441=0,"",MAX('14_W0_pH'!C27,'14_W0_pH'!E27,'14_W0_pH'!G27,'14_W0_pH'!I27))</x:f>
        <x:v>6.48</x:v>
      </x:c>
      <x:c r="J441" s="32" t="str"/>
    </x:row>
    <x:row r="442">
      <x:c r="A442" s="72" t="n">
        <x:v>46240.88255787037</x:v>
      </x:c>
      <x:c r="B442" s="32" t="str">
        <x:v>土壤pH</x:v>
      </x:c>
      <x:c r="C442" s="32" t="str">
        <x:v>W0</x:v>
      </x:c>
      <x:c r="D442" s="32" t="str">
        <x:v>V1</x:v>
      </x:c>
      <x:c r="E442" s="86" t="n">
        <x:f>COUNT('14_W0_pH'!B28,'14_W0_pH'!D28,'14_W0_pH'!F28,'14_W0_pH'!H28)</x:f>
        <x:v>4</x:v>
      </x:c>
      <x:c r="F442" s="90" t="n">
        <x:f>IF(E442=0,"",AVERAGE('14_W0_pH'!B28,'14_W0_pH'!D28,'14_W0_pH'!F28,'14_W0_pH'!H28))</x:f>
        <x:v>6.427499999999999</x:v>
      </x:c>
      <x:c r="G442" s="90" t="n">
        <x:f>IF(E442&lt;2,"",STDEV.S('14_W0_pH'!B28,'14_W0_pH'!D28,'14_W0_pH'!F28,'14_W0_pH'!H28))</x:f>
        <x:v>0.04787135538781671</x:v>
      </x:c>
      <x:c r="H442" s="90" t="n">
        <x:f>IF(E442=0,"",MIN('14_W0_pH'!B28,'14_W0_pH'!D28,'14_W0_pH'!F28,'14_W0_pH'!H28))</x:f>
        <x:v>6.36</x:v>
      </x:c>
      <x:c r="I442" s="90" t="n">
        <x:f>IF(E442=0,"",MAX('14_W0_pH'!B28,'14_W0_pH'!D28,'14_W0_pH'!F28,'14_W0_pH'!H28))</x:f>
        <x:v>6.47</x:v>
      </x:c>
      <x:c r="J442" s="32" t="str"/>
    </x:row>
    <x:row r="443">
      <x:c r="A443" s="72" t="n">
        <x:v>46240.88255787037</x:v>
      </x:c>
      <x:c r="B443" s="32" t="str">
        <x:v>土壤pH</x:v>
      </x:c>
      <x:c r="C443" s="32" t="str">
        <x:v>W0</x:v>
      </x:c>
      <x:c r="D443" s="32" t="str">
        <x:v>V2</x:v>
      </x:c>
      <x:c r="E443" s="86" t="n">
        <x:f>COUNT('14_W0_pH'!C28,'14_W0_pH'!E28,'14_W0_pH'!G28,'14_W0_pH'!I28)</x:f>
        <x:v>4</x:v>
      </x:c>
      <x:c r="F443" s="90" t="n">
        <x:f>IF(E443=0,"",AVERAGE('14_W0_pH'!C28,'14_W0_pH'!E28,'14_W0_pH'!G28,'14_W0_pH'!I28))</x:f>
        <x:v>6.4125000000000005</x:v>
      </x:c>
      <x:c r="G443" s="90" t="n">
        <x:f>IF(E443&lt;2,"",STDEV.S('14_W0_pH'!C28,'14_W0_pH'!E28,'14_W0_pH'!G28,'14_W0_pH'!I28))</x:f>
        <x:v>0.10144785195688835</x:v>
      </x:c>
      <x:c r="H443" s="90" t="n">
        <x:f>IF(E443=0,"",MIN('14_W0_pH'!C28,'14_W0_pH'!E28,'14_W0_pH'!G28,'14_W0_pH'!I28))</x:f>
        <x:v>6.27</x:v>
      </x:c>
      <x:c r="I443" s="90" t="n">
        <x:f>IF(E443=0,"",MAX('14_W0_pH'!C28,'14_W0_pH'!E28,'14_W0_pH'!G28,'14_W0_pH'!I28))</x:f>
        <x:v>6.49</x:v>
      </x:c>
      <x:c r="J443" s="32" t="str"/>
    </x:row>
    <x:row r="444">
      <x:c r="A444" s="72" t="n">
        <x:v>46240.886030092595</x:v>
      </x:c>
      <x:c r="B444" s="32" t="str">
        <x:v>土壤pH</x:v>
      </x:c>
      <x:c r="C444" s="32" t="str">
        <x:v>W0</x:v>
      </x:c>
      <x:c r="D444" s="32" t="str">
        <x:v>V1</x:v>
      </x:c>
      <x:c r="E444" s="86" t="n">
        <x:f>COUNT('14_W0_pH'!B29,'14_W0_pH'!D29,'14_W0_pH'!F29,'14_W0_pH'!H29)</x:f>
        <x:v>4</x:v>
      </x:c>
      <x:c r="F444" s="90" t="n">
        <x:f>IF(E444=0,"",AVERAGE('14_W0_pH'!B29,'14_W0_pH'!D29,'14_W0_pH'!F29,'14_W0_pH'!H29))</x:f>
        <x:v>6.427499999999999</x:v>
      </x:c>
      <x:c r="G444" s="90" t="n">
        <x:f>IF(E444&lt;2,"",STDEV.S('14_W0_pH'!B29,'14_W0_pH'!D29,'14_W0_pH'!F29,'14_W0_pH'!H29))</x:f>
        <x:v>0.05439056290693583</x:v>
      </x:c>
      <x:c r="H444" s="90" t="n">
        <x:f>IF(E444=0,"",MIN('14_W0_pH'!B29,'14_W0_pH'!D29,'14_W0_pH'!F29,'14_W0_pH'!H29))</x:f>
        <x:v>6.35</x:v>
      </x:c>
      <x:c r="I444" s="90" t="n">
        <x:f>IF(E444=0,"",MAX('14_W0_pH'!B29,'14_W0_pH'!D29,'14_W0_pH'!F29,'14_W0_pH'!H29))</x:f>
        <x:v>6.47</x:v>
      </x:c>
      <x:c r="J444" s="32" t="str"/>
    </x:row>
    <x:row r="445">
      <x:c r="A445" s="72" t="n">
        <x:v>46240.886030092595</x:v>
      </x:c>
      <x:c r="B445" s="32" t="str">
        <x:v>土壤pH</x:v>
      </x:c>
      <x:c r="C445" s="32" t="str">
        <x:v>W0</x:v>
      </x:c>
      <x:c r="D445" s="32" t="str">
        <x:v>V2</x:v>
      </x:c>
      <x:c r="E445" s="86" t="n">
        <x:f>COUNT('14_W0_pH'!C29,'14_W0_pH'!E29,'14_W0_pH'!G29,'14_W0_pH'!I29)</x:f>
        <x:v>4</x:v>
      </x:c>
      <x:c r="F445" s="90" t="n">
        <x:f>IF(E445=0,"",AVERAGE('14_W0_pH'!C29,'14_W0_pH'!E29,'14_W0_pH'!G29,'14_W0_pH'!I29))</x:f>
        <x:v>6.415</x:v>
      </x:c>
      <x:c r="G445" s="90" t="n">
        <x:f>IF(E445&lt;2,"",STDEV.S('14_W0_pH'!C29,'14_W0_pH'!E29,'14_W0_pH'!G29,'14_W0_pH'!I29))</x:f>
        <x:v>0.10408329997330693</x:v>
      </x:c>
      <x:c r="H445" s="90" t="n">
        <x:f>IF(E445=0,"",MIN('14_W0_pH'!C29,'14_W0_pH'!E29,'14_W0_pH'!G29,'14_W0_pH'!I29))</x:f>
        <x:v>6.27</x:v>
      </x:c>
      <x:c r="I445" s="90" t="n">
        <x:f>IF(E445=0,"",MAX('14_W0_pH'!C29,'14_W0_pH'!E29,'14_W0_pH'!G29,'14_W0_pH'!I29))</x:f>
        <x:v>6.5</x:v>
      </x:c>
      <x:c r="J445" s="32" t="str"/>
    </x:row>
    <x:row r="446">
      <x:c r="A446" s="72" t="n">
        <x:v>46240.889502314814</x:v>
      </x:c>
      <x:c r="B446" s="32" t="str">
        <x:v>土壤pH</x:v>
      </x:c>
      <x:c r="C446" s="32" t="str">
        <x:v>W0</x:v>
      </x:c>
      <x:c r="D446" s="32" t="str">
        <x:v>V1</x:v>
      </x:c>
      <x:c r="E446" s="86" t="n">
        <x:f>COUNT('14_W0_pH'!B30,'14_W0_pH'!D30,'14_W0_pH'!F30,'14_W0_pH'!H30)</x:f>
        <x:v>4</x:v>
      </x:c>
      <x:c r="F446" s="90" t="n">
        <x:f>IF(E446=0,"",AVERAGE('14_W0_pH'!B30,'14_W0_pH'!D30,'14_W0_pH'!F30,'14_W0_pH'!H30))</x:f>
        <x:v>6.425</x:v>
      </x:c>
      <x:c r="G446" s="90" t="n">
        <x:f>IF(E446&lt;2,"",STDEV.S('14_W0_pH'!B30,'14_W0_pH'!D30,'14_W0_pH'!F30,'14_W0_pH'!H30))</x:f>
        <x:v>0.059160797830996155</x:v>
      </x:c>
      <x:c r="H446" s="90" t="n">
        <x:f>IF(E446=0,"",MIN('14_W0_pH'!B30,'14_W0_pH'!D30,'14_W0_pH'!F30,'14_W0_pH'!H30))</x:f>
        <x:v>6.34</x:v>
      </x:c>
      <x:c r="I446" s="90" t="n">
        <x:f>IF(E446=0,"",MAX('14_W0_pH'!B30,'14_W0_pH'!D30,'14_W0_pH'!F30,'14_W0_pH'!H30))</x:f>
        <x:v>6.47</x:v>
      </x:c>
      <x:c r="J446" s="32" t="str"/>
    </x:row>
    <x:row r="447">
      <x:c r="A447" s="72" t="n">
        <x:v>46240.889502314814</x:v>
      </x:c>
      <x:c r="B447" s="32" t="str">
        <x:v>土壤pH</x:v>
      </x:c>
      <x:c r="C447" s="32" t="str">
        <x:v>W0</x:v>
      </x:c>
      <x:c r="D447" s="32" t="str">
        <x:v>V2</x:v>
      </x:c>
      <x:c r="E447" s="86" t="n">
        <x:f>COUNT('14_W0_pH'!C30,'14_W0_pH'!E30,'14_W0_pH'!G30,'14_W0_pH'!I30)</x:f>
        <x:v>4</x:v>
      </x:c>
      <x:c r="F447" s="90" t="n">
        <x:f>IF(E447=0,"",AVERAGE('14_W0_pH'!C30,'14_W0_pH'!E30,'14_W0_pH'!G30,'14_W0_pH'!I30))</x:f>
        <x:v>6.415</x:v>
      </x:c>
      <x:c r="G447" s="90" t="n">
        <x:f>IF(E447&lt;2,"",STDEV.S('14_W0_pH'!C30,'14_W0_pH'!E30,'14_W0_pH'!G30,'14_W0_pH'!I30))</x:f>
        <x:v>0.10723805294763629</x:v>
      </x:c>
      <x:c r="H447" s="90" t="n">
        <x:f>IF(E447=0,"",MIN('14_W0_pH'!C30,'14_W0_pH'!E30,'14_W0_pH'!G30,'14_W0_pH'!I30))</x:f>
        <x:v>6.27</x:v>
      </x:c>
      <x:c r="I447" s="90" t="n">
        <x:f>IF(E447=0,"",MAX('14_W0_pH'!C30,'14_W0_pH'!E30,'14_W0_pH'!G30,'14_W0_pH'!I30))</x:f>
        <x:v>6.51</x:v>
      </x:c>
      <x:c r="J447" s="32" t="str"/>
    </x:row>
    <x:row r="448">
      <x:c r="A448" s="72" t="n">
        <x:v>46240.89297453704</x:v>
      </x:c>
      <x:c r="B448" s="32" t="str">
        <x:v>土壤pH</x:v>
      </x:c>
      <x:c r="C448" s="32" t="str">
        <x:v>W0</x:v>
      </x:c>
      <x:c r="D448" s="32" t="str">
        <x:v>V1</x:v>
      </x:c>
      <x:c r="E448" s="86" t="n">
        <x:f>COUNT('14_W0_pH'!B31,'14_W0_pH'!D31,'14_W0_pH'!F31,'14_W0_pH'!H31)</x:f>
        <x:v>4</x:v>
      </x:c>
      <x:c r="F448" s="90" t="n">
        <x:f>IF(E448=0,"",AVERAGE('14_W0_pH'!B31,'14_W0_pH'!D31,'14_W0_pH'!F31,'14_W0_pH'!H31))</x:f>
        <x:v>6.425</x:v>
      </x:c>
      <x:c r="G448" s="90" t="n">
        <x:f>IF(E448&lt;2,"",STDEV.S('14_W0_pH'!B31,'14_W0_pH'!D31,'14_W0_pH'!F31,'14_W0_pH'!H31))</x:f>
        <x:v>0.06855654600401047</x:v>
      </x:c>
      <x:c r="H448" s="90" t="n">
        <x:f>IF(E448=0,"",MIN('14_W0_pH'!B31,'14_W0_pH'!D31,'14_W0_pH'!F31,'14_W0_pH'!H31))</x:f>
        <x:v>6.33</x:v>
      </x:c>
      <x:c r="I448" s="90" t="n">
        <x:f>IF(E448=0,"",MAX('14_W0_pH'!B31,'14_W0_pH'!D31,'14_W0_pH'!F31,'14_W0_pH'!H31))</x:f>
        <x:v>6.48</x:v>
      </x:c>
      <x:c r="J448" s="32" t="str"/>
    </x:row>
    <x:row r="449">
      <x:c r="A449" s="72" t="n">
        <x:v>46240.89297453704</x:v>
      </x:c>
      <x:c r="B449" s="32" t="str">
        <x:v>土壤pH</x:v>
      </x:c>
      <x:c r="C449" s="32" t="str">
        <x:v>W0</x:v>
      </x:c>
      <x:c r="D449" s="32" t="str">
        <x:v>V2</x:v>
      </x:c>
      <x:c r="E449" s="86" t="n">
        <x:f>COUNT('14_W0_pH'!C31,'14_W0_pH'!E31,'14_W0_pH'!G31,'14_W0_pH'!I31)</x:f>
        <x:v>4</x:v>
      </x:c>
      <x:c r="F449" s="90" t="n">
        <x:f>IF(E449=0,"",AVERAGE('14_W0_pH'!C31,'14_W0_pH'!E31,'14_W0_pH'!G31,'14_W0_pH'!I31))</x:f>
        <x:v>6.4125000000000005</x:v>
      </x:c>
      <x:c r="G449" s="90" t="n">
        <x:f>IF(E449&lt;2,"",STDEV.S('14_W0_pH'!C31,'14_W0_pH'!E31,'14_W0_pH'!G31,'14_W0_pH'!I31))</x:f>
        <x:v>0.10781929326423936</x:v>
      </x:c>
      <x:c r="H449" s="90" t="n">
        <x:f>IF(E449=0,"",MIN('14_W0_pH'!C31,'14_W0_pH'!E31,'14_W0_pH'!G31,'14_W0_pH'!I31))</x:f>
        <x:v>6.27</x:v>
      </x:c>
      <x:c r="I449" s="90" t="n">
        <x:f>IF(E449=0,"",MAX('14_W0_pH'!C31,'14_W0_pH'!E31,'14_W0_pH'!G31,'14_W0_pH'!I31))</x:f>
        <x:v>6.51</x:v>
      </x:c>
      <x:c r="J449" s="32" t="str"/>
    </x:row>
    <x:row r="450">
      <x:c r="A450" s="72" t="n">
        <x:v>46240.89644675926</x:v>
      </x:c>
      <x:c r="B450" s="32" t="str">
        <x:v>土壤pH</x:v>
      </x:c>
      <x:c r="C450" s="32" t="str">
        <x:v>W0</x:v>
      </x:c>
      <x:c r="D450" s="32" t="str">
        <x:v>V1</x:v>
      </x:c>
      <x:c r="E450" s="86" t="n">
        <x:f>COUNT('14_W0_pH'!B32,'14_W0_pH'!D32,'14_W0_pH'!F32,'14_W0_pH'!H32)</x:f>
        <x:v>4</x:v>
      </x:c>
      <x:c r="F450" s="90" t="n">
        <x:f>IF(E450=0,"",AVERAGE('14_W0_pH'!B32,'14_W0_pH'!D32,'14_W0_pH'!F32,'14_W0_pH'!H32))</x:f>
        <x:v>6.425</x:v>
      </x:c>
      <x:c r="G450" s="90" t="n">
        <x:f>IF(E450&lt;2,"",STDEV.S('14_W0_pH'!B32,'14_W0_pH'!D32,'14_W0_pH'!F32,'14_W0_pH'!H32))</x:f>
        <x:v>0.06855654600401047</x:v>
      </x:c>
      <x:c r="H450" s="90" t="n">
        <x:f>IF(E450=0,"",MIN('14_W0_pH'!B32,'14_W0_pH'!D32,'14_W0_pH'!F32,'14_W0_pH'!H32))</x:f>
        <x:v>6.33</x:v>
      </x:c>
      <x:c r="I450" s="90" t="n">
        <x:f>IF(E450=0,"",MAX('14_W0_pH'!B32,'14_W0_pH'!D32,'14_W0_pH'!F32,'14_W0_pH'!H32))</x:f>
        <x:v>6.48</x:v>
      </x:c>
      <x:c r="J450" s="32" t="str"/>
    </x:row>
    <x:row r="451">
      <x:c r="A451" s="72" t="n">
        <x:v>46240.89644675926</x:v>
      </x:c>
      <x:c r="B451" s="32" t="str">
        <x:v>土壤pH</x:v>
      </x:c>
      <x:c r="C451" s="32" t="str">
        <x:v>W0</x:v>
      </x:c>
      <x:c r="D451" s="32" t="str">
        <x:v>V2</x:v>
      </x:c>
      <x:c r="E451" s="86" t="n">
        <x:f>COUNT('14_W0_pH'!C32,'14_W0_pH'!E32,'14_W0_pH'!G32,'14_W0_pH'!I32)</x:f>
        <x:v>4</x:v>
      </x:c>
      <x:c r="F451" s="90" t="n">
        <x:f>IF(E451=0,"",AVERAGE('14_W0_pH'!C32,'14_W0_pH'!E32,'14_W0_pH'!G32,'14_W0_pH'!I32))</x:f>
        <x:v>6.4125</x:v>
      </x:c>
      <x:c r="G451" s="90" t="n">
        <x:f>IF(E451&lt;2,"",STDEV.S('14_W0_pH'!C32,'14_W0_pH'!E32,'14_W0_pH'!G32,'14_W0_pH'!I32))</x:f>
        <x:v>0.10563301251660522</x:v>
      </x:c>
      <x:c r="H451" s="90" t="n">
        <x:f>IF(E451=0,"",MIN('14_W0_pH'!C32,'14_W0_pH'!E32,'14_W0_pH'!G32,'14_W0_pH'!I32))</x:f>
        <x:v>6.28</x:v>
      </x:c>
      <x:c r="I451" s="90" t="n">
        <x:f>IF(E451=0,"",MAX('14_W0_pH'!C32,'14_W0_pH'!E32,'14_W0_pH'!G32,'14_W0_pH'!I32))</x:f>
        <x:v>6.52</x:v>
      </x:c>
      <x:c r="J451" s="32" t="str"/>
    </x:row>
    <x:row r="452">
      <x:c r="A452" s="72" t="n">
        <x:v>46240.89991898148</x:v>
      </x:c>
      <x:c r="B452" s="32" t="str">
        <x:v>土壤pH</x:v>
      </x:c>
      <x:c r="C452" s="32" t="str">
        <x:v>W0</x:v>
      </x:c>
      <x:c r="D452" s="32" t="str">
        <x:v>V1</x:v>
      </x:c>
      <x:c r="E452" s="86" t="n">
        <x:f>COUNT('14_W0_pH'!B33,'14_W0_pH'!D33,'14_W0_pH'!F33,'14_W0_pH'!H33)</x:f>
        <x:v>4</x:v>
      </x:c>
      <x:c r="F452" s="90" t="n">
        <x:f>IF(E452=0,"",AVERAGE('14_W0_pH'!B33,'14_W0_pH'!D33,'14_W0_pH'!F33,'14_W0_pH'!H33))</x:f>
        <x:v>6.425000000000001</x:v>
      </x:c>
      <x:c r="G452" s="90" t="n">
        <x:f>IF(E452&lt;2,"",STDEV.S('14_W0_pH'!B33,'14_W0_pH'!D33,'14_W0_pH'!F33,'14_W0_pH'!H33))</x:f>
        <x:v>0.07852812659593167</x:v>
      </x:c>
      <x:c r="H452" s="90" t="n">
        <x:f>IF(E452=0,"",MIN('14_W0_pH'!B33,'14_W0_pH'!D33,'14_W0_pH'!F33,'14_W0_pH'!H33))</x:f>
        <x:v>6.32</x:v>
      </x:c>
      <x:c r="I452" s="90" t="n">
        <x:f>IF(E452=0,"",MAX('14_W0_pH'!B33,'14_W0_pH'!D33,'14_W0_pH'!F33,'14_W0_pH'!H33))</x:f>
        <x:v>6.49</x:v>
      </x:c>
      <x:c r="J452" s="32" t="str"/>
    </x:row>
    <x:row r="453">
      <x:c r="A453" s="72" t="n">
        <x:v>46240.89991898148</x:v>
      </x:c>
      <x:c r="B453" s="32" t="str">
        <x:v>土壤pH</x:v>
      </x:c>
      <x:c r="C453" s="32" t="str">
        <x:v>W0</x:v>
      </x:c>
      <x:c r="D453" s="32" t="str">
        <x:v>V2</x:v>
      </x:c>
      <x:c r="E453" s="86" t="n">
        <x:f>COUNT('14_W0_pH'!C33,'14_W0_pH'!E33,'14_W0_pH'!G33,'14_W0_pH'!I33)</x:f>
        <x:v>4</x:v>
      </x:c>
      <x:c r="F453" s="90" t="n">
        <x:f>IF(E453=0,"",AVERAGE('14_W0_pH'!C33,'14_W0_pH'!E33,'14_W0_pH'!G33,'14_W0_pH'!I33))</x:f>
        <x:v>6.4125</x:v>
      </x:c>
      <x:c r="G453" s="90" t="n">
        <x:f>IF(E453&lt;2,"",STDEV.S('14_W0_pH'!C33,'14_W0_pH'!E33,'14_W0_pH'!G33,'14_W0_pH'!I33))</x:f>
        <x:v>0.10563301251660522</x:v>
      </x:c>
      <x:c r="H453" s="90" t="n">
        <x:f>IF(E453=0,"",MIN('14_W0_pH'!C33,'14_W0_pH'!E33,'14_W0_pH'!G33,'14_W0_pH'!I33))</x:f>
        <x:v>6.28</x:v>
      </x:c>
      <x:c r="I453" s="90" t="n">
        <x:f>IF(E453=0,"",MAX('14_W0_pH'!C33,'14_W0_pH'!E33,'14_W0_pH'!G33,'14_W0_pH'!I33))</x:f>
        <x:v>6.52</x:v>
      </x:c>
      <x:c r="J453" s="32" t="str"/>
    </x:row>
    <x:row r="454">
      <x:c r="A454" s="72" t="n">
        <x:v>46240.903391203705</x:v>
      </x:c>
      <x:c r="B454" s="32" t="str">
        <x:v>土壤pH</x:v>
      </x:c>
      <x:c r="C454" s="32" t="str">
        <x:v>W0</x:v>
      </x:c>
      <x:c r="D454" s="32" t="str">
        <x:v>V1</x:v>
      </x:c>
      <x:c r="E454" s="86" t="n">
        <x:f>COUNT('14_W0_pH'!B34,'14_W0_pH'!D34,'14_W0_pH'!F34,'14_W0_pH'!H34)</x:f>
        <x:v>4</x:v>
      </x:c>
      <x:c r="F454" s="90" t="n">
        <x:f>IF(E454=0,"",AVERAGE('14_W0_pH'!B34,'14_W0_pH'!D34,'14_W0_pH'!F34,'14_W0_pH'!H34))</x:f>
        <x:v>6.4275</x:v>
      </x:c>
      <x:c r="G454" s="90" t="n">
        <x:f>IF(E454&lt;2,"",STDEV.S('14_W0_pH'!B34,'14_W0_pH'!D34,'14_W0_pH'!F34,'14_W0_pH'!H34))</x:f>
        <x:v>0.08139410298049848</x:v>
      </x:c>
      <x:c r="H454" s="90" t="n">
        <x:f>IF(E454=0,"",MIN('14_W0_pH'!B34,'14_W0_pH'!D34,'14_W0_pH'!F34,'14_W0_pH'!H34))</x:f>
        <x:v>6.32</x:v>
      </x:c>
      <x:c r="I454" s="90" t="n">
        <x:f>IF(E454=0,"",MAX('14_W0_pH'!B34,'14_W0_pH'!D34,'14_W0_pH'!F34,'14_W0_pH'!H34))</x:f>
        <x:v>6.5</x:v>
      </x:c>
      <x:c r="J454" s="32" t="str"/>
    </x:row>
    <x:row r="455">
      <x:c r="A455" s="72" t="n">
        <x:v>46240.903391203705</x:v>
      </x:c>
      <x:c r="B455" s="32" t="str">
        <x:v>土壤pH</x:v>
      </x:c>
      <x:c r="C455" s="32" t="str">
        <x:v>W0</x:v>
      </x:c>
      <x:c r="D455" s="32" t="str">
        <x:v>V2</x:v>
      </x:c>
      <x:c r="E455" s="86" t="n">
        <x:f>COUNT('14_W0_pH'!C34,'14_W0_pH'!E34,'14_W0_pH'!G34,'14_W0_pH'!I34)</x:f>
        <x:v>4</x:v>
      </x:c>
      <x:c r="F455" s="90" t="n">
        <x:f>IF(E455=0,"",AVERAGE('14_W0_pH'!C34,'14_W0_pH'!E34,'14_W0_pH'!G34,'14_W0_pH'!I34))</x:f>
        <x:v>6.4125</x:v>
      </x:c>
      <x:c r="G455" s="90" t="n">
        <x:f>IF(E455&lt;2,"",STDEV.S('14_W0_pH'!C34,'14_W0_pH'!E34,'14_W0_pH'!G34,'14_W0_pH'!I34))</x:f>
        <x:v>0.10468205831628144</x:v>
      </x:c>
      <x:c r="H455" s="90" t="n">
        <x:f>IF(E455=0,"",MIN('14_W0_pH'!C34,'14_W0_pH'!E34,'14_W0_pH'!G34,'14_W0_pH'!I34))</x:f>
        <x:v>6.29</x:v>
      </x:c>
      <x:c r="I455" s="90" t="n">
        <x:f>IF(E455=0,"",MAX('14_W0_pH'!C34,'14_W0_pH'!E34,'14_W0_pH'!G34,'14_W0_pH'!I34))</x:f>
        <x:v>6.53</x:v>
      </x:c>
      <x:c r="J455" s="32" t="str"/>
    </x:row>
    <x:row r="456">
      <x:c r="A456" s="72" t="n">
        <x:v>46240.906863425924</x:v>
      </x:c>
      <x:c r="B456" s="32" t="str">
        <x:v>土壤pH</x:v>
      </x:c>
      <x:c r="C456" s="32" t="str">
        <x:v>W0</x:v>
      </x:c>
      <x:c r="D456" s="32" t="str">
        <x:v>V1</x:v>
      </x:c>
      <x:c r="E456" s="86" t="n">
        <x:f>COUNT('14_W0_pH'!B35,'14_W0_pH'!D35,'14_W0_pH'!F35,'14_W0_pH'!H35)</x:f>
        <x:v>4</x:v>
      </x:c>
      <x:c r="F456" s="90" t="n">
        <x:f>IF(E456=0,"",AVERAGE('14_W0_pH'!B35,'14_W0_pH'!D35,'14_W0_pH'!F35,'14_W0_pH'!H35))</x:f>
        <x:v>6.4275</x:v>
      </x:c>
      <x:c r="G456" s="90" t="n">
        <x:f>IF(E456&lt;2,"",STDEV.S('14_W0_pH'!B35,'14_W0_pH'!D35,'14_W0_pH'!F35,'14_W0_pH'!H35))</x:f>
        <x:v>0.08539125638299652</x:v>
      </x:c>
      <x:c r="H456" s="90" t="n">
        <x:f>IF(E456=0,"",MIN('14_W0_pH'!B35,'14_W0_pH'!D35,'14_W0_pH'!F35,'14_W0_pH'!H35))</x:f>
        <x:v>6.32</x:v>
      </x:c>
      <x:c r="I456" s="90" t="n">
        <x:f>IF(E456=0,"",MAX('14_W0_pH'!B35,'14_W0_pH'!D35,'14_W0_pH'!F35,'14_W0_pH'!H35))</x:f>
        <x:v>6.51</x:v>
      </x:c>
      <x:c r="J456" s="32" t="str"/>
    </x:row>
    <x:row r="457">
      <x:c r="A457" s="72" t="n">
        <x:v>46240.906863425924</x:v>
      </x:c>
      <x:c r="B457" s="32" t="str">
        <x:v>土壤pH</x:v>
      </x:c>
      <x:c r="C457" s="32" t="str">
        <x:v>W0</x:v>
      </x:c>
      <x:c r="D457" s="32" t="str">
        <x:v>V2</x:v>
      </x:c>
      <x:c r="E457" s="86" t="n">
        <x:f>COUNT('14_W0_pH'!C35,'14_W0_pH'!E35,'14_W0_pH'!G35,'14_W0_pH'!I35)</x:f>
        <x:v>4</x:v>
      </x:c>
      <x:c r="F457" s="90" t="n">
        <x:f>IF(E457=0,"",AVERAGE('14_W0_pH'!C35,'14_W0_pH'!E35,'14_W0_pH'!G35,'14_W0_pH'!I35))</x:f>
        <x:v>6.415</x:v>
      </x:c>
      <x:c r="G457" s="90" t="n">
        <x:f>IF(E457&lt;2,"",STDEV.S('14_W0_pH'!C35,'14_W0_pH'!E35,'14_W0_pH'!G35,'14_W0_pH'!I35))</x:f>
        <x:v>0.1008298897483613</x:v>
      </x:c>
      <x:c r="H457" s="90" t="n">
        <x:f>IF(E457=0,"",MIN('14_W0_pH'!C35,'14_W0_pH'!E35,'14_W0_pH'!G35,'14_W0_pH'!I35))</x:f>
        <x:v>6.3</x:v>
      </x:c>
      <x:c r="I457" s="90" t="n">
        <x:f>IF(E457=0,"",MAX('14_W0_pH'!C35,'14_W0_pH'!E35,'14_W0_pH'!G35,'14_W0_pH'!I35))</x:f>
        <x:v>6.53</x:v>
      </x:c>
      <x:c r="J457" s="32" t="str"/>
    </x:row>
    <x:row r="458">
      <x:c r="A458" s="72" t="n">
        <x:v>46240.91033564815</x:v>
      </x:c>
      <x:c r="B458" s="32" t="str">
        <x:v>土壤pH</x:v>
      </x:c>
      <x:c r="C458" s="32" t="str">
        <x:v>W0</x:v>
      </x:c>
      <x:c r="D458" s="32" t="str">
        <x:v>V1</x:v>
      </x:c>
      <x:c r="E458" s="86" t="n">
        <x:f>COUNT('14_W0_pH'!B36,'14_W0_pH'!D36,'14_W0_pH'!F36,'14_W0_pH'!H36)</x:f>
        <x:v>4</x:v>
      </x:c>
      <x:c r="F458" s="90" t="n">
        <x:f>IF(E458=0,"",AVERAGE('14_W0_pH'!B36,'14_W0_pH'!D36,'14_W0_pH'!F36,'14_W0_pH'!H36))</x:f>
        <x:v>6.425000000000001</x:v>
      </x:c>
      <x:c r="G458" s="90" t="n">
        <x:f>IF(E458&lt;2,"",STDEV.S('14_W0_pH'!B36,'14_W0_pH'!D36,'14_W0_pH'!F36,'14_W0_pH'!H36))</x:f>
        <x:v>0.08660254037844381</x:v>
      </x:c>
      <x:c r="H458" s="90" t="n">
        <x:f>IF(E458=0,"",MIN('14_W0_pH'!B36,'14_W0_pH'!D36,'14_W0_pH'!F36,'14_W0_pH'!H36))</x:f>
        <x:v>6.32</x:v>
      </x:c>
      <x:c r="I458" s="90" t="n">
        <x:f>IF(E458=0,"",MAX('14_W0_pH'!B36,'14_W0_pH'!D36,'14_W0_pH'!F36,'14_W0_pH'!H36))</x:f>
        <x:v>6.51</x:v>
      </x:c>
      <x:c r="J458" s="32" t="str"/>
    </x:row>
    <x:row r="459">
      <x:c r="A459" s="72" t="n">
        <x:v>46240.91033564815</x:v>
      </x:c>
      <x:c r="B459" s="32" t="str">
        <x:v>土壤pH</x:v>
      </x:c>
      <x:c r="C459" s="32" t="str">
        <x:v>W0</x:v>
      </x:c>
      <x:c r="D459" s="32" t="str">
        <x:v>V2</x:v>
      </x:c>
      <x:c r="E459" s="86" t="n">
        <x:f>COUNT('14_W0_pH'!C36,'14_W0_pH'!E36,'14_W0_pH'!G36,'14_W0_pH'!I36)</x:f>
        <x:v>4</x:v>
      </x:c>
      <x:c r="F459" s="90" t="n">
        <x:f>IF(E459=0,"",AVERAGE('14_W0_pH'!C36,'14_W0_pH'!E36,'14_W0_pH'!G36,'14_W0_pH'!I36))</x:f>
        <x:v>6.415</x:v>
      </x:c>
      <x:c r="G459" s="90" t="n">
        <x:f>IF(E459&lt;2,"",STDEV.S('14_W0_pH'!C36,'14_W0_pH'!E36,'14_W0_pH'!G36,'14_W0_pH'!I36))</x:f>
        <x:v>0.09574271077563405</x:v>
      </x:c>
      <x:c r="H459" s="90" t="n">
        <x:f>IF(E459=0,"",MIN('14_W0_pH'!C36,'14_W0_pH'!E36,'14_W0_pH'!G36,'14_W0_pH'!I36))</x:f>
        <x:v>6.31</x:v>
      </x:c>
      <x:c r="I459" s="90" t="n">
        <x:f>IF(E459=0,"",MAX('14_W0_pH'!C36,'14_W0_pH'!E36,'14_W0_pH'!G36,'14_W0_pH'!I36))</x:f>
        <x:v>6.53</x:v>
      </x:c>
      <x:c r="J459" s="32" t="str"/>
    </x:row>
    <x:row r="460">
      <x:c r="A460" s="72" t="n">
        <x:v>46240.91380787037</x:v>
      </x:c>
      <x:c r="B460" s="32" t="str">
        <x:v>土壤pH</x:v>
      </x:c>
      <x:c r="C460" s="32" t="str">
        <x:v>W0</x:v>
      </x:c>
      <x:c r="D460" s="32" t="str">
        <x:v>V1</x:v>
      </x:c>
      <x:c r="E460" s="86" t="n">
        <x:f>COUNT('14_W0_pH'!B37,'14_W0_pH'!D37,'14_W0_pH'!F37,'14_W0_pH'!H37)</x:f>
        <x:v>4</x:v>
      </x:c>
      <x:c r="F460" s="90" t="n">
        <x:f>IF(E460=0,"",AVERAGE('14_W0_pH'!B37,'14_W0_pH'!D37,'14_W0_pH'!F37,'14_W0_pH'!H37))</x:f>
        <x:v>6.422499999999999</x:v>
      </x:c>
      <x:c r="G460" s="90" t="n">
        <x:f>IF(E460&lt;2,"",STDEV.S('14_W0_pH'!B37,'14_W0_pH'!D37,'14_W0_pH'!F37,'14_W0_pH'!H37))</x:f>
        <x:v>0.0895823643358443</x:v>
      </x:c>
      <x:c r="H460" s="90" t="n">
        <x:f>IF(E460=0,"",MIN('14_W0_pH'!B37,'14_W0_pH'!D37,'14_W0_pH'!F37,'14_W0_pH'!H37))</x:f>
        <x:v>6.32</x:v>
      </x:c>
      <x:c r="I460" s="90" t="n">
        <x:f>IF(E460=0,"",MAX('14_W0_pH'!B37,'14_W0_pH'!D37,'14_W0_pH'!F37,'14_W0_pH'!H37))</x:f>
        <x:v>6.52</x:v>
      </x:c>
      <x:c r="J460" s="32" t="str"/>
    </x:row>
    <x:row r="461">
      <x:c r="A461" s="72" t="n">
        <x:v>46240.91380787037</x:v>
      </x:c>
      <x:c r="B461" s="32" t="str">
        <x:v>土壤pH</x:v>
      </x:c>
      <x:c r="C461" s="32" t="str">
        <x:v>W0</x:v>
      </x:c>
      <x:c r="D461" s="32" t="str">
        <x:v>V2</x:v>
      </x:c>
      <x:c r="E461" s="86" t="n">
        <x:f>COUNT('14_W0_pH'!C37,'14_W0_pH'!E37,'14_W0_pH'!G37,'14_W0_pH'!I37)</x:f>
        <x:v>4</x:v>
      </x:c>
      <x:c r="F461" s="90" t="n">
        <x:f>IF(E461=0,"",AVERAGE('14_W0_pH'!C37,'14_W0_pH'!E37,'14_W0_pH'!G37,'14_W0_pH'!I37))</x:f>
        <x:v>6.4125</x:v>
      </x:c>
      <x:c r="G461" s="90" t="n">
        <x:f>IF(E461&lt;2,"",STDEV.S('14_W0_pH'!C37,'14_W0_pH'!E37,'14_W0_pH'!G37,'14_W0_pH'!I37))</x:f>
        <x:v>0.09464847243000482</x:v>
      </x:c>
      <x:c r="H461" s="90" t="n">
        <x:f>IF(E461=0,"",MIN('14_W0_pH'!C37,'14_W0_pH'!E37,'14_W0_pH'!G37,'14_W0_pH'!I37))</x:f>
        <x:v>6.31</x:v>
      </x:c>
      <x:c r="I461" s="90" t="n">
        <x:f>IF(E461=0,"",MAX('14_W0_pH'!C37,'14_W0_pH'!E37,'14_W0_pH'!G37,'14_W0_pH'!I37))</x:f>
        <x:v>6.53</x:v>
      </x:c>
      <x:c r="J461" s="32" t="str"/>
    </x:row>
    <x:row r="462">
      <x:c r="A462" s="72" t="n">
        <x:v>46240.917280092595</x:v>
      </x:c>
      <x:c r="B462" s="32" t="str">
        <x:v>土壤pH</x:v>
      </x:c>
      <x:c r="C462" s="32" t="str">
        <x:v>W0</x:v>
      </x:c>
      <x:c r="D462" s="32" t="str">
        <x:v>V1</x:v>
      </x:c>
      <x:c r="E462" s="86" t="n">
        <x:f>COUNT('14_W0_pH'!B38,'14_W0_pH'!D38,'14_W0_pH'!F38,'14_W0_pH'!H38)</x:f>
        <x:v>4</x:v>
      </x:c>
      <x:c r="F462" s="90" t="n">
        <x:f>IF(E462=0,"",AVERAGE('14_W0_pH'!B38,'14_W0_pH'!D38,'14_W0_pH'!F38,'14_W0_pH'!H38))</x:f>
        <x:v>6.425</x:v>
      </x:c>
      <x:c r="G462" s="90" t="n">
        <x:f>IF(E462&lt;2,"",STDEV.S('14_W0_pH'!B38,'14_W0_pH'!D38,'14_W0_pH'!F38,'14_W0_pH'!H38))</x:f>
        <x:v>0.08582928793055801</x:v>
      </x:c>
      <x:c r="H462" s="90" t="n">
        <x:f>IF(E462=0,"",MIN('14_W0_pH'!B38,'14_W0_pH'!D38,'14_W0_pH'!F38,'14_W0_pH'!H38))</x:f>
        <x:v>6.33</x:v>
      </x:c>
      <x:c r="I462" s="90" t="n">
        <x:f>IF(E462=0,"",MAX('14_W0_pH'!B38,'14_W0_pH'!D38,'14_W0_pH'!F38,'14_W0_pH'!H38))</x:f>
        <x:v>6.52</x:v>
      </x:c>
      <x:c r="J462" s="32" t="str"/>
    </x:row>
    <x:row r="463">
      <x:c r="A463" s="72" t="n">
        <x:v>46240.917280092595</x:v>
      </x:c>
      <x:c r="B463" s="32" t="str">
        <x:v>土壤pH</x:v>
      </x:c>
      <x:c r="C463" s="32" t="str">
        <x:v>W0</x:v>
      </x:c>
      <x:c r="D463" s="32" t="str">
        <x:v>V2</x:v>
      </x:c>
      <x:c r="E463" s="86" t="n">
        <x:f>COUNT('14_W0_pH'!C38,'14_W0_pH'!E38,'14_W0_pH'!G38,'14_W0_pH'!I38)</x:f>
        <x:v>4</x:v>
      </x:c>
      <x:c r="F463" s="90" t="n">
        <x:f>IF(E463=0,"",AVERAGE('14_W0_pH'!C38,'14_W0_pH'!E38,'14_W0_pH'!G38,'14_W0_pH'!I38))</x:f>
        <x:v>6.41</x:v>
      </x:c>
      <x:c r="G463" s="90" t="n">
        <x:f>IF(E463&lt;2,"",STDEV.S('14_W0_pH'!C38,'14_W0_pH'!E38,'14_W0_pH'!G38,'14_W0_pH'!I38))</x:f>
        <x:v>0.08602325267042595</x:v>
      </x:c>
      <x:c r="H463" s="90" t="n">
        <x:f>IF(E463=0,"",MIN('14_W0_pH'!C38,'14_W0_pH'!E38,'14_W0_pH'!G38,'14_W0_pH'!I38))</x:f>
        <x:v>6.32</x:v>
      </x:c>
      <x:c r="I463" s="90" t="n">
        <x:f>IF(E463=0,"",MAX('14_W0_pH'!C38,'14_W0_pH'!E38,'14_W0_pH'!G38,'14_W0_pH'!I38))</x:f>
        <x:v>6.52</x:v>
      </x:c>
      <x:c r="J463" s="32" t="str"/>
    </x:row>
    <x:row r="464">
      <x:c r="A464" s="72" t="n">
        <x:v>46240.920752314814</x:v>
      </x:c>
      <x:c r="B464" s="32" t="str">
        <x:v>土壤pH</x:v>
      </x:c>
      <x:c r="C464" s="32" t="str">
        <x:v>W0</x:v>
      </x:c>
      <x:c r="D464" s="32" t="str">
        <x:v>V1</x:v>
      </x:c>
      <x:c r="E464" s="86" t="n">
        <x:f>COUNT('14_W0_pH'!B39,'14_W0_pH'!D39,'14_W0_pH'!F39,'14_W0_pH'!H39)</x:f>
        <x:v>4</x:v>
      </x:c>
      <x:c r="F464" s="90" t="n">
        <x:f>IF(E464=0,"",AVERAGE('14_W0_pH'!B39,'14_W0_pH'!D39,'14_W0_pH'!F39,'14_W0_pH'!H39))</x:f>
        <x:v>6.4225</x:v>
      </x:c>
      <x:c r="G464" s="90" t="n">
        <x:f>IF(E464&lt;2,"",STDEV.S('14_W0_pH'!B39,'14_W0_pH'!D39,'14_W0_pH'!F39,'14_W0_pH'!H39))</x:f>
        <x:v>0.08995369179009095</x:v>
      </x:c>
      <x:c r="H464" s="90" t="n">
        <x:f>IF(E464=0,"",MIN('14_W0_pH'!B39,'14_W0_pH'!D39,'14_W0_pH'!F39,'14_W0_pH'!H39))</x:f>
        <x:v>6.33</x:v>
      </x:c>
      <x:c r="I464" s="90" t="n">
        <x:f>IF(E464=0,"",MAX('14_W0_pH'!B39,'14_W0_pH'!D39,'14_W0_pH'!F39,'14_W0_pH'!H39))</x:f>
        <x:v>6.53</x:v>
      </x:c>
      <x:c r="J464" s="32" t="str"/>
    </x:row>
    <x:row r="465">
      <x:c r="A465" s="72" t="n">
        <x:v>46240.920752314814</x:v>
      </x:c>
      <x:c r="B465" s="32" t="str">
        <x:v>土壤pH</x:v>
      </x:c>
      <x:c r="C465" s="32" t="str">
        <x:v>W0</x:v>
      </x:c>
      <x:c r="D465" s="32" t="str">
        <x:v>V2</x:v>
      </x:c>
      <x:c r="E465" s="86" t="n">
        <x:f>COUNT('14_W0_pH'!C39,'14_W0_pH'!E39,'14_W0_pH'!G39,'14_W0_pH'!I39)</x:f>
        <x:v>4</x:v>
      </x:c>
      <x:c r="F465" s="90" t="n">
        <x:f>IF(E465=0,"",AVERAGE('14_W0_pH'!C39,'14_W0_pH'!E39,'14_W0_pH'!G39,'14_W0_pH'!I39))</x:f>
        <x:v>6.4125</x:v>
      </x:c>
      <x:c r="G465" s="90" t="n">
        <x:f>IF(E465&lt;2,"",STDEV.S('14_W0_pH'!C39,'14_W0_pH'!E39,'14_W0_pH'!G39,'14_W0_pH'!I39))</x:f>
        <x:v>0.08460693430998008</x:v>
      </x:c>
      <x:c r="H465" s="90" t="n">
        <x:f>IF(E465=0,"",MIN('14_W0_pH'!C39,'14_W0_pH'!E39,'14_W0_pH'!G39,'14_W0_pH'!I39))</x:f>
        <x:v>6.32</x:v>
      </x:c>
      <x:c r="I465" s="90" t="n">
        <x:f>IF(E465=0,"",MAX('14_W0_pH'!C39,'14_W0_pH'!E39,'14_W0_pH'!G39,'14_W0_pH'!I39))</x:f>
        <x:v>6.52</x:v>
      </x:c>
      <x:c r="J465" s="32" t="str"/>
    </x:row>
    <x:row r="466">
      <x:c r="A466" s="72" t="n">
        <x:v>46240.92422453704</x:v>
      </x:c>
      <x:c r="B466" s="32" t="str">
        <x:v>土壤pH</x:v>
      </x:c>
      <x:c r="C466" s="32" t="str">
        <x:v>W0</x:v>
      </x:c>
      <x:c r="D466" s="32" t="str">
        <x:v>V1</x:v>
      </x:c>
      <x:c r="E466" s="86" t="n">
        <x:f>COUNT('14_W0_pH'!B40,'14_W0_pH'!D40,'14_W0_pH'!F40,'14_W0_pH'!H40)</x:f>
        <x:v>4</x:v>
      </x:c>
      <x:c r="F466" s="90" t="n">
        <x:f>IF(E466=0,"",AVERAGE('14_W0_pH'!B40,'14_W0_pH'!D40,'14_W0_pH'!F40,'14_W0_pH'!H40))</x:f>
        <x:v>6.425000000000001</x:v>
      </x:c>
      <x:c r="G466" s="90" t="n">
        <x:f>IF(E466&lt;2,"",STDEV.S('14_W0_pH'!B40,'14_W0_pH'!D40,'14_W0_pH'!F40,'14_W0_pH'!H40))</x:f>
        <x:v>0.08660254037844399</x:v>
      </x:c>
      <x:c r="H466" s="90" t="n">
        <x:f>IF(E466=0,"",MIN('14_W0_pH'!B40,'14_W0_pH'!D40,'14_W0_pH'!F40,'14_W0_pH'!H40))</x:f>
        <x:v>6.34</x:v>
      </x:c>
      <x:c r="I466" s="90" t="n">
        <x:f>IF(E466=0,"",MAX('14_W0_pH'!B40,'14_W0_pH'!D40,'14_W0_pH'!F40,'14_W0_pH'!H40))</x:f>
        <x:v>6.53</x:v>
      </x:c>
      <x:c r="J466" s="32" t="str"/>
    </x:row>
    <x:row r="467">
      <x:c r="A467" s="72" t="n">
        <x:v>46240.92422453704</x:v>
      </x:c>
      <x:c r="B467" s="32" t="str">
        <x:v>土壤pH</x:v>
      </x:c>
      <x:c r="C467" s="32" t="str">
        <x:v>W0</x:v>
      </x:c>
      <x:c r="D467" s="32" t="str">
        <x:v>V2</x:v>
      </x:c>
      <x:c r="E467" s="86" t="n">
        <x:f>COUNT('14_W0_pH'!C40,'14_W0_pH'!E40,'14_W0_pH'!G40,'14_W0_pH'!I40)</x:f>
        <x:v>4</x:v>
      </x:c>
      <x:c r="F467" s="90" t="n">
        <x:f>IF(E467=0,"",AVERAGE('14_W0_pH'!C40,'14_W0_pH'!E40,'14_W0_pH'!G40,'14_W0_pH'!I40))</x:f>
        <x:v>6.41</x:v>
      </x:c>
      <x:c r="G467" s="90" t="n">
        <x:f>IF(E467&lt;2,"",STDEV.S('14_W0_pH'!C40,'14_W0_pH'!E40,'14_W0_pH'!G40,'14_W0_pH'!I40))</x:f>
        <x:v>0.07615773105863897</x:v>
      </x:c>
      <x:c r="H467" s="90" t="n">
        <x:f>IF(E467=0,"",MIN('14_W0_pH'!C40,'14_W0_pH'!E40,'14_W0_pH'!G40,'14_W0_pH'!I40))</x:f>
        <x:v>6.33</x:v>
      </x:c>
      <x:c r="I467" s="90" t="n">
        <x:f>IF(E467=0,"",MAX('14_W0_pH'!C40,'14_W0_pH'!E40,'14_W0_pH'!G40,'14_W0_pH'!I40))</x:f>
        <x:v>6.51</x:v>
      </x:c>
      <x:c r="J467" s="32" t="str"/>
    </x:row>
    <x:row r="468">
      <x:c r="A468" s="72" t="n">
        <x:v>46240.92769675926</x:v>
      </x:c>
      <x:c r="B468" s="32" t="str">
        <x:v>土壤pH</x:v>
      </x:c>
      <x:c r="C468" s="32" t="str">
        <x:v>W0</x:v>
      </x:c>
      <x:c r="D468" s="32" t="str">
        <x:v>V1</x:v>
      </x:c>
      <x:c r="E468" s="86" t="n">
        <x:f>COUNT('14_W0_pH'!B41,'14_W0_pH'!D41,'14_W0_pH'!F41,'14_W0_pH'!H41)</x:f>
        <x:v>4</x:v>
      </x:c>
      <x:c r="F468" s="90" t="n">
        <x:f>IF(E468=0,"",AVERAGE('14_W0_pH'!B41,'14_W0_pH'!D41,'14_W0_pH'!F41,'14_W0_pH'!H41))</x:f>
        <x:v>6.425</x:v>
      </x:c>
      <x:c r="G468" s="90" t="n">
        <x:f>IF(E468&lt;2,"",STDEV.S('14_W0_pH'!B41,'14_W0_pH'!D41,'14_W0_pH'!F41,'14_W0_pH'!H41))</x:f>
        <x:v>0.08225975119502064</x:v>
      </x:c>
      <x:c r="H468" s="90" t="n">
        <x:f>IF(E468=0,"",MIN('14_W0_pH'!B41,'14_W0_pH'!D41,'14_W0_pH'!F41,'14_W0_pH'!H41))</x:f>
        <x:v>6.35</x:v>
      </x:c>
      <x:c r="I468" s="90" t="n">
        <x:f>IF(E468=0,"",MAX('14_W0_pH'!B41,'14_W0_pH'!D41,'14_W0_pH'!F41,'14_W0_pH'!H41))</x:f>
        <x:v>6.53</x:v>
      </x:c>
      <x:c r="J468" s="32" t="str"/>
    </x:row>
    <x:row r="469">
      <x:c r="A469" s="72" t="n">
        <x:v>46240.92769675926</x:v>
      </x:c>
      <x:c r="B469" s="32" t="str">
        <x:v>土壤pH</x:v>
      </x:c>
      <x:c r="C469" s="32" t="str">
        <x:v>W0</x:v>
      </x:c>
      <x:c r="D469" s="32" t="str">
        <x:v>V2</x:v>
      </x:c>
      <x:c r="E469" s="86" t="n">
        <x:f>COUNT('14_W0_pH'!C41,'14_W0_pH'!E41,'14_W0_pH'!G41,'14_W0_pH'!I41)</x:f>
        <x:v>4</x:v>
      </x:c>
      <x:c r="F469" s="90" t="n">
        <x:f>IF(E469=0,"",AVERAGE('14_W0_pH'!C41,'14_W0_pH'!E41,'14_W0_pH'!G41,'14_W0_pH'!I41))</x:f>
        <x:v>6.4125</x:v>
      </x:c>
      <x:c r="G469" s="90" t="n">
        <x:f>IF(E469&lt;2,"",STDEV.S('14_W0_pH'!C41,'14_W0_pH'!E41,'14_W0_pH'!G41,'14_W0_pH'!I41))</x:f>
        <x:v>0.07499999999999991</x:v>
      </x:c>
      <x:c r="H469" s="90" t="n">
        <x:f>IF(E469=0,"",MIN('14_W0_pH'!C41,'14_W0_pH'!E41,'14_W0_pH'!G41,'14_W0_pH'!I41))</x:f>
        <x:v>6.33</x:v>
      </x:c>
      <x:c r="I469" s="90" t="n">
        <x:f>IF(E469=0,"",MAX('14_W0_pH'!C41,'14_W0_pH'!E41,'14_W0_pH'!G41,'14_W0_pH'!I41))</x:f>
        <x:v>6.51</x:v>
      </x:c>
      <x:c r="J469" s="32" t="str"/>
    </x:row>
    <x:row r="470">
      <x:c r="A470" s="72" t="n">
        <x:v>46240.93116898148</x:v>
      </x:c>
      <x:c r="B470" s="32" t="str">
        <x:v>土壤pH</x:v>
      </x:c>
      <x:c r="C470" s="32" t="str">
        <x:v>W0</x:v>
      </x:c>
      <x:c r="D470" s="32" t="str">
        <x:v>V1</x:v>
      </x:c>
      <x:c r="E470" s="86" t="n">
        <x:f>COUNT('14_W0_pH'!B42,'14_W0_pH'!D42,'14_W0_pH'!F42,'14_W0_pH'!H42)</x:f>
        <x:v>4</x:v>
      </x:c>
      <x:c r="F470" s="90" t="n">
        <x:f>IF(E470=0,"",AVERAGE('14_W0_pH'!B42,'14_W0_pH'!D42,'14_W0_pH'!F42,'14_W0_pH'!H42))</x:f>
        <x:v>6.4225</x:v>
      </x:c>
      <x:c r="G470" s="90" t="n">
        <x:f>IF(E470&lt;2,"",STDEV.S('14_W0_pH'!B42,'14_W0_pH'!D42,'14_W0_pH'!F42,'14_W0_pH'!H42))</x:f>
        <x:v>0.08139410298049876</x:v>
      </x:c>
      <x:c r="H470" s="90" t="n">
        <x:f>IF(E470=0,"",MIN('14_W0_pH'!B42,'14_W0_pH'!D42,'14_W0_pH'!F42,'14_W0_pH'!H42))</x:f>
        <x:v>6.35</x:v>
      </x:c>
      <x:c r="I470" s="90" t="n">
        <x:f>IF(E470=0,"",MAX('14_W0_pH'!B42,'14_W0_pH'!D42,'14_W0_pH'!F42,'14_W0_pH'!H42))</x:f>
        <x:v>6.53</x:v>
      </x:c>
      <x:c r="J470" s="32" t="str"/>
    </x:row>
    <x:row r="471">
      <x:c r="A471" s="72" t="n">
        <x:v>46240.93116898148</x:v>
      </x:c>
      <x:c r="B471" s="32" t="str">
        <x:v>土壤pH</x:v>
      </x:c>
      <x:c r="C471" s="32" t="str">
        <x:v>W0</x:v>
      </x:c>
      <x:c r="D471" s="32" t="str">
        <x:v>V2</x:v>
      </x:c>
      <x:c r="E471" s="86" t="n">
        <x:f>COUNT('14_W0_pH'!C42,'14_W0_pH'!E42,'14_W0_pH'!G42,'14_W0_pH'!I42)</x:f>
        <x:v>4</x:v>
      </x:c>
      <x:c r="F471" s="90" t="n">
        <x:f>IF(E471=0,"",AVERAGE('14_W0_pH'!C42,'14_W0_pH'!E42,'14_W0_pH'!G42,'14_W0_pH'!I42))</x:f>
        <x:v>6.4125</x:v>
      </x:c>
      <x:c r="G471" s="90" t="n">
        <x:f>IF(E471&lt;2,"",STDEV.S('14_W0_pH'!C42,'14_W0_pH'!E42,'14_W0_pH'!G42,'14_W0_pH'!I42))</x:f>
        <x:v>0.06994045086119091</x:v>
      </x:c>
      <x:c r="H471" s="90" t="n">
        <x:f>IF(E471=0,"",MIN('14_W0_pH'!C42,'14_W0_pH'!E42,'14_W0_pH'!G42,'14_W0_pH'!I42))</x:f>
        <x:v>6.33</x:v>
      </x:c>
      <x:c r="I471" s="90" t="n">
        <x:f>IF(E471=0,"",MAX('14_W0_pH'!C42,'14_W0_pH'!E42,'14_W0_pH'!G42,'14_W0_pH'!I42))</x:f>
        <x:v>6.5</x:v>
      </x:c>
      <x:c r="J471" s="32" t="str"/>
    </x:row>
    <x:row r="472">
      <x:c r="A472" s="72" t="n">
        <x:v>46240.934641203705</x:v>
      </x:c>
      <x:c r="B472" s="32" t="str">
        <x:v>土壤pH</x:v>
      </x:c>
      <x:c r="C472" s="32" t="str">
        <x:v>W0</x:v>
      </x:c>
      <x:c r="D472" s="32" t="str">
        <x:v>V1</x:v>
      </x:c>
      <x:c r="E472" s="86" t="n">
        <x:f>COUNT('14_W0_pH'!B43,'14_W0_pH'!D43,'14_W0_pH'!F43,'14_W0_pH'!H43)</x:f>
        <x:v>4</x:v>
      </x:c>
      <x:c r="F472" s="90" t="n">
        <x:f>IF(E472=0,"",AVERAGE('14_W0_pH'!B43,'14_W0_pH'!D43,'14_W0_pH'!F43,'14_W0_pH'!H43))</x:f>
        <x:v>6.42</x:v>
      </x:c>
      <x:c r="G472" s="90" t="n">
        <x:f>IF(E472&lt;2,"",STDEV.S('14_W0_pH'!B43,'14_W0_pH'!D43,'14_W0_pH'!F43,'14_W0_pH'!H43))</x:f>
        <x:v>0.07348469228349502</x:v>
      </x:c>
      <x:c r="H472" s="90" t="n">
        <x:f>IF(E472=0,"",MIN('14_W0_pH'!B43,'14_W0_pH'!D43,'14_W0_pH'!F43,'14_W0_pH'!H43))</x:f>
        <x:v>6.36</x:v>
      </x:c>
      <x:c r="I472" s="90" t="n">
        <x:f>IF(E472=0,"",MAX('14_W0_pH'!B43,'14_W0_pH'!D43,'14_W0_pH'!F43,'14_W0_pH'!H43))</x:f>
        <x:v>6.52</x:v>
      </x:c>
      <x:c r="J472" s="32" t="str"/>
    </x:row>
    <x:row r="473">
      <x:c r="A473" s="72" t="n">
        <x:v>46240.934641203705</x:v>
      </x:c>
      <x:c r="B473" s="32" t="str">
        <x:v>土壤pH</x:v>
      </x:c>
      <x:c r="C473" s="32" t="str">
        <x:v>W0</x:v>
      </x:c>
      <x:c r="D473" s="32" t="str">
        <x:v>V2</x:v>
      </x:c>
      <x:c r="E473" s="86" t="n">
        <x:f>COUNT('14_W0_pH'!C43,'14_W0_pH'!E43,'14_W0_pH'!G43,'14_W0_pH'!I43)</x:f>
        <x:v>4</x:v>
      </x:c>
      <x:c r="F473" s="90" t="n">
        <x:f>IF(E473=0,"",AVERAGE('14_W0_pH'!C43,'14_W0_pH'!E43,'14_W0_pH'!G43,'14_W0_pH'!I43))</x:f>
        <x:v>6.41</x:v>
      </x:c>
      <x:c r="G473" s="90" t="n">
        <x:f>IF(E473&lt;2,"",STDEV.S('14_W0_pH'!C43,'14_W0_pH'!E43,'14_W0_pH'!G43,'14_W0_pH'!I43))</x:f>
        <x:v>0.06582805886043837</x:v>
      </x:c>
      <x:c r="H473" s="90" t="n">
        <x:f>IF(E473=0,"",MIN('14_W0_pH'!C43,'14_W0_pH'!E43,'14_W0_pH'!G43,'14_W0_pH'!I43))</x:f>
        <x:v>6.33</x:v>
      </x:c>
      <x:c r="I473" s="90" t="n">
        <x:f>IF(E473=0,"",MAX('14_W0_pH'!C43,'14_W0_pH'!E43,'14_W0_pH'!G43,'14_W0_pH'!I43))</x:f>
        <x:v>6.49</x:v>
      </x:c>
      <x:c r="J473" s="32" t="str"/>
    </x:row>
    <x:row r="474">
      <x:c r="A474" s="72" t="n">
        <x:v>46240.938113425924</x:v>
      </x:c>
      <x:c r="B474" s="32" t="str">
        <x:v>土壤pH</x:v>
      </x:c>
      <x:c r="C474" s="32" t="str">
        <x:v>W0</x:v>
      </x:c>
      <x:c r="D474" s="32" t="str">
        <x:v>V1</x:v>
      </x:c>
      <x:c r="E474" s="86" t="n">
        <x:f>COUNT('14_W0_pH'!B44,'14_W0_pH'!D44,'14_W0_pH'!F44,'14_W0_pH'!H44)</x:f>
        <x:v>4</x:v>
      </x:c>
      <x:c r="F474" s="90" t="n">
        <x:f>IF(E474=0,"",AVERAGE('14_W0_pH'!B44,'14_W0_pH'!D44,'14_W0_pH'!F44,'14_W0_pH'!H44))</x:f>
        <x:v>6.425</x:v>
      </x:c>
      <x:c r="G474" s="90" t="n">
        <x:f>IF(E474&lt;2,"",STDEV.S('14_W0_pH'!B44,'14_W0_pH'!D44,'14_W0_pH'!F44,'14_W0_pH'!H44))</x:f>
        <x:v>0.06855654600401023</x:v>
      </x:c>
      <x:c r="H474" s="90" t="n">
        <x:f>IF(E474=0,"",MIN('14_W0_pH'!B44,'14_W0_pH'!D44,'14_W0_pH'!F44,'14_W0_pH'!H44))</x:f>
        <x:v>6.37</x:v>
      </x:c>
      <x:c r="I474" s="90" t="n">
        <x:f>IF(E474=0,"",MAX('14_W0_pH'!B44,'14_W0_pH'!D44,'14_W0_pH'!F44,'14_W0_pH'!H44))</x:f>
        <x:v>6.52</x:v>
      </x:c>
      <x:c r="J474" s="32" t="str"/>
    </x:row>
    <x:row r="475">
      <x:c r="A475" s="72" t="n">
        <x:v>46240.938113425924</x:v>
      </x:c>
      <x:c r="B475" s="32" t="str">
        <x:v>土壤pH</x:v>
      </x:c>
      <x:c r="C475" s="32" t="str">
        <x:v>W0</x:v>
      </x:c>
      <x:c r="D475" s="32" t="str">
        <x:v>V2</x:v>
      </x:c>
      <x:c r="E475" s="86" t="n">
        <x:f>COUNT('14_W0_pH'!C44,'14_W0_pH'!E44,'14_W0_pH'!G44,'14_W0_pH'!I44)</x:f>
        <x:v>4</x:v>
      </x:c>
      <x:c r="F475" s="90" t="n">
        <x:f>IF(E475=0,"",AVERAGE('14_W0_pH'!C44,'14_W0_pH'!E44,'14_W0_pH'!G44,'14_W0_pH'!I44))</x:f>
        <x:v>6.407500000000001</x:v>
      </x:c>
      <x:c r="G475" s="90" t="n">
        <x:f>IF(E475&lt;2,"",STDEV.S('14_W0_pH'!C44,'14_W0_pH'!E44,'14_W0_pH'!G44,'14_W0_pH'!I44))</x:f>
        <x:v>0.0660176744011279</x:v>
      </x:c>
      <x:c r="H475" s="90" t="n">
        <x:f>IF(E475=0,"",MIN('14_W0_pH'!C44,'14_W0_pH'!E44,'14_W0_pH'!G44,'14_W0_pH'!I44))</x:f>
        <x:v>6.32</x:v>
      </x:c>
      <x:c r="I475" s="90" t="n">
        <x:f>IF(E475=0,"",MAX('14_W0_pH'!C44,'14_W0_pH'!E44,'14_W0_pH'!G44,'14_W0_pH'!I44))</x:f>
        <x:v>6.48</x:v>
      </x:c>
      <x:c r="J475" s="32" t="str"/>
    </x:row>
    <x:row r="476">
      <x:c r="A476" s="72" t="n">
        <x:v>46240.94158564815</x:v>
      </x:c>
      <x:c r="B476" s="32" t="str">
        <x:v>土壤pH</x:v>
      </x:c>
      <x:c r="C476" s="32" t="str">
        <x:v>W0</x:v>
      </x:c>
      <x:c r="D476" s="32" t="str">
        <x:v>V1</x:v>
      </x:c>
      <x:c r="E476" s="86" t="n">
        <x:f>COUNT('14_W0_pH'!B45,'14_W0_pH'!D45,'14_W0_pH'!F45,'14_W0_pH'!H45)</x:f>
        <x:v>4</x:v>
      </x:c>
      <x:c r="F476" s="90" t="n">
        <x:f>IF(E476=0,"",AVERAGE('14_W0_pH'!B45,'14_W0_pH'!D45,'14_W0_pH'!F45,'14_W0_pH'!H45))</x:f>
        <x:v>6.42</x:v>
      </x:c>
      <x:c r="G476" s="90" t="n">
        <x:f>IF(E476&lt;2,"",STDEV.S('14_W0_pH'!B45,'14_W0_pH'!D45,'14_W0_pH'!F45,'14_W0_pH'!H45))</x:f>
        <x:v>0.06377042156569654</x:v>
      </x:c>
      <x:c r="H476" s="90" t="n">
        <x:f>IF(E476=0,"",MIN('14_W0_pH'!B45,'14_W0_pH'!D45,'14_W0_pH'!F45,'14_W0_pH'!H45))</x:f>
        <x:v>6.37</x:v>
      </x:c>
      <x:c r="I476" s="90" t="n">
        <x:f>IF(E476=0,"",MAX('14_W0_pH'!B45,'14_W0_pH'!D45,'14_W0_pH'!F45,'14_W0_pH'!H45))</x:f>
        <x:v>6.51</x:v>
      </x:c>
      <x:c r="J476" s="32" t="str"/>
    </x:row>
    <x:row r="477">
      <x:c r="A477" s="72" t="n">
        <x:v>46240.94158564815</x:v>
      </x:c>
      <x:c r="B477" s="32" t="str">
        <x:v>土壤pH</x:v>
      </x:c>
      <x:c r="C477" s="32" t="str">
        <x:v>W0</x:v>
      </x:c>
      <x:c r="D477" s="32" t="str">
        <x:v>V2</x:v>
      </x:c>
      <x:c r="E477" s="86" t="n">
        <x:f>COUNT('14_W0_pH'!C45,'14_W0_pH'!E45,'14_W0_pH'!G45,'14_W0_pH'!I45)</x:f>
        <x:v>4</x:v>
      </x:c>
      <x:c r="F477" s="90" t="n">
        <x:f>IF(E477=0,"",AVERAGE('14_W0_pH'!C45,'14_W0_pH'!E45,'14_W0_pH'!G45,'14_W0_pH'!I45))</x:f>
        <x:v>6.4125</x:v>
      </x:c>
      <x:c r="G477" s="90" t="n">
        <x:f>IF(E477&lt;2,"",STDEV.S('14_W0_pH'!C45,'14_W0_pH'!E45,'14_W0_pH'!G45,'14_W0_pH'!I45))</x:f>
        <x:v>0.06701989754294366</x:v>
      </x:c>
      <x:c r="H477" s="90" t="n">
        <x:f>IF(E477=0,"",MIN('14_W0_pH'!C45,'14_W0_pH'!E45,'14_W0_pH'!G45,'14_W0_pH'!I45))</x:f>
        <x:v>6.32</x:v>
      </x:c>
      <x:c r="I477" s="90" t="n">
        <x:f>IF(E477=0,"",MAX('14_W0_pH'!C45,'14_W0_pH'!E45,'14_W0_pH'!G45,'14_W0_pH'!I45))</x:f>
        <x:v>6.48</x:v>
      </x:c>
      <x:c r="J477" s="32" t="str"/>
    </x:row>
    <x:row r="478">
      <x:c r="A478" s="72" t="n">
        <x:v>46240.94505787037</x:v>
      </x:c>
      <x:c r="B478" s="32" t="str">
        <x:v>土壤pH</x:v>
      </x:c>
      <x:c r="C478" s="32" t="str">
        <x:v>W0</x:v>
      </x:c>
      <x:c r="D478" s="32" t="str">
        <x:v>V1</x:v>
      </x:c>
      <x:c r="E478" s="86" t="n">
        <x:f>COUNT('14_W0_pH'!B46,'14_W0_pH'!D46,'14_W0_pH'!F46,'14_W0_pH'!H46)</x:f>
        <x:v>4</x:v>
      </x:c>
      <x:c r="F478" s="90" t="n">
        <x:f>IF(E478=0,"",AVERAGE('14_W0_pH'!B46,'14_W0_pH'!D46,'14_W0_pH'!F46,'14_W0_pH'!H46))</x:f>
        <x:v>6.424999999999999</x:v>
      </x:c>
      <x:c r="G478" s="90" t="n">
        <x:f>IF(E478&lt;2,"",STDEV.S('14_W0_pH'!B46,'14_W0_pH'!D46,'14_W0_pH'!F46,'14_W0_pH'!H46))</x:f>
        <x:v>0.059160797830996155</x:v>
      </x:c>
      <x:c r="H478" s="90" t="n">
        <x:f>IF(E478=0,"",MIN('14_W0_pH'!B46,'14_W0_pH'!D46,'14_W0_pH'!F46,'14_W0_pH'!H46))</x:f>
        <x:v>6.38</x:v>
      </x:c>
      <x:c r="I478" s="90" t="n">
        <x:f>IF(E478=0,"",MAX('14_W0_pH'!B46,'14_W0_pH'!D46,'14_W0_pH'!F46,'14_W0_pH'!H46))</x:f>
        <x:v>6.51</x:v>
      </x:c>
      <x:c r="J478" s="32" t="str"/>
    </x:row>
    <x:row r="479">
      <x:c r="A479" s="72" t="n">
        <x:v>46240.94505787037</x:v>
      </x:c>
      <x:c r="B479" s="32" t="str">
        <x:v>土壤pH</x:v>
      </x:c>
      <x:c r="C479" s="32" t="str">
        <x:v>W0</x:v>
      </x:c>
      <x:c r="D479" s="32" t="str">
        <x:v>V2</x:v>
      </x:c>
      <x:c r="E479" s="86" t="n">
        <x:f>COUNT('14_W0_pH'!C46,'14_W0_pH'!E46,'14_W0_pH'!G46,'14_W0_pH'!I46)</x:f>
        <x:v>4</x:v>
      </x:c>
      <x:c r="F479" s="90" t="n">
        <x:f>IF(E479=0,"",AVERAGE('14_W0_pH'!C46,'14_W0_pH'!E46,'14_W0_pH'!G46,'14_W0_pH'!I46))</x:f>
        <x:v>6.4075</x:v>
      </x:c>
      <x:c r="G479" s="90" t="n">
        <x:f>IF(E479&lt;2,"",STDEV.S('14_W0_pH'!C46,'14_W0_pH'!E46,'14_W0_pH'!G46,'14_W0_pH'!I46))</x:f>
        <x:v>0.06849574196011514</x:v>
      </x:c>
      <x:c r="H479" s="90" t="n">
        <x:f>IF(E479=0,"",MIN('14_W0_pH'!C46,'14_W0_pH'!E46,'14_W0_pH'!G46,'14_W0_pH'!I46))</x:f>
        <x:v>6.31</x:v>
      </x:c>
      <x:c r="I479" s="90" t="n">
        <x:f>IF(E479=0,"",MAX('14_W0_pH'!C46,'14_W0_pH'!E46,'14_W0_pH'!G46,'14_W0_pH'!I46))</x:f>
        <x:v>6.47</x:v>
      </x:c>
      <x:c r="J479" s="32" t="str"/>
    </x:row>
    <x:row r="480">
      <x:c r="A480" s="72" t="n">
        <x:v>46240.948530092595</x:v>
      </x:c>
      <x:c r="B480" s="32" t="str">
        <x:v>土壤pH</x:v>
      </x:c>
      <x:c r="C480" s="32" t="str">
        <x:v>W0</x:v>
      </x:c>
      <x:c r="D480" s="32" t="str">
        <x:v>V1</x:v>
      </x:c>
      <x:c r="E480" s="86" t="n">
        <x:f>COUNT('14_W0_pH'!B47,'14_W0_pH'!D47,'14_W0_pH'!F47,'14_W0_pH'!H47)</x:f>
        <x:v>4</x:v>
      </x:c>
      <x:c r="F480" s="90" t="n">
        <x:f>IF(E480=0,"",AVERAGE('14_W0_pH'!B47,'14_W0_pH'!D47,'14_W0_pH'!F47,'14_W0_pH'!H47))</x:f>
        <x:v>6.425000000000001</x:v>
      </x:c>
      <x:c r="G480" s="90" t="n">
        <x:f>IF(E480&lt;2,"",STDEV.S('14_W0_pH'!B47,'14_W0_pH'!D47,'14_W0_pH'!F47,'14_W0_pH'!H47))</x:f>
        <x:v>0.05259911279353164</x:v>
      </x:c>
      <x:c r="H480" s="90" t="n">
        <x:f>IF(E480=0,"",MIN('14_W0_pH'!B47,'14_W0_pH'!D47,'14_W0_pH'!F47,'14_W0_pH'!H47))</x:f>
        <x:v>6.38</x:v>
      </x:c>
      <x:c r="I480" s="90" t="n">
        <x:f>IF(E480=0,"",MAX('14_W0_pH'!B47,'14_W0_pH'!D47,'14_W0_pH'!F47,'14_W0_pH'!H47))</x:f>
        <x:v>6.5</x:v>
      </x:c>
      <x:c r="J480" s="32" t="str"/>
    </x:row>
    <x:row r="481">
      <x:c r="A481" s="72" t="n">
        <x:v>46240.948530092595</x:v>
      </x:c>
      <x:c r="B481" s="32" t="str">
        <x:v>土壤pH</x:v>
      </x:c>
      <x:c r="C481" s="32" t="str">
        <x:v>W0</x:v>
      </x:c>
      <x:c r="D481" s="32" t="str">
        <x:v>V2</x:v>
      </x:c>
      <x:c r="E481" s="86" t="n">
        <x:f>COUNT('14_W0_pH'!C47,'14_W0_pH'!E47,'14_W0_pH'!G47,'14_W0_pH'!I47)</x:f>
        <x:v>4</x:v>
      </x:c>
      <x:c r="F481" s="90" t="n">
        <x:f>IF(E481=0,"",AVERAGE('14_W0_pH'!C47,'14_W0_pH'!E47,'14_W0_pH'!G47,'14_W0_pH'!I47))</x:f>
        <x:v>6.4125</x:v>
      </x:c>
      <x:c r="G481" s="90" t="n">
        <x:f>IF(E481&lt;2,"",STDEV.S('14_W0_pH'!C47,'14_W0_pH'!E47,'14_W0_pH'!G47,'14_W0_pH'!I47))</x:f>
        <x:v>0.07041543391425883</x:v>
      </x:c>
      <x:c r="H481" s="90" t="n">
        <x:f>IF(E481=0,"",MIN('14_W0_pH'!C47,'14_W0_pH'!E47,'14_W0_pH'!G47,'14_W0_pH'!I47))</x:f>
        <x:v>6.31</x:v>
      </x:c>
      <x:c r="I481" s="90" t="n">
        <x:f>IF(E481=0,"",MAX('14_W0_pH'!C47,'14_W0_pH'!E47,'14_W0_pH'!G47,'14_W0_pH'!I47))</x:f>
        <x:v>6.47</x:v>
      </x:c>
      <x:c r="J481" s="32" t="str"/>
    </x:row>
    <x:row r="482">
      <x:c r="A482" s="72" t="n">
        <x:v>46240.952002314814</x:v>
      </x:c>
      <x:c r="B482" s="32" t="str">
        <x:v>土壤pH</x:v>
      </x:c>
      <x:c r="C482" s="32" t="str">
        <x:v>W0</x:v>
      </x:c>
      <x:c r="D482" s="32" t="str">
        <x:v>V1</x:v>
      </x:c>
      <x:c r="E482" s="86" t="n">
        <x:f>COUNT('14_W0_pH'!B48,'14_W0_pH'!D48,'14_W0_pH'!F48,'14_W0_pH'!H48)</x:f>
        <x:v>4</x:v>
      </x:c>
      <x:c r="F482" s="90" t="n">
        <x:f>IF(E482=0,"",AVERAGE('14_W0_pH'!B48,'14_W0_pH'!D48,'14_W0_pH'!F48,'14_W0_pH'!H48))</x:f>
        <x:v>6.422500000000001</x:v>
      </x:c>
      <x:c r="G482" s="90" t="n">
        <x:f>IF(E482&lt;2,"",STDEV.S('14_W0_pH'!B48,'14_W0_pH'!D48,'14_W0_pH'!F48,'14_W0_pH'!H48))</x:f>
        <x:v>0.047871355387816984</x:v>
      </x:c>
      <x:c r="H482" s="90" t="n">
        <x:f>IF(E482=0,"",MIN('14_W0_pH'!B48,'14_W0_pH'!D48,'14_W0_pH'!F48,'14_W0_pH'!H48))</x:f>
        <x:v>6.38</x:v>
      </x:c>
      <x:c r="I482" s="90" t="n">
        <x:f>IF(E482=0,"",MAX('14_W0_pH'!B48,'14_W0_pH'!D48,'14_W0_pH'!F48,'14_W0_pH'!H48))</x:f>
        <x:v>6.49</x:v>
      </x:c>
      <x:c r="J482" s="32" t="str"/>
    </x:row>
    <x:row r="483">
      <x:c r="A483" s="72" t="n">
        <x:v>46240.952002314814</x:v>
      </x:c>
      <x:c r="B483" s="32" t="str">
        <x:v>土壤pH</x:v>
      </x:c>
      <x:c r="C483" s="32" t="str">
        <x:v>W0</x:v>
      </x:c>
      <x:c r="D483" s="32" t="str">
        <x:v>V2</x:v>
      </x:c>
      <x:c r="E483" s="86" t="n">
        <x:f>COUNT('14_W0_pH'!C48,'14_W0_pH'!E48,'14_W0_pH'!G48,'14_W0_pH'!I48)</x:f>
        <x:v>4</x:v>
      </x:c>
      <x:c r="F483" s="90" t="n">
        <x:f>IF(E483=0,"",AVERAGE('14_W0_pH'!C48,'14_W0_pH'!E48,'14_W0_pH'!G48,'14_W0_pH'!I48))</x:f>
        <x:v>6.4125</x:v>
      </x:c>
      <x:c r="G483" s="90" t="n">
        <x:f>IF(E483&lt;2,"",STDEV.S('14_W0_pH'!C48,'14_W0_pH'!E48,'14_W0_pH'!G48,'14_W0_pH'!I48))</x:f>
        <x:v>0.07675719293112973</x:v>
      </x:c>
      <x:c r="H483" s="90" t="n">
        <x:f>IF(E483=0,"",MIN('14_W0_pH'!C48,'14_W0_pH'!E48,'14_W0_pH'!G48,'14_W0_pH'!I48))</x:f>
        <x:v>6.3</x:v>
      </x:c>
      <x:c r="I483" s="90" t="n">
        <x:f>IF(E483=0,"",MAX('14_W0_pH'!C48,'14_W0_pH'!E48,'14_W0_pH'!G48,'14_W0_pH'!I48))</x:f>
        <x:v>6.47</x:v>
      </x:c>
      <x:c r="J483" s="32" t="str"/>
    </x:row>
    <x:row r="484">
      <x:c r="A484" s="72" t="n">
        <x:v>46240.95547453704</x:v>
      </x:c>
      <x:c r="B484" s="32" t="str">
        <x:v>土壤pH</x:v>
      </x:c>
      <x:c r="C484" s="32" t="str">
        <x:v>W0</x:v>
      </x:c>
      <x:c r="D484" s="32" t="str">
        <x:v>V1</x:v>
      </x:c>
      <x:c r="E484" s="86" t="n">
        <x:f>COUNT('14_W0_pH'!B49,'14_W0_pH'!D49,'14_W0_pH'!F49,'14_W0_pH'!H49)</x:f>
        <x:v>4</x:v>
      </x:c>
      <x:c r="F484" s="90" t="n">
        <x:f>IF(E484=0,"",AVERAGE('14_W0_pH'!B49,'14_W0_pH'!D49,'14_W0_pH'!F49,'14_W0_pH'!H49))</x:f>
        <x:v>6.4225</x:v>
      </x:c>
      <x:c r="G484" s="90" t="n">
        <x:f>IF(E484&lt;2,"",STDEV.S('14_W0_pH'!B49,'14_W0_pH'!D49,'14_W0_pH'!F49,'14_W0_pH'!H49))</x:f>
        <x:v>0.04193248541803063</x:v>
      </x:c>
      <x:c r="H484" s="90" t="n">
        <x:f>IF(E484=0,"",MIN('14_W0_pH'!B49,'14_W0_pH'!D49,'14_W0_pH'!F49,'14_W0_pH'!H49))</x:f>
        <x:v>6.38</x:v>
      </x:c>
      <x:c r="I484" s="90" t="n">
        <x:f>IF(E484=0,"",MAX('14_W0_pH'!B49,'14_W0_pH'!D49,'14_W0_pH'!F49,'14_W0_pH'!H49))</x:f>
        <x:v>6.48</x:v>
      </x:c>
      <x:c r="J484" s="32" t="str"/>
    </x:row>
    <x:row r="485">
      <x:c r="A485" s="72" t="n">
        <x:v>46240.95547453704</x:v>
      </x:c>
      <x:c r="B485" s="32" t="str">
        <x:v>土壤pH</x:v>
      </x:c>
      <x:c r="C485" s="32" t="str">
        <x:v>W0</x:v>
      </x:c>
      <x:c r="D485" s="32" t="str">
        <x:v>V2</x:v>
      </x:c>
      <x:c r="E485" s="86" t="n">
        <x:f>COUNT('14_W0_pH'!C49,'14_W0_pH'!E49,'14_W0_pH'!G49,'14_W0_pH'!I49)</x:f>
        <x:v>4</x:v>
      </x:c>
      <x:c r="F485" s="90" t="n">
        <x:f>IF(E485=0,"",AVERAGE('14_W0_pH'!C49,'14_W0_pH'!E49,'14_W0_pH'!G49,'14_W0_pH'!I49))</x:f>
        <x:v>6.409999999999999</x:v>
      </x:c>
      <x:c r="G485" s="90" t="n">
        <x:f>IF(E485&lt;2,"",STDEV.S('14_W0_pH'!C49,'14_W0_pH'!E49,'14_W0_pH'!G49,'14_W0_pH'!I49))</x:f>
        <x:v>0.08164965809277253</x:v>
      </x:c>
      <x:c r="H485" s="90" t="n">
        <x:f>IF(E485=0,"",MIN('14_W0_pH'!C49,'14_W0_pH'!E49,'14_W0_pH'!G49,'14_W0_pH'!I49))</x:f>
        <x:v>6.29</x:v>
      </x:c>
      <x:c r="I485" s="90" t="n">
        <x:f>IF(E485=0,"",MAX('14_W0_pH'!C49,'14_W0_pH'!E49,'14_W0_pH'!G49,'14_W0_pH'!I49))</x:f>
        <x:v>6.47</x:v>
      </x:c>
      <x:c r="J485" s="32" t="str"/>
    </x:row>
    <x:row r="486">
      <x:c r="A486" s="72" t="n">
        <x:v>46240.95894675926</x:v>
      </x:c>
      <x:c r="B486" s="32" t="str">
        <x:v>土壤pH</x:v>
      </x:c>
      <x:c r="C486" s="32" t="str">
        <x:v>W0</x:v>
      </x:c>
      <x:c r="D486" s="32" t="str">
        <x:v>V1</x:v>
      </x:c>
      <x:c r="E486" s="86" t="n">
        <x:f>COUNT('14_W0_pH'!B50,'14_W0_pH'!D50,'14_W0_pH'!F50,'14_W0_pH'!H50)</x:f>
        <x:v>4</x:v>
      </x:c>
      <x:c r="F486" s="90" t="n">
        <x:f>IF(E486=0,"",AVERAGE('14_W0_pH'!B50,'14_W0_pH'!D50,'14_W0_pH'!F50,'14_W0_pH'!H50))</x:f>
        <x:v>6.4275</x:v>
      </x:c>
      <x:c r="G486" s="90" t="n">
        <x:f>IF(E486&lt;2,"",STDEV.S('14_W0_pH'!B50,'14_W0_pH'!D50,'14_W0_pH'!F50,'14_W0_pH'!H50))</x:f>
        <x:v>0.04112987559751044</x:v>
      </x:c>
      <x:c r="H486" s="90" t="n">
        <x:f>IF(E486=0,"",MIN('14_W0_pH'!B50,'14_W0_pH'!D50,'14_W0_pH'!F50,'14_W0_pH'!H50))</x:f>
        <x:v>6.38</x:v>
      </x:c>
      <x:c r="I486" s="90" t="n">
        <x:f>IF(E486=0,"",MAX('14_W0_pH'!B50,'14_W0_pH'!D50,'14_W0_pH'!F50,'14_W0_pH'!H50))</x:f>
        <x:v>6.48</x:v>
      </x:c>
      <x:c r="J486" s="32" t="str"/>
    </x:row>
    <x:row r="487">
      <x:c r="A487" s="72" t="n">
        <x:v>46240.95894675926</x:v>
      </x:c>
      <x:c r="B487" s="32" t="str">
        <x:v>土壤pH</x:v>
      </x:c>
      <x:c r="C487" s="32" t="str">
        <x:v>W0</x:v>
      </x:c>
      <x:c r="D487" s="32" t="str">
        <x:v>V2</x:v>
      </x:c>
      <x:c r="E487" s="86" t="n">
        <x:f>COUNT('14_W0_pH'!C50,'14_W0_pH'!E50,'14_W0_pH'!G50,'14_W0_pH'!I50)</x:f>
        <x:v>4</x:v>
      </x:c>
      <x:c r="F487" s="90" t="n">
        <x:f>IF(E487=0,"",AVERAGE('14_W0_pH'!C50,'14_W0_pH'!E50,'14_W0_pH'!G50,'14_W0_pH'!I50))</x:f>
        <x:v>6.41</x:v>
      </x:c>
      <x:c r="G487" s="90" t="n">
        <x:f>IF(E487&lt;2,"",STDEV.S('14_W0_pH'!C50,'14_W0_pH'!E50,'14_W0_pH'!G50,'14_W0_pH'!I50))</x:f>
        <x:v>0.08831760866327826</x:v>
      </x:c>
      <x:c r="H487" s="90" t="n">
        <x:f>IF(E487=0,"",MIN('14_W0_pH'!C50,'14_W0_pH'!E50,'14_W0_pH'!G50,'14_W0_pH'!I50))</x:f>
        <x:v>6.28</x:v>
      </x:c>
      <x:c r="I487" s="90" t="n">
        <x:f>IF(E487=0,"",MAX('14_W0_pH'!C50,'14_W0_pH'!E50,'14_W0_pH'!G50,'14_W0_pH'!I50))</x:f>
        <x:v>6.47</x:v>
      </x:c>
      <x:c r="J487" s="32" t="str"/>
    </x:row>
    <x:row r="488">
      <x:c r="A488" s="72" t="n">
        <x:v>46240.96241898148</x:v>
      </x:c>
      <x:c r="B488" s="32" t="str">
        <x:v>土壤pH</x:v>
      </x:c>
      <x:c r="C488" s="32" t="str">
        <x:v>W0</x:v>
      </x:c>
      <x:c r="D488" s="32" t="str">
        <x:v>V1</x:v>
      </x:c>
      <x:c r="E488" s="86" t="n">
        <x:f>COUNT('14_W0_pH'!B51,'14_W0_pH'!D51,'14_W0_pH'!F51,'14_W0_pH'!H51)</x:f>
        <x:v>4</x:v>
      </x:c>
      <x:c r="F488" s="90" t="n">
        <x:f>IF(E488=0,"",AVERAGE('14_W0_pH'!B51,'14_W0_pH'!D51,'14_W0_pH'!F51,'14_W0_pH'!H51))</x:f>
        <x:v>6.422499999999999</x:v>
      </x:c>
      <x:c r="G488" s="90" t="n">
        <x:f>IF(E488&lt;2,"",STDEV.S('14_W0_pH'!B51,'14_W0_pH'!D51,'14_W0_pH'!F51,'14_W0_pH'!H51))</x:f>
        <x:v>0.041129875597510065</x:v>
      </x:c>
      <x:c r="H488" s="90" t="n">
        <x:f>IF(E488=0,"",MIN('14_W0_pH'!B51,'14_W0_pH'!D51,'14_W0_pH'!F51,'14_W0_pH'!H51))</x:f>
        <x:v>6.37</x:v>
      </x:c>
      <x:c r="I488" s="90" t="n">
        <x:f>IF(E488=0,"",MAX('14_W0_pH'!B51,'14_W0_pH'!D51,'14_W0_pH'!F51,'14_W0_pH'!H51))</x:f>
        <x:v>6.47</x:v>
      </x:c>
      <x:c r="J488" s="32" t="str"/>
    </x:row>
    <x:row r="489">
      <x:c r="A489" s="72" t="n">
        <x:v>46240.96241898148</x:v>
      </x:c>
      <x:c r="B489" s="32" t="str">
        <x:v>土壤pH</x:v>
      </x:c>
      <x:c r="C489" s="32" t="str">
        <x:v>W0</x:v>
      </x:c>
      <x:c r="D489" s="32" t="str">
        <x:v>V2</x:v>
      </x:c>
      <x:c r="E489" s="86" t="n">
        <x:f>COUNT('14_W0_pH'!C51,'14_W0_pH'!E51,'14_W0_pH'!G51,'14_W0_pH'!I51)</x:f>
        <x:v>4</x:v>
      </x:c>
      <x:c r="F489" s="90" t="n">
        <x:f>IF(E489=0,"",AVERAGE('14_W0_pH'!C51,'14_W0_pH'!E51,'14_W0_pH'!G51,'14_W0_pH'!I51))</x:f>
        <x:v>6.415</x:v>
      </x:c>
      <x:c r="G489" s="90" t="n">
        <x:f>IF(E489&lt;2,"",STDEV.S('14_W0_pH'!C51,'14_W0_pH'!E51,'14_W0_pH'!G51,'14_W0_pH'!I51))</x:f>
        <x:v>0.09255628917943205</x:v>
      </x:c>
      <x:c r="H489" s="90" t="n">
        <x:f>IF(E489=0,"",MIN('14_W0_pH'!C51,'14_W0_pH'!E51,'14_W0_pH'!G51,'14_W0_pH'!I51))</x:f>
        <x:v>6.28</x:v>
      </x:c>
      <x:c r="I489" s="90" t="n">
        <x:f>IF(E489=0,"",MAX('14_W0_pH'!C51,'14_W0_pH'!E51,'14_W0_pH'!G51,'14_W0_pH'!I51))</x:f>
        <x:v>6.48</x:v>
      </x:c>
      <x:c r="J489" s="32" t="str"/>
    </x:row>
    <x:row r="490">
      <x:c r="A490" s="72" t="n">
        <x:v>46240.965891203705</x:v>
      </x:c>
      <x:c r="B490" s="32" t="str">
        <x:v>土壤pH</x:v>
      </x:c>
      <x:c r="C490" s="32" t="str">
        <x:v>W0</x:v>
      </x:c>
      <x:c r="D490" s="32" t="str">
        <x:v>V1</x:v>
      </x:c>
      <x:c r="E490" s="86" t="n">
        <x:f>COUNT('14_W0_pH'!B52,'14_W0_pH'!D52,'14_W0_pH'!F52,'14_W0_pH'!H52)</x:f>
        <x:v>4</x:v>
      </x:c>
      <x:c r="F490" s="90" t="n">
        <x:f>IF(E490=0,"",AVERAGE('14_W0_pH'!B52,'14_W0_pH'!D52,'14_W0_pH'!F52,'14_W0_pH'!H52))</x:f>
        <x:v>6.425</x:v>
      </x:c>
      <x:c r="G490" s="90" t="n">
        <x:f>IF(E490&lt;2,"",STDEV.S('14_W0_pH'!B52,'14_W0_pH'!D52,'14_W0_pH'!F52,'14_W0_pH'!H52))</x:f>
        <x:v>0.04654746681256294</x:v>
      </x:c>
      <x:c r="H490" s="90" t="n">
        <x:f>IF(E490=0,"",MIN('14_W0_pH'!B52,'14_W0_pH'!D52,'14_W0_pH'!F52,'14_W0_pH'!H52))</x:f>
        <x:v>6.36</x:v>
      </x:c>
      <x:c r="I490" s="90" t="n">
        <x:f>IF(E490=0,"",MAX('14_W0_pH'!B52,'14_W0_pH'!D52,'14_W0_pH'!F52,'14_W0_pH'!H52))</x:f>
        <x:v>6.47</x:v>
      </x:c>
      <x:c r="J490" s="32" t="str"/>
    </x:row>
    <x:row r="491">
      <x:c r="A491" s="72" t="n">
        <x:v>46240.965891203705</x:v>
      </x:c>
      <x:c r="B491" s="32" t="str">
        <x:v>土壤pH</x:v>
      </x:c>
      <x:c r="C491" s="32" t="str">
        <x:v>W0</x:v>
      </x:c>
      <x:c r="D491" s="32" t="str">
        <x:v>V2</x:v>
      </x:c>
      <x:c r="E491" s="86" t="n">
        <x:f>COUNT('14_W0_pH'!C52,'14_W0_pH'!E52,'14_W0_pH'!G52,'14_W0_pH'!I52)</x:f>
        <x:v>4</x:v>
      </x:c>
      <x:c r="F491" s="90" t="n">
        <x:f>IF(E491=0,"",AVERAGE('14_W0_pH'!C52,'14_W0_pH'!E52,'14_W0_pH'!G52,'14_W0_pH'!I52))</x:f>
        <x:v>6.41</x:v>
      </x:c>
      <x:c r="G491" s="90" t="n">
        <x:f>IF(E491&lt;2,"",STDEV.S('14_W0_pH'!C52,'14_W0_pH'!E52,'14_W0_pH'!G52,'14_W0_pH'!I52))</x:f>
        <x:v>0.09695359714832684</x:v>
      </x:c>
      <x:c r="H491" s="90" t="n">
        <x:f>IF(E491=0,"",MIN('14_W0_pH'!C52,'14_W0_pH'!E52,'14_W0_pH'!G52,'14_W0_pH'!I52))</x:f>
        <x:v>6.27</x:v>
      </x:c>
      <x:c r="I491" s="90" t="n">
        <x:f>IF(E491=0,"",MAX('14_W0_pH'!C52,'14_W0_pH'!E52,'14_W0_pH'!G52,'14_W0_pH'!I52))</x:f>
        <x:v>6.48</x:v>
      </x:c>
      <x:c r="J491" s="32" t="str"/>
    </x:row>
    <x:row r="492">
      <x:c r="A492" s="72" t="n">
        <x:v>46240.969363425924</x:v>
      </x:c>
      <x:c r="B492" s="32" t="str">
        <x:v>土壤pH</x:v>
      </x:c>
      <x:c r="C492" s="32" t="str">
        <x:v>W0</x:v>
      </x:c>
      <x:c r="D492" s="32" t="str">
        <x:v>V1</x:v>
      </x:c>
      <x:c r="E492" s="86" t="n">
        <x:f>COUNT('14_W0_pH'!B53,'14_W0_pH'!D53,'14_W0_pH'!F53,'14_W0_pH'!H53)</x:f>
        <x:v>4</x:v>
      </x:c>
      <x:c r="F492" s="90" t="n">
        <x:f>IF(E492=0,"",AVERAGE('14_W0_pH'!B53,'14_W0_pH'!D53,'14_W0_pH'!F53,'14_W0_pH'!H53))</x:f>
        <x:v>6.427499999999999</x:v>
      </x:c>
      <x:c r="G492" s="90" t="n">
        <x:f>IF(E492&lt;2,"",STDEV.S('14_W0_pH'!B53,'14_W0_pH'!D53,'14_W0_pH'!F53,'14_W0_pH'!H53))</x:f>
        <x:v>0.04787135538781671</x:v>
      </x:c>
      <x:c r="H492" s="90" t="n">
        <x:f>IF(E492=0,"",MIN('14_W0_pH'!B53,'14_W0_pH'!D53,'14_W0_pH'!F53,'14_W0_pH'!H53))</x:f>
        <x:v>6.36</x:v>
      </x:c>
      <x:c r="I492" s="90" t="n">
        <x:f>IF(E492=0,"",MAX('14_W0_pH'!B53,'14_W0_pH'!D53,'14_W0_pH'!F53,'14_W0_pH'!H53))</x:f>
        <x:v>6.47</x:v>
      </x:c>
      <x:c r="J492" s="32" t="str"/>
    </x:row>
    <x:row r="493">
      <x:c r="A493" s="72" t="n">
        <x:v>46240.969363425924</x:v>
      </x:c>
      <x:c r="B493" s="32" t="str">
        <x:v>土壤pH</x:v>
      </x:c>
      <x:c r="C493" s="32" t="str">
        <x:v>W0</x:v>
      </x:c>
      <x:c r="D493" s="32" t="str">
        <x:v>V2</x:v>
      </x:c>
      <x:c r="E493" s="86" t="n">
        <x:f>COUNT('14_W0_pH'!C53,'14_W0_pH'!E53,'14_W0_pH'!G53,'14_W0_pH'!I53)</x:f>
        <x:v>4</x:v>
      </x:c>
      <x:c r="F493" s="90" t="n">
        <x:f>IF(E493=0,"",AVERAGE('14_W0_pH'!C53,'14_W0_pH'!E53,'14_W0_pH'!G53,'14_W0_pH'!I53))</x:f>
        <x:v>6.4125000000000005</x:v>
      </x:c>
      <x:c r="G493" s="90" t="n">
        <x:f>IF(E493&lt;2,"",STDEV.S('14_W0_pH'!C53,'14_W0_pH'!E53,'14_W0_pH'!G53,'14_W0_pH'!I53))</x:f>
        <x:v>0.10144785195688835</x:v>
      </x:c>
      <x:c r="H493" s="90" t="n">
        <x:f>IF(E493=0,"",MIN('14_W0_pH'!C53,'14_W0_pH'!E53,'14_W0_pH'!G53,'14_W0_pH'!I53))</x:f>
        <x:v>6.27</x:v>
      </x:c>
      <x:c r="I493" s="90" t="n">
        <x:f>IF(E493=0,"",MAX('14_W0_pH'!C53,'14_W0_pH'!E53,'14_W0_pH'!G53,'14_W0_pH'!I53))</x:f>
        <x:v>6.49</x:v>
      </x:c>
      <x:c r="J493" s="32" t="str"/>
    </x:row>
    <x:row r="494">
      <x:c r="A494" s="72" t="n">
        <x:v>46240.80269675926</x:v>
      </x:c>
      <x:c r="B494" s="32" t="str">
        <x:v>土壤张力</x:v>
      </x:c>
      <x:c r="C494" s="32" t="str">
        <x:v>W1</x:v>
      </x:c>
      <x:c r="D494" s="32" t="str">
        <x:v>V1</x:v>
      </x:c>
      <x:c r="E494" s="86" t="n">
        <x:f>COUNT('20_W1_张力'!B5,'20_W1_张力'!D5,'20_W1_张力'!F5,'20_W1_张力'!H5)</x:f>
        <x:v>4</x:v>
      </x:c>
      <x:c r="F494" s="90" t="n">
        <x:f>IF(E494=0,"",AVERAGE('20_W1_张力'!B5,'20_W1_张力'!D5,'20_W1_张力'!F5,'20_W1_张力'!H5))</x:f>
        <x:v>-25.075</x:v>
      </x:c>
      <x:c r="G494" s="90" t="n">
        <x:f>IF(E494&lt;2,"",STDEV.S('20_W1_张力'!B5,'20_W1_张力'!D5,'20_W1_张力'!F5,'20_W1_张力'!H5))</x:f>
        <x:v>3.2325170790989906</x:v>
      </x:c>
      <x:c r="H494" s="90" t="n">
        <x:f>IF(E494=0,"",MIN('20_W1_张力'!B5,'20_W1_张力'!D5,'20_W1_张力'!F5,'20_W1_张力'!H5))</x:f>
        <x:v>-29</x:v>
      </x:c>
      <x:c r="I494" s="90" t="n">
        <x:f>IF(E494=0,"",MAX('20_W1_张力'!B5,'20_W1_张力'!D5,'20_W1_张力'!F5,'20_W1_张力'!H5))</x:f>
        <x:v>-22</x:v>
      </x:c>
      <x:c r="J494" s="32" t="str">
        <x:v>kPa</x:v>
      </x:c>
    </x:row>
    <x:row r="495">
      <x:c r="A495" s="72" t="n">
        <x:v>46240.80269675926</x:v>
      </x:c>
      <x:c r="B495" s="32" t="str">
        <x:v>土壤张力</x:v>
      </x:c>
      <x:c r="C495" s="32" t="str">
        <x:v>W1</x:v>
      </x:c>
      <x:c r="D495" s="32" t="str">
        <x:v>V2</x:v>
      </x:c>
      <x:c r="E495" s="86" t="n">
        <x:f>COUNT('20_W1_张力'!C5,'20_W1_张力'!E5,'20_W1_张力'!G5,'20_W1_张力'!I5)</x:f>
        <x:v>4</x:v>
      </x:c>
      <x:c r="F495" s="90" t="n">
        <x:f>IF(E495=0,"",AVERAGE('20_W1_张力'!C5,'20_W1_张力'!E5,'20_W1_张力'!G5,'20_W1_张力'!I5))</x:f>
        <x:v>-24.775</x:v>
      </x:c>
      <x:c r="G495" s="90" t="n">
        <x:f>IF(E495&lt;2,"",STDEV.S('20_W1_张力'!C5,'20_W1_张力'!E5,'20_W1_张力'!G5,'20_W1_张力'!I5))</x:f>
        <x:v>2.17619698863254</x:v>
      </x:c>
      <x:c r="H495" s="90" t="n">
        <x:f>IF(E495=0,"",MIN('20_W1_张力'!C5,'20_W1_张力'!E5,'20_W1_张力'!G5,'20_W1_张力'!I5))</x:f>
        <x:v>-27.8</x:v>
      </x:c>
      <x:c r="I495" s="90" t="n">
        <x:f>IF(E495=0,"",MAX('20_W1_张力'!C5,'20_W1_张力'!E5,'20_W1_张力'!G5,'20_W1_张力'!I5))</x:f>
        <x:v>-23</x:v>
      </x:c>
      <x:c r="J495" s="32" t="str">
        <x:v>kPa</x:v>
      </x:c>
    </x:row>
    <x:row r="496">
      <x:c r="A496" s="72" t="n">
        <x:v>46240.80616898148</x:v>
      </x:c>
      <x:c r="B496" s="32" t="str">
        <x:v>土壤张力</x:v>
      </x:c>
      <x:c r="C496" s="32" t="str">
        <x:v>W1</x:v>
      </x:c>
      <x:c r="D496" s="32" t="str">
        <x:v>V1</x:v>
      </x:c>
      <x:c r="E496" s="86" t="n">
        <x:f>COUNT('20_W1_张力'!B6,'20_W1_张力'!D6,'20_W1_张力'!F6,'20_W1_张力'!H6)</x:f>
        <x:v>4</x:v>
      </x:c>
      <x:c r="F496" s="90" t="n">
        <x:f>IF(E496=0,"",AVERAGE('20_W1_张力'!B6,'20_W1_张力'!D6,'20_W1_张力'!F6,'20_W1_张力'!H6))</x:f>
        <x:v>-25.1</x:v>
      </x:c>
      <x:c r="G496" s="90" t="n">
        <x:f>IF(E496&lt;2,"",STDEV.S('20_W1_张力'!B6,'20_W1_张力'!D6,'20_W1_张力'!F6,'20_W1_张力'!H6))</x:f>
        <x:v>3.0408332191467955</x:v>
      </x:c>
      <x:c r="H496" s="90" t="n">
        <x:f>IF(E496=0,"",MIN('20_W1_张力'!B6,'20_W1_张力'!D6,'20_W1_张力'!F6,'20_W1_张力'!H6))</x:f>
        <x:v>-29</x:v>
      </x:c>
      <x:c r="I496" s="90" t="n">
        <x:f>IF(E496=0,"",MAX('20_W1_张力'!B6,'20_W1_张力'!D6,'20_W1_张力'!F6,'20_W1_张力'!H6))</x:f>
        <x:v>-22.1</x:v>
      </x:c>
      <x:c r="J496" s="32" t="str">
        <x:v>kPa</x:v>
      </x:c>
    </x:row>
    <x:row r="497">
      <x:c r="A497" s="72" t="n">
        <x:v>46240.80616898148</x:v>
      </x:c>
      <x:c r="B497" s="32" t="str">
        <x:v>土壤张力</x:v>
      </x:c>
      <x:c r="C497" s="32" t="str">
        <x:v>W1</x:v>
      </x:c>
      <x:c r="D497" s="32" t="str">
        <x:v>V2</x:v>
      </x:c>
      <x:c r="E497" s="86" t="n">
        <x:f>COUNT('20_W1_张力'!C6,'20_W1_张力'!E6,'20_W1_张力'!G6,'20_W1_张力'!I6)</x:f>
        <x:v>4</x:v>
      </x:c>
      <x:c r="F497" s="90" t="n">
        <x:f>IF(E497=0,"",AVERAGE('20_W1_张力'!C6,'20_W1_张力'!E6,'20_W1_张力'!G6,'20_W1_张力'!I6))</x:f>
        <x:v>-24.825</x:v>
      </x:c>
      <x:c r="G497" s="90" t="n">
        <x:f>IF(E497&lt;2,"",STDEV.S('20_W1_张力'!C6,'20_W1_张力'!E6,'20_W1_张力'!G6,'20_W1_张力'!I6))</x:f>
        <x:v>1.9015344680897406</x:v>
      </x:c>
      <x:c r="H497" s="90" t="n">
        <x:f>IF(E497=0,"",MIN('20_W1_张力'!C6,'20_W1_张力'!E6,'20_W1_张力'!G6,'20_W1_张力'!I6))</x:f>
        <x:v>-27.4</x:v>
      </x:c>
      <x:c r="I497" s="90" t="n">
        <x:f>IF(E497=0,"",MAX('20_W1_张力'!C6,'20_W1_张力'!E6,'20_W1_张力'!G6,'20_W1_张力'!I6))</x:f>
        <x:v>-23</x:v>
      </x:c>
      <x:c r="J497" s="32" t="str">
        <x:v>kPa</x:v>
      </x:c>
    </x:row>
    <x:row r="498">
      <x:c r="A498" s="72" t="n">
        <x:v>46240.809641203705</x:v>
      </x:c>
      <x:c r="B498" s="32" t="str">
        <x:v>土壤张力</x:v>
      </x:c>
      <x:c r="C498" s="32" t="str">
        <x:v>W1</x:v>
      </x:c>
      <x:c r="D498" s="32" t="str">
        <x:v>V1</x:v>
      </x:c>
      <x:c r="E498" s="86" t="n">
        <x:f>COUNT('20_W1_张力'!B7,'20_W1_张力'!D7,'20_W1_张力'!F7,'20_W1_张力'!H7)</x:f>
        <x:v>4</x:v>
      </x:c>
      <x:c r="F498" s="90" t="n">
        <x:f>IF(E498=0,"",AVERAGE('20_W1_张力'!B7,'20_W1_张力'!D7,'20_W1_张力'!F7,'20_W1_张力'!H7))</x:f>
        <x:v>-25.124999999999996</x:v>
      </x:c>
      <x:c r="G498" s="90" t="n">
        <x:f>IF(E498&lt;2,"",STDEV.S('20_W1_张力'!B7,'20_W1_张力'!D7,'20_W1_张力'!F7,'20_W1_张力'!H7))</x:f>
        <x:v>2.8170611163645933</x:v>
      </x:c>
      <x:c r="H498" s="90" t="n">
        <x:f>IF(E498=0,"",MIN('20_W1_张力'!B7,'20_W1_张力'!D7,'20_W1_张力'!F7,'20_W1_张力'!H7))</x:f>
        <x:v>-28.9</x:v>
      </x:c>
      <x:c r="I498" s="90" t="n">
        <x:f>IF(E498=0,"",MAX('20_W1_张力'!B7,'20_W1_张力'!D7,'20_W1_张力'!F7,'20_W1_张力'!H7))</x:f>
        <x:v>-22.3</x:v>
      </x:c>
      <x:c r="J498" s="32" t="str">
        <x:v>kPa</x:v>
      </x:c>
    </x:row>
    <x:row r="499">
      <x:c r="A499" s="72" t="n">
        <x:v>46240.809641203705</x:v>
      </x:c>
      <x:c r="B499" s="32" t="str">
        <x:v>土壤张力</x:v>
      </x:c>
      <x:c r="C499" s="32" t="str">
        <x:v>W1</x:v>
      </x:c>
      <x:c r="D499" s="32" t="str">
        <x:v>V2</x:v>
      </x:c>
      <x:c r="E499" s="86" t="n">
        <x:f>COUNT('20_W1_张力'!C7,'20_W1_张力'!E7,'20_W1_张力'!G7,'20_W1_张力'!I7)</x:f>
        <x:v>4</x:v>
      </x:c>
      <x:c r="F499" s="90" t="n">
        <x:f>IF(E499=0,"",AVERAGE('20_W1_张力'!C7,'20_W1_张力'!E7,'20_W1_张力'!G7,'20_W1_张力'!I7))</x:f>
        <x:v>-24.85</x:v>
      </x:c>
      <x:c r="G499" s="90" t="n">
        <x:f>IF(E499&lt;2,"",STDEV.S('20_W1_张力'!C7,'20_W1_张力'!E7,'20_W1_张力'!G7,'20_W1_张力'!I7))</x:f>
        <x:v>1.5800843859321765</x:v>
      </x:c>
      <x:c r="H499" s="90" t="n">
        <x:f>IF(E499=0,"",MIN('20_W1_张力'!C7,'20_W1_张力'!E7,'20_W1_张力'!G7,'20_W1_张力'!I7))</x:f>
        <x:v>-26.9</x:v>
      </x:c>
      <x:c r="I499" s="90" t="n">
        <x:f>IF(E499=0,"",MAX('20_W1_张力'!C7,'20_W1_张力'!E7,'20_W1_张力'!G7,'20_W1_张力'!I7))</x:f>
        <x:v>-23.1</x:v>
      </x:c>
      <x:c r="J499" s="32" t="str">
        <x:v>kPa</x:v>
      </x:c>
    </x:row>
    <x:row r="500">
      <x:c r="A500" s="72" t="n">
        <x:v>46240.813113425924</x:v>
      </x:c>
      <x:c r="B500" s="32" t="str">
        <x:v>土壤张力</x:v>
      </x:c>
      <x:c r="C500" s="32" t="str">
        <x:v>W1</x:v>
      </x:c>
      <x:c r="D500" s="32" t="str">
        <x:v>V1</x:v>
      </x:c>
      <x:c r="E500" s="86" t="n">
        <x:f>COUNT('20_W1_张力'!B8,'20_W1_张力'!D8,'20_W1_张力'!F8,'20_W1_张力'!H8)</x:f>
        <x:v>4</x:v>
      </x:c>
      <x:c r="F500" s="90" t="n">
        <x:f>IF(E500=0,"",AVERAGE('20_W1_张力'!B8,'20_W1_张力'!D8,'20_W1_张力'!F8,'20_W1_张力'!H8))</x:f>
        <x:v>-25.1</x:v>
      </x:c>
      <x:c r="G500" s="90" t="n">
        <x:f>IF(E500&lt;2,"",STDEV.S('20_W1_张力'!B8,'20_W1_张力'!D8,'20_W1_张力'!F8,'20_W1_张力'!H8))</x:f>
        <x:v>2.5285041691350507</x:v>
      </x:c>
      <x:c r="H500" s="90" t="n">
        <x:f>IF(E500=0,"",MIN('20_W1_张力'!B8,'20_W1_张力'!D8,'20_W1_张力'!F8,'20_W1_张力'!H8))</x:f>
        <x:v>-28.6</x:v>
      </x:c>
      <x:c r="I500" s="90" t="n">
        <x:f>IF(E500=0,"",MAX('20_W1_张力'!B8,'20_W1_张力'!D8,'20_W1_张力'!F8,'20_W1_张力'!H8))</x:f>
        <x:v>-22.6</x:v>
      </x:c>
      <x:c r="J500" s="32" t="str">
        <x:v>kPa</x:v>
      </x:c>
    </x:row>
    <x:row r="501">
      <x:c r="A501" s="72" t="n">
        <x:v>46240.813113425924</x:v>
      </x:c>
      <x:c r="B501" s="32" t="str">
        <x:v>土壤张力</x:v>
      </x:c>
      <x:c r="C501" s="32" t="str">
        <x:v>W1</x:v>
      </x:c>
      <x:c r="D501" s="32" t="str">
        <x:v>V2</x:v>
      </x:c>
      <x:c r="E501" s="86" t="n">
        <x:f>COUNT('20_W1_张力'!C8,'20_W1_张力'!E8,'20_W1_张力'!G8,'20_W1_张力'!I8)</x:f>
        <x:v>4</x:v>
      </x:c>
      <x:c r="F501" s="90" t="n">
        <x:f>IF(E501=0,"",AVERAGE('20_W1_张力'!C8,'20_W1_张力'!E8,'20_W1_张力'!G8,'20_W1_张力'!I8))</x:f>
        <x:v>-24.874999999999996</x:v>
      </x:c>
      <x:c r="G501" s="90" t="n">
        <x:f>IF(E501&lt;2,"",STDEV.S('20_W1_张力'!C8,'20_W1_张力'!E8,'20_W1_张力'!G8,'20_W1_张力'!I8))</x:f>
        <x:v>1.2658988901172155</x:v>
      </x:c>
      <x:c r="H501" s="90" t="n">
        <x:f>IF(E501=0,"",MIN('20_W1_张力'!C8,'20_W1_张力'!E8,'20_W1_张力'!G8,'20_W1_张力'!I8))</x:f>
        <x:v>-26.4</x:v>
      </x:c>
      <x:c r="I501" s="90" t="n">
        <x:f>IF(E501=0,"",MAX('20_W1_张力'!C8,'20_W1_张力'!E8,'20_W1_张力'!G8,'20_W1_张力'!I8))</x:f>
        <x:v>-23.3</x:v>
      </x:c>
      <x:c r="J501" s="32" t="str">
        <x:v>kPa</x:v>
      </x:c>
    </x:row>
    <x:row r="502">
      <x:c r="A502" s="72" t="n">
        <x:v>46240.81658564815</x:v>
      </x:c>
      <x:c r="B502" s="32" t="str">
        <x:v>土壤张力</x:v>
      </x:c>
      <x:c r="C502" s="32" t="str">
        <x:v>W1</x:v>
      </x:c>
      <x:c r="D502" s="32" t="str">
        <x:v>V1</x:v>
      </x:c>
      <x:c r="E502" s="86" t="n">
        <x:f>COUNT('20_W1_张力'!B9,'20_W1_张力'!D9,'20_W1_张力'!F9,'20_W1_张力'!H9)</x:f>
        <x:v>4</x:v>
      </x:c>
      <x:c r="F502" s="90" t="n">
        <x:f>IF(E502=0,"",AVERAGE('20_W1_张力'!B9,'20_W1_张力'!D9,'20_W1_张力'!F9,'20_W1_张力'!H9))</x:f>
        <x:v>-25.1</x:v>
      </x:c>
      <x:c r="G502" s="90" t="n">
        <x:f>IF(E502&lt;2,"",STDEV.S('20_W1_张力'!B9,'20_W1_张力'!D9,'20_W1_张力'!F9,'20_W1_张力'!H9))</x:f>
        <x:v>2.255363976538303</x:v>
      </x:c>
      <x:c r="H502" s="90" t="n">
        <x:f>IF(E502=0,"",MIN('20_W1_张力'!B9,'20_W1_张力'!D9,'20_W1_张力'!F9,'20_W1_张力'!H9))</x:f>
        <x:v>-28.3</x:v>
      </x:c>
      <x:c r="I502" s="90" t="n">
        <x:f>IF(E502=0,"",MAX('20_W1_张力'!B9,'20_W1_张力'!D9,'20_W1_张力'!F9,'20_W1_张力'!H9))</x:f>
        <x:v>-23</x:v>
      </x:c>
      <x:c r="J502" s="32" t="str">
        <x:v>kPa</x:v>
      </x:c>
    </x:row>
    <x:row r="503">
      <x:c r="A503" s="72" t="n">
        <x:v>46240.81658564815</x:v>
      </x:c>
      <x:c r="B503" s="32" t="str">
        <x:v>土壤张力</x:v>
      </x:c>
      <x:c r="C503" s="32" t="str">
        <x:v>W1</x:v>
      </x:c>
      <x:c r="D503" s="32" t="str">
        <x:v>V2</x:v>
      </x:c>
      <x:c r="E503" s="86" t="n">
        <x:f>COUNT('20_W1_张力'!C9,'20_W1_张力'!E9,'20_W1_张力'!G9,'20_W1_张力'!I9)</x:f>
        <x:v>4</x:v>
      </x:c>
      <x:c r="F503" s="90" t="n">
        <x:f>IF(E503=0,"",AVERAGE('20_W1_张力'!C9,'20_W1_张力'!E9,'20_W1_张力'!G9,'20_W1_张力'!I9))</x:f>
        <x:v>-24.85</x:v>
      </x:c>
      <x:c r="G503" s="90" t="n">
        <x:f>IF(E503&lt;2,"",STDEV.S('20_W1_张力'!C9,'20_W1_张力'!E9,'20_W1_张力'!G9,'20_W1_张力'!I9))</x:f>
        <x:v>0.9882644720249051</x:v>
      </x:c>
      <x:c r="H503" s="90" t="n">
        <x:f>IF(E503=0,"",MIN('20_W1_张力'!C9,'20_W1_张力'!E9,'20_W1_张力'!G9,'20_W1_张力'!I9))</x:f>
        <x:v>-25.9</x:v>
      </x:c>
      <x:c r="I503" s="90" t="n">
        <x:f>IF(E503=0,"",MAX('20_W1_张力'!C9,'20_W1_张力'!E9,'20_W1_张力'!G9,'20_W1_张力'!I9))</x:f>
        <x:v>-23.6</x:v>
      </x:c>
      <x:c r="J503" s="32" t="str">
        <x:v>kPa</x:v>
      </x:c>
    </x:row>
    <x:row r="504">
      <x:c r="A504" s="72" t="n">
        <x:v>46240.82005787037</x:v>
      </x:c>
      <x:c r="B504" s="32" t="str">
        <x:v>土壤张力</x:v>
      </x:c>
      <x:c r="C504" s="32" t="str">
        <x:v>W1</x:v>
      </x:c>
      <x:c r="D504" s="32" t="str">
        <x:v>V1</x:v>
      </x:c>
      <x:c r="E504" s="86" t="n">
        <x:f>COUNT('20_W1_张力'!B10,'20_W1_张力'!D10,'20_W1_张力'!F10,'20_W1_张力'!H10)</x:f>
        <x:v>4</x:v>
      </x:c>
      <x:c r="F504" s="90" t="n">
        <x:f>IF(E504=0,"",AVERAGE('20_W1_张力'!B10,'20_W1_张力'!D10,'20_W1_张力'!F10,'20_W1_张力'!H10))</x:f>
        <x:v>-25.075000000000003</x:v>
      </x:c>
      <x:c r="G504" s="90" t="n">
        <x:f>IF(E504&lt;2,"",STDEV.S('20_W1_张力'!B10,'20_W1_张力'!D10,'20_W1_张力'!F10,'20_W1_张力'!H10))</x:f>
        <x:v>1.91724628916927</x:v>
      </x:c>
      <x:c r="H504" s="90" t="n">
        <x:f>IF(E504=0,"",MIN('20_W1_张力'!B10,'20_W1_张力'!D10,'20_W1_张力'!F10,'20_W1_张力'!H10))</x:f>
        <x:v>-27.8</x:v>
      </x:c>
      <x:c r="I504" s="90" t="n">
        <x:f>IF(E504=0,"",MAX('20_W1_张力'!B10,'20_W1_张力'!D10,'20_W1_张力'!F10,'20_W1_张力'!H10))</x:f>
        <x:v>-23.4</x:v>
      </x:c>
      <x:c r="J504" s="32" t="str">
        <x:v>kPa</x:v>
      </x:c>
    </x:row>
    <x:row r="505">
      <x:c r="A505" s="72" t="n">
        <x:v>46240.82005787037</x:v>
      </x:c>
      <x:c r="B505" s="32" t="str">
        <x:v>土壤张力</x:v>
      </x:c>
      <x:c r="C505" s="32" t="str">
        <x:v>W1</x:v>
      </x:c>
      <x:c r="D505" s="32" t="str">
        <x:v>V2</x:v>
      </x:c>
      <x:c r="E505" s="86" t="n">
        <x:f>COUNT('20_W1_张力'!C10,'20_W1_张力'!E10,'20_W1_张力'!G10,'20_W1_张力'!I10)</x:f>
        <x:v>4</x:v>
      </x:c>
      <x:c r="F505" s="90" t="n">
        <x:f>IF(E505=0,"",AVERAGE('20_W1_张力'!C10,'20_W1_张力'!E10,'20_W1_张力'!G10,'20_W1_张力'!I10))</x:f>
        <x:v>-24.85</x:v>
      </x:c>
      <x:c r="G505" s="90" t="n">
        <x:f>IF(E505&lt;2,"",STDEV.S('20_W1_张力'!C10,'20_W1_张力'!E10,'20_W1_张力'!G10,'20_W1_张力'!I10))</x:f>
        <x:v>0.8185352771872453</x:v>
      </x:c>
      <x:c r="H505" s="90" t="n">
        <x:f>IF(E505=0,"",MIN('20_W1_张力'!C10,'20_W1_张力'!E10,'20_W1_张力'!G10,'20_W1_张力'!I10))</x:f>
        <x:v>-25.6</x:v>
      </x:c>
      <x:c r="I505" s="90" t="n">
        <x:f>IF(E505=0,"",MAX('20_W1_张力'!C10,'20_W1_张力'!E10,'20_W1_张力'!G10,'20_W1_张力'!I10))</x:f>
        <x:v>-24</x:v>
      </x:c>
      <x:c r="J505" s="32" t="str">
        <x:v>kPa</x:v>
      </x:c>
    </x:row>
    <x:row r="506">
      <x:c r="A506" s="72" t="n">
        <x:v>46240.823530092595</x:v>
      </x:c>
      <x:c r="B506" s="32" t="str">
        <x:v>土壤张力</x:v>
      </x:c>
      <x:c r="C506" s="32" t="str">
        <x:v>W1</x:v>
      </x:c>
      <x:c r="D506" s="32" t="str">
        <x:v>V1</x:v>
      </x:c>
      <x:c r="E506" s="86" t="n">
        <x:f>COUNT('20_W1_张力'!B11,'20_W1_张力'!D11,'20_W1_张力'!F11,'20_W1_张力'!H11)</x:f>
        <x:v>4</x:v>
      </x:c>
      <x:c r="F506" s="90" t="n">
        <x:f>IF(E506=0,"",AVERAGE('20_W1_张力'!B11,'20_W1_张力'!D11,'20_W1_张力'!F11,'20_W1_张力'!H11))</x:f>
        <x:v>-25.1</x:v>
      </x:c>
      <x:c r="G506" s="90" t="n">
        <x:f>IF(E506&lt;2,"",STDEV.S('20_W1_张力'!B11,'20_W1_张力'!D11,'20_W1_张力'!F11,'20_W1_张力'!H11))</x:f>
        <x:v>1.6062378404209003</x:v>
      </x:c>
      <x:c r="H506" s="90" t="n">
        <x:f>IF(E506=0,"",MIN('20_W1_张力'!B11,'20_W1_张力'!D11,'20_W1_张力'!F11,'20_W1_张力'!H11))</x:f>
        <x:v>-27.4</x:v>
      </x:c>
      <x:c r="I506" s="90" t="n">
        <x:f>IF(E506=0,"",MAX('20_W1_张力'!B11,'20_W1_张力'!D11,'20_W1_张力'!F11,'20_W1_张力'!H11))</x:f>
        <x:v>-23.9</x:v>
      </x:c>
      <x:c r="J506" s="32" t="str">
        <x:v>kPa</x:v>
      </x:c>
    </x:row>
    <x:row r="507">
      <x:c r="A507" s="72" t="n">
        <x:v>46240.823530092595</x:v>
      </x:c>
      <x:c r="B507" s="32" t="str">
        <x:v>土壤张力</x:v>
      </x:c>
      <x:c r="C507" s="32" t="str">
        <x:v>W1</x:v>
      </x:c>
      <x:c r="D507" s="32" t="str">
        <x:v>V2</x:v>
      </x:c>
      <x:c r="E507" s="86" t="n">
        <x:f>COUNT('20_W1_张力'!C11,'20_W1_张力'!E11,'20_W1_张力'!G11,'20_W1_张力'!I11)</x:f>
        <x:v>4</x:v>
      </x:c>
      <x:c r="F507" s="90" t="n">
        <x:f>IF(E507=0,"",AVERAGE('20_W1_张力'!C11,'20_W1_张力'!E11,'20_W1_张力'!G11,'20_W1_张力'!I11))</x:f>
        <x:v>-24.825000000000003</x:v>
      </x:c>
      <x:c r="G507" s="90" t="n">
        <x:f>IF(E507&lt;2,"",STDEV.S('20_W1_张力'!C11,'20_W1_张力'!E11,'20_W1_张力'!G11,'20_W1_张力'!I11))</x:f>
        <x:v>0.9178779875342903</x:v>
      </x:c>
      <x:c r="H507" s="90" t="n">
        <x:f>IF(E507=0,"",MIN('20_W1_张力'!C11,'20_W1_张力'!E11,'20_W1_张力'!G11,'20_W1_张力'!I11))</x:f>
        <x:v>-25.9</x:v>
      </x:c>
      <x:c r="I507" s="90" t="n">
        <x:f>IF(E507=0,"",MAX('20_W1_张力'!C11,'20_W1_张力'!E11,'20_W1_张力'!G11,'20_W1_张力'!I11))</x:f>
        <x:v>-23.8</x:v>
      </x:c>
      <x:c r="J507" s="32" t="str">
        <x:v>kPa</x:v>
      </x:c>
    </x:row>
    <x:row r="508">
      <x:c r="A508" s="72" t="n">
        <x:v>46240.827002314814</x:v>
      </x:c>
      <x:c r="B508" s="32" t="str">
        <x:v>土壤张力</x:v>
      </x:c>
      <x:c r="C508" s="32" t="str">
        <x:v>W1</x:v>
      </x:c>
      <x:c r="D508" s="32" t="str">
        <x:v>V1</x:v>
      </x:c>
      <x:c r="E508" s="86" t="n">
        <x:f>COUNT('20_W1_张力'!B12,'20_W1_张力'!D12,'20_W1_张力'!F12,'20_W1_张力'!H12)</x:f>
        <x:v>4</x:v>
      </x:c>
      <x:c r="F508" s="90" t="n">
        <x:f>IF(E508=0,"",AVERAGE('20_W1_张力'!B12,'20_W1_张力'!D12,'20_W1_张力'!F12,'20_W1_张力'!H12))</x:f>
        <x:v>-25.075000000000003</x:v>
      </x:c>
      <x:c r="G508" s="90" t="n">
        <x:f>IF(E508&lt;2,"",STDEV.S('20_W1_张力'!B12,'20_W1_张力'!D12,'20_W1_张力'!F12,'20_W1_张力'!H12))</x:f>
        <x:v>1.2841988423397155</x:v>
      </x:c>
      <x:c r="H508" s="90" t="n">
        <x:f>IF(E508=0,"",MIN('20_W1_张力'!B12,'20_W1_张力'!D12,'20_W1_张力'!F12,'20_W1_张力'!H12))</x:f>
        <x:v>-26.9</x:v>
      </x:c>
      <x:c r="I508" s="90" t="n">
        <x:f>IF(E508=0,"",MAX('20_W1_张力'!B12,'20_W1_张力'!D12,'20_W1_张力'!F12,'20_W1_张力'!H12))</x:f>
        <x:v>-24</x:v>
      </x:c>
      <x:c r="J508" s="32" t="str">
        <x:v>kPa</x:v>
      </x:c>
    </x:row>
    <x:row r="509">
      <x:c r="A509" s="72" t="n">
        <x:v>46240.827002314814</x:v>
      </x:c>
      <x:c r="B509" s="32" t="str">
        <x:v>土壤张力</x:v>
      </x:c>
      <x:c r="C509" s="32" t="str">
        <x:v>W1</x:v>
      </x:c>
      <x:c r="D509" s="32" t="str">
        <x:v>V2</x:v>
      </x:c>
      <x:c r="E509" s="86" t="n">
        <x:f>COUNT('20_W1_张力'!C12,'20_W1_张力'!E12,'20_W1_张力'!G12,'20_W1_张力'!I12)</x:f>
        <x:v>4</x:v>
      </x:c>
      <x:c r="F509" s="90" t="n">
        <x:f>IF(E509=0,"",AVERAGE('20_W1_张力'!C12,'20_W1_张力'!E12,'20_W1_张力'!G12,'20_W1_张力'!I12))</x:f>
        <x:v>-24.85</x:v>
      </x:c>
      <x:c r="G509" s="90" t="n">
        <x:f>IF(E509&lt;2,"",STDEV.S('20_W1_张力'!C12,'20_W1_张力'!E12,'20_W1_张力'!G12,'20_W1_张力'!I12))</x:f>
        <x:v>1.0785793124908964</x:v>
      </x:c>
      <x:c r="H509" s="90" t="n">
        <x:f>IF(E509=0,"",MIN('20_W1_张力'!C12,'20_W1_张力'!E12,'20_W1_张力'!G12,'20_W1_张力'!I12))</x:f>
        <x:v>-26</x:v>
      </x:c>
      <x:c r="I509" s="90" t="n">
        <x:f>IF(E509=0,"",MAX('20_W1_张力'!C12,'20_W1_张力'!E12,'20_W1_张力'!G12,'20_W1_张力'!I12))</x:f>
        <x:v>-23.4</x:v>
      </x:c>
      <x:c r="J509" s="32" t="str">
        <x:v>kPa</x:v>
      </x:c>
    </x:row>
    <x:row r="510">
      <x:c r="A510" s="72" t="n">
        <x:v>46240.83047453704</x:v>
      </x:c>
      <x:c r="B510" s="32" t="str">
        <x:v>土壤张力</x:v>
      </x:c>
      <x:c r="C510" s="32" t="str">
        <x:v>W1</x:v>
      </x:c>
      <x:c r="D510" s="32" t="str">
        <x:v>V1</x:v>
      </x:c>
      <x:c r="E510" s="86" t="n">
        <x:f>COUNT('20_W1_张力'!B13,'20_W1_张力'!D13,'20_W1_张力'!F13,'20_W1_张力'!H13)</x:f>
        <x:v>4</x:v>
      </x:c>
      <x:c r="F510" s="90" t="n">
        <x:f>IF(E510=0,"",AVERAGE('20_W1_张力'!B13,'20_W1_张力'!D13,'20_W1_张力'!F13,'20_W1_张力'!H13))</x:f>
        <x:v>-25.075000000000003</x:v>
      </x:c>
      <x:c r="G510" s="90" t="n">
        <x:f>IF(E510&lt;2,"",STDEV.S('20_W1_张力'!B13,'20_W1_张力'!D13,'20_W1_张力'!F13,'20_W1_张力'!H13))</x:f>
        <x:v>0.9604686356149263</x:v>
      </x:c>
      <x:c r="H510" s="90" t="n">
        <x:f>IF(E510=0,"",MIN('20_W1_张力'!B13,'20_W1_张力'!D13,'20_W1_张力'!F13,'20_W1_张力'!H13))</x:f>
        <x:v>-26.4</x:v>
      </x:c>
      <x:c r="I510" s="90" t="n">
        <x:f>IF(E510=0,"",MAX('20_W1_张力'!B13,'20_W1_张力'!D13,'20_W1_张力'!F13,'20_W1_张力'!H13))</x:f>
        <x:v>-24.1</x:v>
      </x:c>
      <x:c r="J510" s="32" t="str">
        <x:v>kPa</x:v>
      </x:c>
    </x:row>
    <x:row r="511">
      <x:c r="A511" s="72" t="n">
        <x:v>46240.83047453704</x:v>
      </x:c>
      <x:c r="B511" s="32" t="str">
        <x:v>土壤张力</x:v>
      </x:c>
      <x:c r="C511" s="32" t="str">
        <x:v>W1</x:v>
      </x:c>
      <x:c r="D511" s="32" t="str">
        <x:v>V2</x:v>
      </x:c>
      <x:c r="E511" s="86" t="n">
        <x:f>COUNT('20_W1_张力'!C13,'20_W1_张力'!E13,'20_W1_张力'!G13,'20_W1_张力'!I13)</x:f>
        <x:v>4</x:v>
      </x:c>
      <x:c r="F511" s="90" t="n">
        <x:f>IF(E511=0,"",AVERAGE('20_W1_张力'!C13,'20_W1_张力'!E13,'20_W1_张力'!G13,'20_W1_张力'!I13))</x:f>
        <x:v>-24.825000000000003</x:v>
      </x:c>
      <x:c r="G511" s="90" t="n">
        <x:f>IF(E511&lt;2,"",STDEV.S('20_W1_张力'!C13,'20_W1_张力'!E13,'20_W1_张力'!G13,'20_W1_张力'!I13))</x:f>
        <x:v>1.3475286020464776</x:v>
      </x:c>
      <x:c r="H511" s="90" t="n">
        <x:f>IF(E511=0,"",MIN('20_W1_张力'!C13,'20_W1_张力'!E13,'20_W1_张力'!G13,'20_W1_张力'!I13))</x:f>
        <x:v>-26</x:v>
      </x:c>
      <x:c r="I511" s="90" t="n">
        <x:f>IF(E511=0,"",MAX('20_W1_张力'!C13,'20_W1_张力'!E13,'20_W1_张力'!G13,'20_W1_张力'!I13))</x:f>
        <x:v>-22.9</x:v>
      </x:c>
      <x:c r="J511" s="32" t="str">
        <x:v>kPa</x:v>
      </x:c>
    </x:row>
    <x:row r="512">
      <x:c r="A512" s="72" t="n">
        <x:v>46240.83394675926</x:v>
      </x:c>
      <x:c r="B512" s="32" t="str">
        <x:v>土壤张力</x:v>
      </x:c>
      <x:c r="C512" s="32" t="str">
        <x:v>W1</x:v>
      </x:c>
      <x:c r="D512" s="32" t="str">
        <x:v>V1</x:v>
      </x:c>
      <x:c r="E512" s="86" t="n">
        <x:f>COUNT('20_W1_张力'!B14,'20_W1_张力'!D14,'20_W1_张力'!F14,'20_W1_张力'!H14)</x:f>
        <x:v>4</x:v>
      </x:c>
      <x:c r="F512" s="90" t="n">
        <x:f>IF(E512=0,"",AVERAGE('20_W1_张力'!B14,'20_W1_张力'!D14,'20_W1_张力'!F14,'20_W1_张力'!H14))</x:f>
        <x:v>-24.999999999999996</x:v>
      </x:c>
      <x:c r="G512" s="90" t="n">
        <x:f>IF(E512&lt;2,"",STDEV.S('20_W1_张力'!B14,'20_W1_张力'!D14,'20_W1_张力'!F14,'20_W1_张力'!H14))</x:f>
        <x:v>0.7527726527090806</x:v>
      </x:c>
      <x:c r="H512" s="90" t="n">
        <x:f>IF(E512=0,"",MIN('20_W1_张力'!B14,'20_W1_张力'!D14,'20_W1_张力'!F14,'20_W1_张力'!H14))</x:f>
        <x:v>-25.9</x:v>
      </x:c>
      <x:c r="I512" s="90" t="n">
        <x:f>IF(E512=0,"",MAX('20_W1_张力'!B14,'20_W1_张力'!D14,'20_W1_张力'!F14,'20_W1_张力'!H14))</x:f>
        <x:v>-24.2</x:v>
      </x:c>
      <x:c r="J512" s="32" t="str">
        <x:v>kPa</x:v>
      </x:c>
    </x:row>
    <x:row r="513">
      <x:c r="A513" s="72" t="n">
        <x:v>46240.83394675926</x:v>
      </x:c>
      <x:c r="B513" s="32" t="str">
        <x:v>土壤张力</x:v>
      </x:c>
      <x:c r="C513" s="32" t="str">
        <x:v>W1</x:v>
      </x:c>
      <x:c r="D513" s="32" t="str">
        <x:v>V2</x:v>
      </x:c>
      <x:c r="E513" s="86" t="n">
        <x:f>COUNT('20_W1_张力'!C14,'20_W1_张力'!E14,'20_W1_张力'!G14,'20_W1_张力'!I14)</x:f>
        <x:v>4</x:v>
      </x:c>
      <x:c r="F513" s="90" t="n">
        <x:f>IF(E513=0,"",AVERAGE('20_W1_张力'!C14,'20_W1_张力'!E14,'20_W1_张力'!G14,'20_W1_张力'!I14))</x:f>
        <x:v>-24.825000000000003</x:v>
      </x:c>
      <x:c r="G513" s="90" t="n">
        <x:f>IF(E513&lt;2,"",STDEV.S('20_W1_张力'!C14,'20_W1_张力'!E14,'20_W1_张力'!G14,'20_W1_张力'!I14))</x:f>
        <x:v>1.660070279636779</x:v>
      </x:c>
      <x:c r="H513" s="90" t="n">
        <x:f>IF(E513=0,"",MIN('20_W1_张力'!C14,'20_W1_张力'!E14,'20_W1_张力'!G14,'20_W1_张力'!I14))</x:f>
        <x:v>-25.9</x:v>
      </x:c>
      <x:c r="I513" s="90" t="n">
        <x:f>IF(E513=0,"",MAX('20_W1_张力'!C14,'20_W1_张力'!E14,'20_W1_张力'!G14,'20_W1_张力'!I14))</x:f>
        <x:v>-22.4</x:v>
      </x:c>
      <x:c r="J513" s="32" t="str">
        <x:v>kPa</x:v>
      </x:c>
    </x:row>
    <x:row r="514">
      <x:c r="A514" s="72" t="n">
        <x:v>46240.83741898148</x:v>
      </x:c>
      <x:c r="B514" s="32" t="str">
        <x:v>土壤张力</x:v>
      </x:c>
      <x:c r="C514" s="32" t="str">
        <x:v>W1</x:v>
      </x:c>
      <x:c r="D514" s="32" t="str">
        <x:v>V1</x:v>
      </x:c>
      <x:c r="E514" s="86" t="n">
        <x:f>COUNT('20_W1_张力'!B15,'20_W1_张力'!D15,'20_W1_张力'!F15,'20_W1_张力'!H15)</x:f>
        <x:v>4</x:v>
      </x:c>
      <x:c r="F514" s="90" t="n">
        <x:f>IF(E514=0,"",AVERAGE('20_W1_张力'!B15,'20_W1_张力'!D15,'20_W1_张力'!F15,'20_W1_张力'!H15))</x:f>
        <x:v>-24.975</x:v>
      </x:c>
      <x:c r="G514" s="90" t="n">
        <x:f>IF(E514&lt;2,"",STDEV.S('20_W1_张力'!B15,'20_W1_张力'!D15,'20_W1_张力'!F15,'20_W1_张力'!H15))</x:f>
        <x:v>0.6701989754294368</x:v>
      </x:c>
      <x:c r="H514" s="90" t="n">
        <x:f>IF(E514=0,"",MIN('20_W1_张力'!B15,'20_W1_张力'!D15,'20_W1_张力'!F15,'20_W1_张力'!H15))</x:f>
        <x:v>-25.6</x:v>
      </x:c>
      <x:c r="I514" s="90" t="n">
        <x:f>IF(E514=0,"",MAX('20_W1_张力'!B15,'20_W1_张力'!D15,'20_W1_张力'!F15,'20_W1_张力'!H15))</x:f>
        <x:v>-24.3</x:v>
      </x:c>
      <x:c r="J514" s="32" t="str">
        <x:v>kPa</x:v>
      </x:c>
    </x:row>
    <x:row r="515">
      <x:c r="A515" s="72" t="n">
        <x:v>46240.83741898148</x:v>
      </x:c>
      <x:c r="B515" s="32" t="str">
        <x:v>土壤张力</x:v>
      </x:c>
      <x:c r="C515" s="32" t="str">
        <x:v>W1</x:v>
      </x:c>
      <x:c r="D515" s="32" t="str">
        <x:v>V2</x:v>
      </x:c>
      <x:c r="E515" s="86" t="n">
        <x:f>COUNT('20_W1_张力'!C15,'20_W1_张力'!E15,'20_W1_张力'!G15,'20_W1_张力'!I15)</x:f>
        <x:v>4</x:v>
      </x:c>
      <x:c r="F515" s="90" t="n">
        <x:f>IF(E515=0,"",AVERAGE('20_W1_张力'!C15,'20_W1_张力'!E15,'20_W1_张力'!G15,'20_W1_张力'!I15))</x:f>
        <x:v>-24.749999999999996</x:v>
      </x:c>
      <x:c r="G515" s="90" t="n">
        <x:f>IF(E515&lt;2,"",STDEV.S('20_W1_张力'!C15,'20_W1_张力'!E15,'20_W1_张力'!G15,'20_W1_张力'!I15))</x:f>
        <x:v>1.9536291016123484</x:v>
      </x:c>
      <x:c r="H515" s="90" t="n">
        <x:f>IF(E515=0,"",MIN('20_W1_张力'!C15,'20_W1_张力'!E15,'20_W1_张力'!G15,'20_W1_张力'!I15))</x:f>
        <x:v>-26.3</x:v>
      </x:c>
      <x:c r="I515" s="90" t="n">
        <x:f>IF(E515=0,"",MAX('20_W1_张力'!C15,'20_W1_张力'!E15,'20_W1_张力'!G15,'20_W1_张力'!I15))</x:f>
        <x:v>-21.9</x:v>
      </x:c>
      <x:c r="J515" s="32" t="str">
        <x:v>kPa</x:v>
      </x:c>
    </x:row>
    <x:row r="516">
      <x:c r="A516" s="72" t="n">
        <x:v>46240.840891203705</x:v>
      </x:c>
      <x:c r="B516" s="32" t="str">
        <x:v>土壤张力</x:v>
      </x:c>
      <x:c r="C516" s="32" t="str">
        <x:v>W1</x:v>
      </x:c>
      <x:c r="D516" s="32" t="str">
        <x:v>V1</x:v>
      </x:c>
      <x:c r="E516" s="86" t="n">
        <x:f>COUNT('20_W1_张力'!B16,'20_W1_张力'!D16,'20_W1_张力'!F16,'20_W1_张力'!H16)</x:f>
        <x:v>4</x:v>
      </x:c>
      <x:c r="F516" s="90" t="n">
        <x:f>IF(E516=0,"",AVERAGE('20_W1_张力'!B16,'20_W1_张力'!D16,'20_W1_张力'!F16,'20_W1_张力'!H16))</x:f>
        <x:v>-24.949999999999996</x:v>
      </x:c>
      <x:c r="G516" s="90" t="n">
        <x:f>IF(E516&lt;2,"",STDEV.S('20_W1_张力'!B16,'20_W1_张力'!D16,'20_W1_张力'!F16,'20_W1_张力'!H16))</x:f>
        <x:v>0.8736894948054096</x:v>
      </x:c>
      <x:c r="H516" s="90" t="n">
        <x:f>IF(E516=0,"",MIN('20_W1_张力'!B16,'20_W1_张力'!D16,'20_W1_张力'!F16,'20_W1_张力'!H16))</x:f>
        <x:v>-25.9</x:v>
      </x:c>
      <x:c r="I516" s="90" t="n">
        <x:f>IF(E516=0,"",MAX('20_W1_张力'!B16,'20_W1_张力'!D16,'20_W1_张力'!F16,'20_W1_张力'!H16))</x:f>
        <x:v>-23.8</x:v>
      </x:c>
      <x:c r="J516" s="32" t="str">
        <x:v>kPa</x:v>
      </x:c>
    </x:row>
    <x:row r="517">
      <x:c r="A517" s="72" t="n">
        <x:v>46240.840891203705</x:v>
      </x:c>
      <x:c r="B517" s="32" t="str">
        <x:v>土壤张力</x:v>
      </x:c>
      <x:c r="C517" s="32" t="str">
        <x:v>W1</x:v>
      </x:c>
      <x:c r="D517" s="32" t="str">
        <x:v>V2</x:v>
      </x:c>
      <x:c r="E517" s="86" t="n">
        <x:f>COUNT('20_W1_张力'!C16,'20_W1_张力'!E16,'20_W1_张力'!G16,'20_W1_张力'!I16)</x:f>
        <x:v>4</x:v>
      </x:c>
      <x:c r="F517" s="90" t="n">
        <x:f>IF(E517=0,"",AVERAGE('20_W1_张力'!C16,'20_W1_张力'!E16,'20_W1_张力'!G16,'20_W1_张力'!I16))</x:f>
        <x:v>-24.725</x:v>
      </x:c>
      <x:c r="G517" s="90" t="n">
        <x:f>IF(E517&lt;2,"",STDEV.S('20_W1_张力'!C16,'20_W1_张力'!E16,'20_W1_张力'!G16,'20_W1_张力'!I16))</x:f>
        <x:v>2.224672260506403</x:v>
      </x:c>
      <x:c r="H517" s="90" t="n">
        <x:f>IF(E517=0,"",MIN('20_W1_张力'!C16,'20_W1_张力'!E16,'20_W1_张力'!G16,'20_W1_张力'!I16))</x:f>
        <x:v>-26.6</x:v>
      </x:c>
      <x:c r="I517" s="90" t="n">
        <x:f>IF(E517=0,"",MAX('20_W1_张力'!C16,'20_W1_张力'!E16,'20_W1_张力'!G16,'20_W1_张力'!I16))</x:f>
        <x:v>-21.5</x:v>
      </x:c>
      <x:c r="J517" s="32" t="str">
        <x:v>kPa</x:v>
      </x:c>
    </x:row>
    <x:row r="518">
      <x:c r="A518" s="72" t="n">
        <x:v>46240.844363425924</x:v>
      </x:c>
      <x:c r="B518" s="32" t="str">
        <x:v>土壤张力</x:v>
      </x:c>
      <x:c r="C518" s="32" t="str">
        <x:v>W1</x:v>
      </x:c>
      <x:c r="D518" s="32" t="str">
        <x:v>V1</x:v>
      </x:c>
      <x:c r="E518" s="86" t="n">
        <x:f>COUNT('20_W1_张力'!B17,'20_W1_张力'!D17,'20_W1_张力'!F17,'20_W1_张力'!H17)</x:f>
        <x:v>4</x:v>
      </x:c>
      <x:c r="F518" s="90" t="n">
        <x:f>IF(E518=0,"",AVERAGE('20_W1_张力'!B17,'20_W1_张力'!D17,'20_W1_张力'!F17,'20_W1_张力'!H17))</x:f>
        <x:v>-24.975</x:v>
      </x:c>
      <x:c r="G518" s="90" t="n">
        <x:f>IF(E518&lt;2,"",STDEV.S('20_W1_张力'!B17,'20_W1_张力'!D17,'20_W1_张力'!F17,'20_W1_张力'!H17))</x:f>
        <x:v>1.114674840480398</x:v>
      </x:c>
      <x:c r="H518" s="90" t="n">
        <x:f>IF(E518=0,"",MIN('20_W1_张力'!B17,'20_W1_张力'!D17,'20_W1_张力'!F17,'20_W1_张力'!H17))</x:f>
        <x:v>-26</x:v>
      </x:c>
      <x:c r="I518" s="90" t="n">
        <x:f>IF(E518=0,"",MAX('20_W1_张力'!B17,'20_W1_张力'!D17,'20_W1_张力'!F17,'20_W1_张力'!H17))</x:f>
        <x:v>-23.4</x:v>
      </x:c>
      <x:c r="J518" s="32" t="str">
        <x:v>kPa</x:v>
      </x:c>
    </x:row>
    <x:row r="519">
      <x:c r="A519" s="72" t="n">
        <x:v>46240.844363425924</x:v>
      </x:c>
      <x:c r="B519" s="32" t="str">
        <x:v>土壤张力</x:v>
      </x:c>
      <x:c r="C519" s="32" t="str">
        <x:v>W1</x:v>
      </x:c>
      <x:c r="D519" s="32" t="str">
        <x:v>V2</x:v>
      </x:c>
      <x:c r="E519" s="86" t="n">
        <x:f>COUNT('20_W1_张力'!C17,'20_W1_张力'!E17,'20_W1_张力'!G17,'20_W1_张力'!I17)</x:f>
        <x:v>4</x:v>
      </x:c>
      <x:c r="F519" s="90" t="n">
        <x:f>IF(E519=0,"",AVERAGE('20_W1_张力'!C17,'20_W1_张力'!E17,'20_W1_张力'!G17,'20_W1_张力'!I17))</x:f>
        <x:v>-24.699999999999996</x:v>
      </x:c>
      <x:c r="G519" s="90" t="n">
        <x:f>IF(E519&lt;2,"",STDEV.S('20_W1_张力'!C17,'20_W1_张力'!E17,'20_W1_张力'!G17,'20_W1_张力'!I17))</x:f>
        <x:v>2.4859605789312105</x:v>
      </x:c>
      <x:c r="H519" s="90" t="n">
        <x:f>IF(E519=0,"",MIN('20_W1_张力'!C17,'20_W1_张力'!E17,'20_W1_张力'!G17,'20_W1_张力'!I17))</x:f>
        <x:v>-26.9</x:v>
      </x:c>
      <x:c r="I519" s="90" t="n">
        <x:f>IF(E519=0,"",MAX('20_W1_张力'!C17,'20_W1_张力'!E17,'20_W1_张力'!G17,'20_W1_张力'!I17))</x:f>
        <x:v>-21.2</x:v>
      </x:c>
      <x:c r="J519" s="32" t="str">
        <x:v>kPa</x:v>
      </x:c>
    </x:row>
    <x:row r="520">
      <x:c r="A520" s="72" t="n">
        <x:v>46240.84783564815</x:v>
      </x:c>
      <x:c r="B520" s="32" t="str">
        <x:v>土壤张力</x:v>
      </x:c>
      <x:c r="C520" s="32" t="str">
        <x:v>W1</x:v>
      </x:c>
      <x:c r="D520" s="32" t="str">
        <x:v>V1</x:v>
      </x:c>
      <x:c r="E520" s="86" t="n">
        <x:f>COUNT('20_W1_张力'!B18,'20_W1_张力'!D18,'20_W1_张力'!F18,'20_W1_张力'!H18)</x:f>
        <x:v>4</x:v>
      </x:c>
      <x:c r="F520" s="90" t="n">
        <x:f>IF(E520=0,"",AVERAGE('20_W1_张力'!B18,'20_W1_张力'!D18,'20_W1_张力'!F18,'20_W1_张力'!H18))</x:f>
        <x:v>-24.924999999999997</x:v>
      </x:c>
      <x:c r="G520" s="90" t="n">
        <x:f>IF(E520&lt;2,"",STDEV.S('20_W1_张力'!B18,'20_W1_张力'!D18,'20_W1_张力'!F18,'20_W1_张力'!H18))</x:f>
        <x:v>1.4174507634012086</x:v>
      </x:c>
      <x:c r="H520" s="90" t="n">
        <x:f>IF(E520=0,"",MIN('20_W1_张力'!B18,'20_W1_张力'!D18,'20_W1_张力'!F18,'20_W1_张力'!H18))</x:f>
        <x:v>-26</x:v>
      </x:c>
      <x:c r="I520" s="90" t="n">
        <x:f>IF(E520=0,"",MAX('20_W1_张力'!B18,'20_W1_张力'!D18,'20_W1_张力'!F18,'20_W1_张力'!H18))</x:f>
        <x:v>-22.9</x:v>
      </x:c>
      <x:c r="J520" s="32" t="str">
        <x:v>kPa</x:v>
      </x:c>
    </x:row>
    <x:row r="521">
      <x:c r="A521" s="72" t="n">
        <x:v>46240.84783564815</x:v>
      </x:c>
      <x:c r="B521" s="32" t="str">
        <x:v>土壤张力</x:v>
      </x:c>
      <x:c r="C521" s="32" t="str">
        <x:v>W1</x:v>
      </x:c>
      <x:c r="D521" s="32" t="str">
        <x:v>V2</x:v>
      </x:c>
      <x:c r="E521" s="86" t="n">
        <x:f>COUNT('20_W1_张力'!C18,'20_W1_张力'!E18,'20_W1_张力'!G18,'20_W1_张力'!I18)</x:f>
        <x:v>4</x:v>
      </x:c>
      <x:c r="F521" s="90" t="n">
        <x:f>IF(E521=0,"",AVERAGE('20_W1_张力'!C18,'20_W1_张力'!E18,'20_W1_张力'!G18,'20_W1_张力'!I18))</x:f>
        <x:v>-24.725</x:v>
      </x:c>
      <x:c r="G521" s="90" t="n">
        <x:f>IF(E521&lt;2,"",STDEV.S('20_W1_张力'!C18,'20_W1_张力'!E18,'20_W1_张力'!G18,'20_W1_张力'!I18))</x:f>
        <x:v>2.6600438592875357</x:v>
      </x:c>
      <x:c r="H521" s="90" t="n">
        <x:f>IF(E521=0,"",MIN('20_W1_张力'!C18,'20_W1_张力'!E18,'20_W1_张力'!G18,'20_W1_张力'!I18))</x:f>
        <x:v>-27</x:v>
      </x:c>
      <x:c r="I521" s="90" t="n">
        <x:f>IF(E521=0,"",MAX('20_W1_张力'!C18,'20_W1_张力'!E18,'20_W1_张力'!G18,'20_W1_张力'!I18))</x:f>
        <x:v>-21.1</x:v>
      </x:c>
      <x:c r="J521" s="32" t="str">
        <x:v>kPa</x:v>
      </x:c>
    </x:row>
    <x:row r="522">
      <x:c r="A522" s="72" t="n">
        <x:v>46240.85130787037</x:v>
      </x:c>
      <x:c r="B522" s="32" t="str">
        <x:v>土壤张力</x:v>
      </x:c>
      <x:c r="C522" s="32" t="str">
        <x:v>W1</x:v>
      </x:c>
      <x:c r="D522" s="32" t="str">
        <x:v>V1</x:v>
      </x:c>
      <x:c r="E522" s="86" t="n">
        <x:f>COUNT('20_W1_张力'!B19,'20_W1_张力'!D19,'20_W1_张力'!F19,'20_W1_张力'!H19)</x:f>
        <x:v>4</x:v>
      </x:c>
      <x:c r="F522" s="90" t="n">
        <x:f>IF(E522=0,"",AVERAGE('20_W1_张力'!B19,'20_W1_张力'!D19,'20_W1_张力'!F19,'20_W1_张力'!H19))</x:f>
        <x:v>-24.925000000000004</x:v>
      </x:c>
      <x:c r="G522" s="90" t="n">
        <x:f>IF(E522&lt;2,"",STDEV.S('20_W1_张力'!B19,'20_W1_张力'!D19,'20_W1_张力'!F19,'20_W1_张力'!H19))</x:f>
        <x:v>1.7557049866079444</x:v>
      </x:c>
      <x:c r="H522" s="90" t="n">
        <x:f>IF(E522=0,"",MIN('20_W1_张力'!B19,'20_W1_张力'!D19,'20_W1_张力'!F19,'20_W1_张力'!H19))</x:f>
        <x:v>-26.3</x:v>
      </x:c>
      <x:c r="I522" s="90" t="n">
        <x:f>IF(E522=0,"",MAX('20_W1_张力'!B19,'20_W1_张力'!D19,'20_W1_张力'!F19,'20_W1_张力'!H19))</x:f>
        <x:v>-22.4</x:v>
      </x:c>
      <x:c r="J522" s="32" t="str">
        <x:v>kPa</x:v>
      </x:c>
    </x:row>
    <x:row r="523">
      <x:c r="A523" s="72" t="n">
        <x:v>46240.85130787037</x:v>
      </x:c>
      <x:c r="B523" s="32" t="str">
        <x:v>土壤张力</x:v>
      </x:c>
      <x:c r="C523" s="32" t="str">
        <x:v>W1</x:v>
      </x:c>
      <x:c r="D523" s="32" t="str">
        <x:v>V2</x:v>
      </x:c>
      <x:c r="E523" s="86" t="n">
        <x:f>COUNT('20_W1_张力'!C19,'20_W1_张力'!E19,'20_W1_张力'!G19,'20_W1_张力'!I19)</x:f>
        <x:v>4</x:v>
      </x:c>
      <x:c r="F523" s="90" t="n">
        <x:f>IF(E523=0,"",AVERAGE('20_W1_张力'!C19,'20_W1_张力'!E19,'20_W1_张力'!G19,'20_W1_张力'!I19))</x:f>
        <x:v>-24.674999999999997</x:v>
      </x:c>
      <x:c r="G523" s="90" t="n">
        <x:f>IF(E523&lt;2,"",STDEV.S('20_W1_张力'!C19,'20_W1_张力'!E19,'20_W1_张力'!G19,'20_W1_张力'!I19))</x:f>
        <x:v>2.8300471138598855</x:v>
      </x:c>
      <x:c r="H523" s="90" t="n">
        <x:f>IF(E523=0,"",MIN('20_W1_张力'!C19,'20_W1_张力'!E19,'20_W1_张力'!G19,'20_W1_张力'!I19))</x:f>
        <x:v>-27</x:v>
      </x:c>
      <x:c r="I523" s="90" t="n">
        <x:f>IF(E523=0,"",MAX('20_W1_张力'!C19,'20_W1_张力'!E19,'20_W1_张力'!G19,'20_W1_张力'!I19))</x:f>
        <x:v>-21</x:v>
      </x:c>
      <x:c r="J523" s="32" t="str">
        <x:v>kPa</x:v>
      </x:c>
    </x:row>
    <x:row r="524">
      <x:c r="A524" s="72" t="n">
        <x:v>46240.854780092595</x:v>
      </x:c>
      <x:c r="B524" s="32" t="str">
        <x:v>土壤张力</x:v>
      </x:c>
      <x:c r="C524" s="32" t="str">
        <x:v>W1</x:v>
      </x:c>
      <x:c r="D524" s="32" t="str">
        <x:v>V1</x:v>
      </x:c>
      <x:c r="E524" s="86" t="n">
        <x:f>COUNT('20_W1_张力'!B20,'20_W1_张力'!D20,'20_W1_张力'!F20,'20_W1_张力'!H20)</x:f>
        <x:v>4</x:v>
      </x:c>
      <x:c r="F524" s="90" t="n">
        <x:f>IF(E524=0,"",AVERAGE('20_W1_张力'!B20,'20_W1_张力'!D20,'20_W1_张力'!F20,'20_W1_张力'!H20))</x:f>
        <x:v>-24.875</x:v>
      </x:c>
      <x:c r="G524" s="90" t="n">
        <x:f>IF(E524&lt;2,"",STDEV.S('20_W1_张力'!B20,'20_W1_张力'!D20,'20_W1_张力'!F20,'20_W1_张力'!H20))</x:f>
        <x:v>2.0966242709015215</x:v>
      </x:c>
      <x:c r="H524" s="90" t="n">
        <x:f>IF(E524=0,"",MIN('20_W1_张力'!B20,'20_W1_张力'!D20,'20_W1_张力'!F20,'20_W1_张力'!H20))</x:f>
        <x:v>-26.8</x:v>
      </x:c>
      <x:c r="I524" s="90" t="n">
        <x:f>IF(E524=0,"",MAX('20_W1_张力'!B20,'20_W1_张力'!D20,'20_W1_张力'!F20,'20_W1_张力'!H20))</x:f>
        <x:v>-21.9</x:v>
      </x:c>
      <x:c r="J524" s="32" t="str">
        <x:v>kPa</x:v>
      </x:c>
    </x:row>
    <x:row r="525">
      <x:c r="A525" s="72" t="n">
        <x:v>46240.854780092595</x:v>
      </x:c>
      <x:c r="B525" s="32" t="str">
        <x:v>土壤张力</x:v>
      </x:c>
      <x:c r="C525" s="32" t="str">
        <x:v>W1</x:v>
      </x:c>
      <x:c r="D525" s="32" t="str">
        <x:v>V2</x:v>
      </x:c>
      <x:c r="E525" s="86" t="n">
        <x:f>COUNT('20_W1_张力'!C20,'20_W1_张力'!E20,'20_W1_张力'!G20,'20_W1_张力'!I20)</x:f>
        <x:v>4</x:v>
      </x:c>
      <x:c r="F525" s="90" t="n">
        <x:f>IF(E525=0,"",AVERAGE('20_W1_张力'!C20,'20_W1_张力'!E20,'20_W1_张力'!G20,'20_W1_张力'!I20))</x:f>
        <x:v>-24.675000000000004</x:v>
      </x:c>
      <x:c r="G525" s="90" t="n">
        <x:f>IF(E525&lt;2,"",STDEV.S('20_W1_张力'!C20,'20_W1_张力'!E20,'20_W1_张力'!G20,'20_W1_张力'!I20))</x:f>
        <x:v>2.957899029153406</x:v>
      </x:c>
      <x:c r="H525" s="90" t="n">
        <x:f>IF(E525=0,"",MIN('20_W1_张力'!C20,'20_W1_张力'!E20,'20_W1_张力'!G20,'20_W1_张力'!I20))</x:f>
        <x:v>-27.3</x:v>
      </x:c>
      <x:c r="I525" s="90" t="n">
        <x:f>IF(E525=0,"",MAX('20_W1_张力'!C20,'20_W1_张力'!E20,'20_W1_张力'!G20,'20_W1_张力'!I20))</x:f>
        <x:v>-21.1</x:v>
      </x:c>
      <x:c r="J525" s="32" t="str">
        <x:v>kPa</x:v>
      </x:c>
    </x:row>
    <x:row r="526">
      <x:c r="A526" s="72" t="n">
        <x:v>46240.858252314814</x:v>
      </x:c>
      <x:c r="B526" s="32" t="str">
        <x:v>土壤张力</x:v>
      </x:c>
      <x:c r="C526" s="32" t="str">
        <x:v>W1</x:v>
      </x:c>
      <x:c r="D526" s="32" t="str">
        <x:v>V1</x:v>
      </x:c>
      <x:c r="E526" s="86" t="n">
        <x:f>COUNT('20_W1_张力'!B21,'20_W1_张力'!D21,'20_W1_张力'!F21,'20_W1_张力'!H21)</x:f>
        <x:v>4</x:v>
      </x:c>
      <x:c r="F526" s="90" t="n">
        <x:f>IF(E526=0,"",AVERAGE('20_W1_张力'!B21,'20_W1_张力'!D21,'20_W1_张力'!F21,'20_W1_张力'!H21))</x:f>
        <x:v>-24.875</x:v>
      </x:c>
      <x:c r="G526" s="90" t="n">
        <x:f>IF(E526&lt;2,"",STDEV.S('20_W1_张力'!B21,'20_W1_张力'!D21,'20_W1_张力'!F21,'20_W1_张力'!H21))</x:f>
        <x:v>2.4060687161148713</x:v>
      </x:c>
      <x:c r="H526" s="90" t="n">
        <x:f>IF(E526=0,"",MIN('20_W1_张力'!B21,'20_W1_张力'!D21,'20_W1_张力'!F21,'20_W1_张力'!H21))</x:f>
        <x:v>-27.2</x:v>
      </x:c>
      <x:c r="I526" s="90" t="n">
        <x:f>IF(E526=0,"",MAX('20_W1_张力'!B21,'20_W1_张力'!D21,'20_W1_张力'!F21,'20_W1_张力'!H21))</x:f>
        <x:v>-21.5</x:v>
      </x:c>
      <x:c r="J526" s="32" t="str">
        <x:v>kPa</x:v>
      </x:c>
    </x:row>
    <x:row r="527">
      <x:c r="A527" s="72" t="n">
        <x:v>46240.858252314814</x:v>
      </x:c>
      <x:c r="B527" s="32" t="str">
        <x:v>土壤张力</x:v>
      </x:c>
      <x:c r="C527" s="32" t="str">
        <x:v>W1</x:v>
      </x:c>
      <x:c r="D527" s="32" t="str">
        <x:v>V2</x:v>
      </x:c>
      <x:c r="E527" s="86" t="n">
        <x:f>COUNT('20_W1_张力'!C21,'20_W1_张力'!E21,'20_W1_张力'!G21,'20_W1_张力'!I21)</x:f>
        <x:v>4</x:v>
      </x:c>
      <x:c r="F527" s="90" t="n">
        <x:f>IF(E527=0,"",AVERAGE('20_W1_张力'!C21,'20_W1_张力'!E21,'20_W1_张力'!G21,'20_W1_张力'!I21))</x:f>
        <x:v>-24.625</x:v>
      </x:c>
      <x:c r="G527" s="90" t="n">
        <x:f>IF(E527&lt;2,"",STDEV.S('20_W1_张力'!C21,'20_W1_张力'!E21,'20_W1_张力'!G21,'20_W1_张力'!I21))</x:f>
        <x:v>3.092329219213246</x:v>
      </x:c>
      <x:c r="H527" s="90" t="n">
        <x:f>IF(E527=0,"",MIN('20_W1_张力'!C21,'20_W1_张力'!E21,'20_W1_张力'!G21,'20_W1_张力'!I21))</x:f>
        <x:v>-27.8</x:v>
      </x:c>
      <x:c r="I527" s="90" t="n">
        <x:f>IF(E527=0,"",MAX('20_W1_张力'!C21,'20_W1_张力'!E21,'20_W1_张力'!G21,'20_W1_张力'!I21))</x:f>
        <x:v>-21.2</x:v>
      </x:c>
      <x:c r="J527" s="32" t="str">
        <x:v>kPa</x:v>
      </x:c>
    </x:row>
    <x:row r="528">
      <x:c r="A528" s="72" t="n">
        <x:v>46240.86172453704</x:v>
      </x:c>
      <x:c r="B528" s="32" t="str">
        <x:v>土壤张力</x:v>
      </x:c>
      <x:c r="C528" s="32" t="str">
        <x:v>W1</x:v>
      </x:c>
      <x:c r="D528" s="32" t="str">
        <x:v>V1</x:v>
      </x:c>
      <x:c r="E528" s="86" t="n">
        <x:f>COUNT('20_W1_张力'!B22,'20_W1_张力'!D22,'20_W1_张力'!F22,'20_W1_张力'!H22)</x:f>
        <x:v>4</x:v>
      </x:c>
      <x:c r="F528" s="90" t="n">
        <x:f>IF(E528=0,"",AVERAGE('20_W1_张力'!B22,'20_W1_张力'!D22,'20_W1_张力'!F22,'20_W1_张力'!H22))</x:f>
        <x:v>-24.875</x:v>
      </x:c>
      <x:c r="G528" s="90" t="n">
        <x:f>IF(E528&lt;2,"",STDEV.S('20_W1_张力'!B22,'20_W1_张力'!D22,'20_W1_张力'!F22,'20_W1_张力'!H22))</x:f>
        <x:v>2.7072433704169763</x:v>
      </x:c>
      <x:c r="H528" s="90" t="n">
        <x:f>IF(E528=0,"",MIN('20_W1_张力'!B22,'20_W1_张力'!D22,'20_W1_张力'!F22,'20_W1_张力'!H22))</x:f>
        <x:v>-27.6</x:v>
      </x:c>
      <x:c r="I528" s="90" t="n">
        <x:f>IF(E528=0,"",MAX('20_W1_张力'!B22,'20_W1_张力'!D22,'20_W1_张力'!F22,'20_W1_张力'!H22))</x:f>
        <x:v>-21.2</x:v>
      </x:c>
      <x:c r="J528" s="32" t="str">
        <x:v>kPa</x:v>
      </x:c>
    </x:row>
    <x:row r="529">
      <x:c r="A529" s="72" t="n">
        <x:v>46240.86172453704</x:v>
      </x:c>
      <x:c r="B529" s="32" t="str">
        <x:v>土壤张力</x:v>
      </x:c>
      <x:c r="C529" s="32" t="str">
        <x:v>W1</x:v>
      </x:c>
      <x:c r="D529" s="32" t="str">
        <x:v>V2</x:v>
      </x:c>
      <x:c r="E529" s="86" t="n">
        <x:f>COUNT('20_W1_张力'!C22,'20_W1_张力'!E22,'20_W1_张力'!G22,'20_W1_张力'!I22)</x:f>
        <x:v>4</x:v>
      </x:c>
      <x:c r="F529" s="90" t="n">
        <x:f>IF(E529=0,"",AVERAGE('20_W1_张力'!C22,'20_W1_张力'!E22,'20_W1_张力'!G22,'20_W1_张力'!I22))</x:f>
        <x:v>-24.625</x:v>
      </x:c>
      <x:c r="G529" s="90" t="n">
        <x:f>IF(E529&lt;2,"",STDEV.S('20_W1_张力'!C22,'20_W1_张力'!E22,'20_W1_张力'!G22,'20_W1_张力'!I22))</x:f>
        <x:v>3.155286569130185</x:v>
      </x:c>
      <x:c r="H529" s="90" t="n">
        <x:f>IF(E529=0,"",MIN('20_W1_张力'!C22,'20_W1_张力'!E22,'20_W1_张力'!G22,'20_W1_张力'!I22))</x:f>
        <x:v>-28.2</x:v>
      </x:c>
      <x:c r="I529" s="90" t="n">
        <x:f>IF(E529=0,"",MAX('20_W1_张力'!C22,'20_W1_张力'!E22,'20_W1_张力'!G22,'20_W1_张力'!I22))</x:f>
        <x:v>-21.5</x:v>
      </x:c>
      <x:c r="J529" s="32" t="str">
        <x:v>kPa</x:v>
      </x:c>
    </x:row>
    <x:row r="530">
      <x:c r="A530" s="72" t="n">
        <x:v>46240.86519675926</x:v>
      </x:c>
      <x:c r="B530" s="32" t="str">
        <x:v>土壤张力</x:v>
      </x:c>
      <x:c r="C530" s="32" t="str">
        <x:v>W1</x:v>
      </x:c>
      <x:c r="D530" s="32" t="str">
        <x:v>V1</x:v>
      </x:c>
      <x:c r="E530" s="86" t="n">
        <x:f>COUNT('20_W1_张力'!B23,'20_W1_张力'!D23,'20_W1_张力'!F23,'20_W1_张力'!H23)</x:f>
        <x:v>4</x:v>
      </x:c>
      <x:c r="F530" s="90" t="n">
        <x:f>IF(E530=0,"",AVERAGE('20_W1_张力'!B23,'20_W1_张力'!D23,'20_W1_张力'!F23,'20_W1_张力'!H23))</x:f>
        <x:v>-24.925000000000004</x:v>
      </x:c>
      <x:c r="G530" s="90" t="n">
        <x:f>IF(E530&lt;2,"",STDEV.S('20_W1_张力'!B23,'20_W1_张力'!D23,'20_W1_张力'!F23,'20_W1_张力'!H23))</x:f>
        <x:v>2.9067450295247195</x:v>
      </x:c>
      <x:c r="H530" s="90" t="n">
        <x:f>IF(E530=0,"",MIN('20_W1_张力'!B23,'20_W1_张力'!D23,'20_W1_张力'!F23,'20_W1_张力'!H23))</x:f>
        <x:v>-27.8</x:v>
      </x:c>
      <x:c r="I530" s="90" t="n">
        <x:f>IF(E530=0,"",MAX('20_W1_张力'!B23,'20_W1_张力'!D23,'20_W1_张力'!F23,'20_W1_张力'!H23))</x:f>
        <x:v>-21.1</x:v>
      </x:c>
      <x:c r="J530" s="32" t="str">
        <x:v>kPa</x:v>
      </x:c>
    </x:row>
    <x:row r="531">
      <x:c r="A531" s="72" t="n">
        <x:v>46240.86519675926</x:v>
      </x:c>
      <x:c r="B531" s="32" t="str">
        <x:v>土壤张力</x:v>
      </x:c>
      <x:c r="C531" s="32" t="str">
        <x:v>W1</x:v>
      </x:c>
      <x:c r="D531" s="32" t="str">
        <x:v>V2</x:v>
      </x:c>
      <x:c r="E531" s="86" t="n">
        <x:f>COUNT('20_W1_张力'!C23,'20_W1_张力'!E23,'20_W1_张力'!G23,'20_W1_张力'!I23)</x:f>
        <x:v>4</x:v>
      </x:c>
      <x:c r="F531" s="90" t="n">
        <x:f>IF(E531=0,"",AVERAGE('20_W1_张力'!C23,'20_W1_张力'!E23,'20_W1_张力'!G23,'20_W1_张力'!I23))</x:f>
        <x:v>-24.625</x:v>
      </x:c>
      <x:c r="G531" s="90" t="n">
        <x:f>IF(E531&lt;2,"",STDEV.S('20_W1_张力'!C23,'20_W1_张力'!E23,'20_W1_张力'!G23,'20_W1_张力'!I23))</x:f>
        <x:v>3.1878676258590173</x:v>
      </x:c>
      <x:c r="H531" s="90" t="n">
        <x:f>IF(E531=0,"",MIN('20_W1_张力'!C23,'20_W1_张力'!E23,'20_W1_张力'!G23,'20_W1_张力'!I23))</x:f>
        <x:v>-28.6</x:v>
      </x:c>
      <x:c r="I531" s="90" t="n">
        <x:f>IF(E531=0,"",MAX('20_W1_张力'!C23,'20_W1_张力'!E23,'20_W1_张力'!G23,'20_W1_张力'!I23))</x:f>
        <x:v>-21.9</x:v>
      </x:c>
      <x:c r="J531" s="32" t="str">
        <x:v>kPa</x:v>
      </x:c>
    </x:row>
    <x:row r="532">
      <x:c r="A532" s="72" t="n">
        <x:v>46240.86866898148</x:v>
      </x:c>
      <x:c r="B532" s="32" t="str">
        <x:v>土壤张力</x:v>
      </x:c>
      <x:c r="C532" s="32" t="str">
        <x:v>W1</x:v>
      </x:c>
      <x:c r="D532" s="32" t="str">
        <x:v>V1</x:v>
      </x:c>
      <x:c r="E532" s="86" t="n">
        <x:f>COUNT('20_W1_张力'!B24,'20_W1_张力'!D24,'20_W1_张力'!F24,'20_W1_张力'!H24)</x:f>
        <x:v>4</x:v>
      </x:c>
      <x:c r="F532" s="90" t="n">
        <x:f>IF(E532=0,"",AVERAGE('20_W1_张力'!B24,'20_W1_张力'!D24,'20_W1_张力'!F24,'20_W1_张力'!H24))</x:f>
        <x:v>-24.924999999999997</x:v>
      </x:c>
      <x:c r="G532" s="90" t="n">
        <x:f>IF(E532&lt;2,"",STDEV.S('20_W1_张力'!B24,'20_W1_张力'!D24,'20_W1_张力'!F24,'20_W1_张力'!H24))</x:f>
        <x:v>3.131958918419376</x:v>
      </x:c>
      <x:c r="H532" s="90" t="n">
        <x:f>IF(E532=0,"",MIN('20_W1_张力'!B24,'20_W1_张力'!D24,'20_W1_张力'!F24,'20_W1_张力'!H24))</x:f>
        <x:v>-28</x:v>
      </x:c>
      <x:c r="I532" s="90" t="n">
        <x:f>IF(E532=0,"",MAX('20_W1_张力'!B24,'20_W1_张力'!D24,'20_W1_张力'!F24,'20_W1_张力'!H24))</x:f>
        <x:v>-21</x:v>
      </x:c>
      <x:c r="J532" s="32" t="str">
        <x:v>kPa</x:v>
      </x:c>
    </x:row>
    <x:row r="533">
      <x:c r="A533" s="72" t="n">
        <x:v>46240.86866898148</x:v>
      </x:c>
      <x:c r="B533" s="32" t="str">
        <x:v>土壤张力</x:v>
      </x:c>
      <x:c r="C533" s="32" t="str">
        <x:v>W1</x:v>
      </x:c>
      <x:c r="D533" s="32" t="str">
        <x:v>V2</x:v>
      </x:c>
      <x:c r="E533" s="86" t="n">
        <x:f>COUNT('20_W1_张力'!C24,'20_W1_张力'!E24,'20_W1_张力'!G24,'20_W1_张力'!I24)</x:f>
        <x:v>4</x:v>
      </x:c>
      <x:c r="F533" s="90" t="n">
        <x:f>IF(E533=0,"",AVERAGE('20_W1_张力'!C24,'20_W1_张力'!E24,'20_W1_张力'!G24,'20_W1_张力'!I24))</x:f>
        <x:v>-24.675000000000004</x:v>
      </x:c>
      <x:c r="G533" s="90" t="n">
        <x:f>IF(E533&lt;2,"",STDEV.S('20_W1_张力'!C24,'20_W1_张力'!E24,'20_W1_张力'!G24,'20_W1_张力'!I24))</x:f>
        <x:v>3.1276988346066825</x:v>
      </x:c>
      <x:c r="H533" s="90" t="n">
        <x:f>IF(E533=0,"",MIN('20_W1_张力'!C24,'20_W1_张力'!E24,'20_W1_张力'!G24,'20_W1_张力'!I24))</x:f>
        <x:v>-28.8</x:v>
      </x:c>
      <x:c r="I533" s="90" t="n">
        <x:f>IF(E533=0,"",MAX('20_W1_张力'!C24,'20_W1_张力'!E24,'20_W1_张力'!G24,'20_W1_张力'!I24))</x:f>
        <x:v>-22.1</x:v>
      </x:c>
      <x:c r="J533" s="32" t="str">
        <x:v>kPa</x:v>
      </x:c>
    </x:row>
    <x:row r="534">
      <x:c r="A534" s="72" t="n">
        <x:v>46240.872141203705</x:v>
      </x:c>
      <x:c r="B534" s="32" t="str">
        <x:v>土壤张力</x:v>
      </x:c>
      <x:c r="C534" s="32" t="str">
        <x:v>W1</x:v>
      </x:c>
      <x:c r="D534" s="32" t="str">
        <x:v>V1</x:v>
      </x:c>
      <x:c r="E534" s="86" t="n">
        <x:f>COUNT('20_W1_张力'!B25,'20_W1_张力'!D25,'20_W1_张力'!F25,'20_W1_张力'!H25)</x:f>
        <x:v>4</x:v>
      </x:c>
      <x:c r="F534" s="90" t="n">
        <x:f>IF(E534=0,"",AVERAGE('20_W1_张力'!B25,'20_W1_张力'!D25,'20_W1_张力'!F25,'20_W1_张力'!H25))</x:f>
        <x:v>-24.950000000000003</x:v>
      </x:c>
      <x:c r="G534" s="90" t="n">
        <x:f>IF(E534&lt;2,"",STDEV.S('20_W1_张力'!B25,'20_W1_张力'!D25,'20_W1_张力'!F25,'20_W1_张力'!H25))</x:f>
        <x:v>3.2685368796042873</x:v>
      </x:c>
      <x:c r="H534" s="90" t="n">
        <x:f>IF(E534=0,"",MIN('20_W1_张力'!B25,'20_W1_张力'!D25,'20_W1_张力'!F25,'20_W1_张力'!H25))</x:f>
        <x:v>-28</x:v>
      </x:c>
      <x:c r="I534" s="90" t="n">
        <x:f>IF(E534=0,"",MAX('20_W1_张力'!B25,'20_W1_张力'!D25,'20_W1_张力'!F25,'20_W1_张力'!H25))</x:f>
        <x:v>-21.1</x:v>
      </x:c>
      <x:c r="J534" s="32" t="str">
        <x:v>kPa</x:v>
      </x:c>
    </x:row>
    <x:row r="535">
      <x:c r="A535" s="72" t="n">
        <x:v>46240.872141203705</x:v>
      </x:c>
      <x:c r="B535" s="32" t="str">
        <x:v>土壤张力</x:v>
      </x:c>
      <x:c r="C535" s="32" t="str">
        <x:v>W1</x:v>
      </x:c>
      <x:c r="D535" s="32" t="str">
        <x:v>V2</x:v>
      </x:c>
      <x:c r="E535" s="86" t="n">
        <x:f>COUNT('20_W1_张力'!C25,'20_W1_张力'!E25,'20_W1_张力'!G25,'20_W1_张力'!I25)</x:f>
        <x:v>4</x:v>
      </x:c>
      <x:c r="F535" s="90" t="n">
        <x:f>IF(E535=0,"",AVERAGE('20_W1_张力'!C25,'20_W1_张力'!E25,'20_W1_张力'!G25,'20_W1_张力'!I25))</x:f>
        <x:v>-24.674999999999997</x:v>
      </x:c>
      <x:c r="G535" s="90" t="n">
        <x:f>IF(E535&lt;2,"",STDEV.S('20_W1_张力'!C25,'20_W1_张力'!E25,'20_W1_张力'!G25,'20_W1_张力'!I25))</x:f>
        <x:v>3.1319589184193757</x:v>
      </x:c>
      <x:c r="H535" s="90" t="n">
        <x:f>IF(E535=0,"",MIN('20_W1_张力'!C25,'20_W1_张力'!E25,'20_W1_张力'!G25,'20_W1_张力'!I25))</x:f>
        <x:v>-29</x:v>
      </x:c>
      <x:c r="I535" s="90" t="n">
        <x:f>IF(E535=0,"",MAX('20_W1_张力'!C25,'20_W1_张力'!E25,'20_W1_张力'!G25,'20_W1_张力'!I25))</x:f>
        <x:v>-22</x:v>
      </x:c>
      <x:c r="J535" s="32" t="str">
        <x:v>kPa</x:v>
      </x:c>
    </x:row>
    <x:row r="536">
      <x:c r="A536" s="72" t="n">
        <x:v>46240.875613425924</x:v>
      </x:c>
      <x:c r="B536" s="32" t="str">
        <x:v>土壤张力</x:v>
      </x:c>
      <x:c r="C536" s="32" t="str">
        <x:v>W1</x:v>
      </x:c>
      <x:c r="D536" s="32" t="str">
        <x:v>V1</x:v>
      </x:c>
      <x:c r="E536" s="86" t="n">
        <x:f>COUNT('20_W1_张力'!B26,'20_W1_张力'!D26,'20_W1_张力'!F26,'20_W1_张力'!H26)</x:f>
        <x:v>4</x:v>
      </x:c>
      <x:c r="F536" s="90" t="n">
        <x:f>IF(E536=0,"",AVERAGE('20_W1_张力'!B26,'20_W1_张力'!D26,'20_W1_张力'!F26,'20_W1_张力'!H26))</x:f>
        <x:v>-24.950000000000003</x:v>
      </x:c>
      <x:c r="G536" s="90" t="n">
        <x:f>IF(E536&lt;2,"",STDEV.S('20_W1_张力'!B26,'20_W1_张力'!D26,'20_W1_张力'!F26,'20_W1_张力'!H26))</x:f>
        <x:v>3.4200389861325657</x:v>
      </x:c>
      <x:c r="H536" s="90" t="n">
        <x:f>IF(E536=0,"",MIN('20_W1_张力'!B26,'20_W1_张力'!D26,'20_W1_张力'!F26,'20_W1_张力'!H26))</x:f>
        <x:v>-27.9</x:v>
      </x:c>
      <x:c r="I536" s="90" t="n">
        <x:f>IF(E536=0,"",MAX('20_W1_张力'!B26,'20_W1_张力'!D26,'20_W1_张力'!F26,'20_W1_张力'!H26))</x:f>
        <x:v>-21.2</x:v>
      </x:c>
      <x:c r="J536" s="32" t="str">
        <x:v>kPa</x:v>
      </x:c>
    </x:row>
    <x:row r="537">
      <x:c r="A537" s="72" t="n">
        <x:v>46240.875613425924</x:v>
      </x:c>
      <x:c r="B537" s="32" t="str">
        <x:v>土壤张力</x:v>
      </x:c>
      <x:c r="C537" s="32" t="str">
        <x:v>W1</x:v>
      </x:c>
      <x:c r="D537" s="32" t="str">
        <x:v>V2</x:v>
      </x:c>
      <x:c r="E537" s="86" t="n">
        <x:f>COUNT('20_W1_张力'!C26,'20_W1_张力'!E26,'20_W1_张力'!G26,'20_W1_张力'!I26)</x:f>
        <x:v>4</x:v>
      </x:c>
      <x:c r="F537" s="90" t="n">
        <x:f>IF(E537=0,"",AVERAGE('20_W1_张力'!C26,'20_W1_张力'!E26,'20_W1_张力'!G26,'20_W1_张力'!I26))</x:f>
        <x:v>-24.700000000000003</x:v>
      </x:c>
      <x:c r="G537" s="90" t="n">
        <x:f>IF(E537&lt;2,"",STDEV.S('20_W1_张力'!C26,'20_W1_张力'!E26,'20_W1_张力'!G26,'20_W1_张力'!I26))</x:f>
        <x:v>3.016620625799671</x:v>
      </x:c>
      <x:c r="H537" s="90" t="n">
        <x:f>IF(E537=0,"",MIN('20_W1_张力'!C26,'20_W1_张力'!E26,'20_W1_张力'!G26,'20_W1_张力'!I26))</x:f>
        <x:v>-29</x:v>
      </x:c>
      <x:c r="I537" s="90" t="n">
        <x:f>IF(E537=0,"",MAX('20_W1_张力'!C26,'20_W1_张力'!E26,'20_W1_张力'!G26,'20_W1_张力'!I26))</x:f>
        <x:v>-22.1</x:v>
      </x:c>
      <x:c r="J537" s="32" t="str">
        <x:v>kPa</x:v>
      </x:c>
    </x:row>
    <x:row r="538">
      <x:c r="A538" s="72" t="n">
        <x:v>46240.87908564815</x:v>
      </x:c>
      <x:c r="B538" s="32" t="str">
        <x:v>土壤张力</x:v>
      </x:c>
      <x:c r="C538" s="32" t="str">
        <x:v>W1</x:v>
      </x:c>
      <x:c r="D538" s="32" t="str">
        <x:v>V1</x:v>
      </x:c>
      <x:c r="E538" s="86" t="n">
        <x:f>COUNT('20_W1_张力'!B27,'20_W1_张力'!D27,'20_W1_张力'!F27,'20_W1_张力'!H27)</x:f>
        <x:v>4</x:v>
      </x:c>
      <x:c r="F538" s="90" t="n">
        <x:f>IF(E538=0,"",AVERAGE('20_W1_张力'!B27,'20_W1_张力'!D27,'20_W1_张力'!F27,'20_W1_张力'!H27))</x:f>
        <x:v>-24.95</x:v>
      </x:c>
      <x:c r="G538" s="90" t="n">
        <x:f>IF(E538&lt;2,"",STDEV.S('20_W1_张力'!B27,'20_W1_张力'!D27,'20_W1_张力'!F27,'20_W1_张力'!H27))</x:f>
        <x:v>3.4394767043839676</x:v>
      </x:c>
      <x:c r="H538" s="90" t="n">
        <x:f>IF(E538=0,"",MIN('20_W1_张力'!B27,'20_W1_张力'!D27,'20_W1_张力'!F27,'20_W1_张力'!H27))</x:f>
        <x:v>-28.2</x:v>
      </x:c>
      <x:c r="I538" s="90" t="n">
        <x:f>IF(E538=0,"",MAX('20_W1_张力'!B27,'20_W1_张力'!D27,'20_W1_张力'!F27,'20_W1_张力'!H27))</x:f>
        <x:v>-21.5</x:v>
      </x:c>
      <x:c r="J538" s="32" t="str">
        <x:v>kPa</x:v>
      </x:c>
    </x:row>
    <x:row r="539">
      <x:c r="A539" s="72" t="n">
        <x:v>46240.87908564815</x:v>
      </x:c>
      <x:c r="B539" s="32" t="str">
        <x:v>土壤张力</x:v>
      </x:c>
      <x:c r="C539" s="32" t="str">
        <x:v>W1</x:v>
      </x:c>
      <x:c r="D539" s="32" t="str">
        <x:v>V2</x:v>
      </x:c>
      <x:c r="E539" s="86" t="n">
        <x:f>COUNT('20_W1_张力'!C27,'20_W1_张力'!E27,'20_W1_张力'!G27,'20_W1_张力'!I27)</x:f>
        <x:v>4</x:v>
      </x:c>
      <x:c r="F539" s="90" t="n">
        <x:f>IF(E539=0,"",AVERAGE('20_W1_张力'!C27,'20_W1_张力'!E27,'20_W1_张力'!G27,'20_W1_张力'!I27))</x:f>
        <x:v>-24.700000000000003</x:v>
      </x:c>
      <x:c r="G539" s="90" t="n">
        <x:f>IF(E539&lt;2,"",STDEV.S('20_W1_张力'!C27,'20_W1_张力'!E27,'20_W1_张力'!G27,'20_W1_张力'!I27))</x:f>
        <x:v>2.9063149634316416</x:v>
      </x:c>
      <x:c r="H539" s="90" t="n">
        <x:f>IF(E539=0,"",MIN('20_W1_张力'!C27,'20_W1_张力'!E27,'20_W1_张力'!G27,'20_W1_张力'!I27))</x:f>
        <x:v>-28.9</x:v>
      </x:c>
      <x:c r="I539" s="90" t="n">
        <x:f>IF(E539=0,"",MAX('20_W1_张力'!C27,'20_W1_张力'!E27,'20_W1_张力'!G27,'20_W1_张力'!I27))</x:f>
        <x:v>-22.2</x:v>
      </x:c>
      <x:c r="J539" s="32" t="str">
        <x:v>kPa</x:v>
      </x:c>
    </x:row>
    <x:row r="540">
      <x:c r="A540" s="72" t="n">
        <x:v>46240.88255787037</x:v>
      </x:c>
      <x:c r="B540" s="32" t="str">
        <x:v>土壤张力</x:v>
      </x:c>
      <x:c r="C540" s="32" t="str">
        <x:v>W1</x:v>
      </x:c>
      <x:c r="D540" s="32" t="str">
        <x:v>V1</x:v>
      </x:c>
      <x:c r="E540" s="86" t="n">
        <x:f>COUNT('20_W1_张力'!B28,'20_W1_张力'!D28,'20_W1_张力'!F28,'20_W1_张力'!H28)</x:f>
        <x:v>4</x:v>
      </x:c>
      <x:c r="F540" s="90" t="n">
        <x:f>IF(E540=0,"",AVERAGE('20_W1_张力'!B28,'20_W1_张力'!D28,'20_W1_张力'!F28,'20_W1_张力'!H28))</x:f>
        <x:v>-25.000000000000004</x:v>
      </x:c>
      <x:c r="G540" s="90" t="n">
        <x:f>IF(E540&lt;2,"",STDEV.S('20_W1_张力'!B28,'20_W1_张力'!D28,'20_W1_张力'!F28,'20_W1_张力'!H28))</x:f>
        <x:v>3.4496376621320692</x:v>
      </x:c>
      <x:c r="H540" s="90" t="n">
        <x:f>IF(E540=0,"",MIN('20_W1_张力'!B28,'20_W1_张力'!D28,'20_W1_张力'!F28,'20_W1_张力'!H28))</x:f>
        <x:v>-28.6</x:v>
      </x:c>
      <x:c r="I540" s="90" t="n">
        <x:f>IF(E540=0,"",MAX('20_W1_张力'!B28,'20_W1_张力'!D28,'20_W1_张力'!F28,'20_W1_张力'!H28))</x:f>
        <x:v>-21.9</x:v>
      </x:c>
      <x:c r="J540" s="32" t="str">
        <x:v>kPa</x:v>
      </x:c>
    </x:row>
    <x:row r="541">
      <x:c r="A541" s="72" t="n">
        <x:v>46240.88255787037</x:v>
      </x:c>
      <x:c r="B541" s="32" t="str">
        <x:v>土壤张力</x:v>
      </x:c>
      <x:c r="C541" s="32" t="str">
        <x:v>W1</x:v>
      </x:c>
      <x:c r="D541" s="32" t="str">
        <x:v>V2</x:v>
      </x:c>
      <x:c r="E541" s="86" t="n">
        <x:f>COUNT('20_W1_张力'!C28,'20_W1_张力'!E28,'20_W1_张力'!G28,'20_W1_张力'!I28)</x:f>
        <x:v>4</x:v>
      </x:c>
      <x:c r="F541" s="90" t="n">
        <x:f>IF(E541=0,"",AVERAGE('20_W1_张力'!C28,'20_W1_张力'!E28,'20_W1_张力'!G28,'20_W1_张力'!I28))</x:f>
        <x:v>-24.7</x:v>
      </x:c>
      <x:c r="G541" s="90" t="n">
        <x:f>IF(E541&lt;2,"",STDEV.S('20_W1_张力'!C28,'20_W1_张力'!E28,'20_W1_张力'!G28,'20_W1_张力'!I28))</x:f>
        <x:v>2.691963347942663</x:v>
      </x:c>
      <x:c r="H541" s="90" t="n">
        <x:f>IF(E541=0,"",MIN('20_W1_张力'!C28,'20_W1_张力'!E28,'20_W1_张力'!G28,'20_W1_张力'!I28))</x:f>
        <x:v>-28.6</x:v>
      </x:c>
      <x:c r="I541" s="90" t="n">
        <x:f>IF(E541=0,"",MAX('20_W1_张力'!C28,'20_W1_张力'!E28,'20_W1_张力'!G28,'20_W1_张力'!I28))</x:f>
        <x:v>-22.5</x:v>
      </x:c>
      <x:c r="J541" s="32" t="str">
        <x:v>kPa</x:v>
      </x:c>
    </x:row>
    <x:row r="542">
      <x:c r="A542" s="72" t="n">
        <x:v>46240.886030092595</x:v>
      </x:c>
      <x:c r="B542" s="32" t="str">
        <x:v>土壤张力</x:v>
      </x:c>
      <x:c r="C542" s="32" t="str">
        <x:v>W1</x:v>
      </x:c>
      <x:c r="D542" s="32" t="str">
        <x:v>V1</x:v>
      </x:c>
      <x:c r="E542" s="86" t="n">
        <x:f>COUNT('20_W1_张力'!B29,'20_W1_张力'!D29,'20_W1_张力'!F29,'20_W1_张力'!H29)</x:f>
        <x:v>4</x:v>
      </x:c>
      <x:c r="F542" s="90" t="n">
        <x:f>IF(E542=0,"",AVERAGE('20_W1_张力'!B29,'20_W1_张力'!D29,'20_W1_张力'!F29,'20_W1_张力'!H29))</x:f>
        <x:v>-25.049999999999997</x:v>
      </x:c>
      <x:c r="G542" s="90" t="n">
        <x:f>IF(E542&lt;2,"",STDEV.S('20_W1_张力'!B29,'20_W1_张力'!D29,'20_W1_张力'!F29,'20_W1_张力'!H29))</x:f>
        <x:v>3.327160951922825</x:v>
      </x:c>
      <x:c r="H542" s="90" t="n">
        <x:f>IF(E542=0,"",MIN('20_W1_张力'!B29,'20_W1_张力'!D29,'20_W1_张力'!F29,'20_W1_张力'!H29))</x:f>
        <x:v>-28.8</x:v>
      </x:c>
      <x:c r="I542" s="90" t="n">
        <x:f>IF(E542=0,"",MAX('20_W1_张力'!B29,'20_W1_张力'!D29,'20_W1_张力'!F29,'20_W1_张力'!H29))</x:f>
        <x:v>-22.1</x:v>
      </x:c>
      <x:c r="J542" s="32" t="str">
        <x:v>kPa</x:v>
      </x:c>
    </x:row>
    <x:row r="543">
      <x:c r="A543" s="72" t="n">
        <x:v>46240.886030092595</x:v>
      </x:c>
      <x:c r="B543" s="32" t="str">
        <x:v>土壤张力</x:v>
      </x:c>
      <x:c r="C543" s="32" t="str">
        <x:v>W1</x:v>
      </x:c>
      <x:c r="D543" s="32" t="str">
        <x:v>V2</x:v>
      </x:c>
      <x:c r="E543" s="86" t="n">
        <x:f>COUNT('20_W1_张力'!C29,'20_W1_张力'!E29,'20_W1_张力'!G29,'20_W1_张力'!I29)</x:f>
        <x:v>4</x:v>
      </x:c>
      <x:c r="F543" s="90" t="n">
        <x:f>IF(E543=0,"",AVERAGE('20_W1_张力'!C29,'20_W1_张力'!E29,'20_W1_张力'!G29,'20_W1_张力'!I29))</x:f>
        <x:v>-24.750000000000004</x:v>
      </x:c>
      <x:c r="G543" s="90" t="n">
        <x:f>IF(E543&lt;2,"",STDEV.S('20_W1_张力'!C29,'20_W1_张力'!E29,'20_W1_张力'!G29,'20_W1_张力'!I29))</x:f>
        <x:v>2.4799193535274497</x:v>
      </x:c>
      <x:c r="H543" s="90" t="n">
        <x:f>IF(E543=0,"",MIN('20_W1_张力'!C29,'20_W1_张力'!E29,'20_W1_张力'!G29,'20_W1_张力'!I29))</x:f>
        <x:v>-28.3</x:v>
      </x:c>
      <x:c r="I543" s="90" t="n">
        <x:f>IF(E543=0,"",MAX('20_W1_张力'!C29,'20_W1_张力'!E29,'20_W1_张力'!G29,'20_W1_张力'!I29))</x:f>
        <x:v>-22.9</x:v>
      </x:c>
      <x:c r="J543" s="32" t="str">
        <x:v>kPa</x:v>
      </x:c>
    </x:row>
    <x:row r="544">
      <x:c r="A544" s="72" t="n">
        <x:v>46240.889502314814</x:v>
      </x:c>
      <x:c r="B544" s="32" t="str">
        <x:v>土壤张力</x:v>
      </x:c>
      <x:c r="C544" s="32" t="str">
        <x:v>W1</x:v>
      </x:c>
      <x:c r="D544" s="32" t="str">
        <x:v>V1</x:v>
      </x:c>
      <x:c r="E544" s="86" t="n">
        <x:f>COUNT('20_W1_张力'!B30,'20_W1_张力'!D30,'20_W1_张力'!F30,'20_W1_张力'!H30)</x:f>
        <x:v>4</x:v>
      </x:c>
      <x:c r="F544" s="90" t="n">
        <x:f>IF(E544=0,"",AVERAGE('20_W1_张力'!B30,'20_W1_张力'!D30,'20_W1_张力'!F30,'20_W1_张力'!H30))</x:f>
        <x:v>-25.05</x:v>
      </x:c>
      <x:c r="G544" s="90" t="n">
        <x:f>IF(E544&lt;2,"",STDEV.S('20_W1_张力'!B30,'20_W1_张力'!D30,'20_W1_张力'!F30,'20_W1_张力'!H30))</x:f>
        <x:v>3.255252166371549</x:v>
      </x:c>
      <x:c r="H544" s="90" t="n">
        <x:f>IF(E544=0,"",MIN('20_W1_张力'!B30,'20_W1_张力'!D30,'20_W1_张力'!F30,'20_W1_张力'!H30))</x:f>
        <x:v>-29</x:v>
      </x:c>
      <x:c r="I544" s="90" t="n">
        <x:f>IF(E544=0,"",MAX('20_W1_张力'!B30,'20_W1_张力'!D30,'20_W1_张力'!F30,'20_W1_张力'!H30))</x:f>
        <x:v>-22</x:v>
      </x:c>
      <x:c r="J544" s="32" t="str">
        <x:v>kPa</x:v>
      </x:c>
    </x:row>
    <x:row r="545">
      <x:c r="A545" s="72" t="n">
        <x:v>46240.889502314814</x:v>
      </x:c>
      <x:c r="B545" s="32" t="str">
        <x:v>土壤张力</x:v>
      </x:c>
      <x:c r="C545" s="32" t="str">
        <x:v>W1</x:v>
      </x:c>
      <x:c r="D545" s="32" t="str">
        <x:v>V2</x:v>
      </x:c>
      <x:c r="E545" s="86" t="n">
        <x:f>COUNT('20_W1_张力'!C30,'20_W1_张力'!E30,'20_W1_张力'!G30,'20_W1_张力'!I30)</x:f>
        <x:v>4</x:v>
      </x:c>
      <x:c r="F545" s="90" t="n">
        <x:f>IF(E545=0,"",AVERAGE('20_W1_张力'!C30,'20_W1_张力'!E30,'20_W1_张力'!G30,'20_W1_张力'!I30))</x:f>
        <x:v>-24.799999999999997</x:v>
      </x:c>
      <x:c r="G545" s="90" t="n">
        <x:f>IF(E545&lt;2,"",STDEV.S('20_W1_张力'!C30,'20_W1_张力'!E30,'20_W1_张力'!G30,'20_W1_张力'!I30))</x:f>
        <x:v>2.195449840010014</x:v>
      </x:c>
      <x:c r="H545" s="90" t="n">
        <x:f>IF(E545=0,"",MIN('20_W1_张力'!C30,'20_W1_张力'!E30,'20_W1_张力'!G30,'20_W1_张力'!I30))</x:f>
        <x:v>-27.9</x:v>
      </x:c>
      <x:c r="I545" s="90" t="n">
        <x:f>IF(E545=0,"",MAX('20_W1_张力'!C30,'20_W1_张力'!E30,'20_W1_张力'!G30,'20_W1_张力'!I30))</x:f>
        <x:v>-23.1</x:v>
      </x:c>
      <x:c r="J545" s="32" t="str">
        <x:v>kPa</x:v>
      </x:c>
    </x:row>
    <x:row r="546">
      <x:c r="A546" s="72" t="n">
        <x:v>46240.89297453704</x:v>
      </x:c>
      <x:c r="B546" s="32" t="str">
        <x:v>土壤张力</x:v>
      </x:c>
      <x:c r="C546" s="32" t="str">
        <x:v>W1</x:v>
      </x:c>
      <x:c r="D546" s="32" t="str">
        <x:v>V1</x:v>
      </x:c>
      <x:c r="E546" s="86" t="n">
        <x:f>COUNT('20_W1_张力'!B31,'20_W1_张力'!D31,'20_W1_张力'!F31,'20_W1_张力'!H31)</x:f>
        <x:v>4</x:v>
      </x:c>
      <x:c r="F546" s="90" t="n">
        <x:f>IF(E546=0,"",AVERAGE('20_W1_张力'!B31,'20_W1_张力'!D31,'20_W1_张力'!F31,'20_W1_张力'!H31))</x:f>
        <x:v>-25.075000000000003</x:v>
      </x:c>
      <x:c r="G546" s="90" t="n">
        <x:f>IF(E546&lt;2,"",STDEV.S('20_W1_张力'!B31,'20_W1_张力'!D31,'20_W1_张力'!F31,'20_W1_张力'!H31))</x:f>
        <x:v>3.0598202561588477</x:v>
      </x:c>
      <x:c r="H546" s="90" t="n">
        <x:f>IF(E546=0,"",MIN('20_W1_张力'!B31,'20_W1_张力'!D31,'20_W1_张力'!F31,'20_W1_张力'!H31))</x:f>
        <x:v>-29</x:v>
      </x:c>
      <x:c r="I546" s="90" t="n">
        <x:f>IF(E546=0,"",MAX('20_W1_张力'!B31,'20_W1_张力'!D31,'20_W1_张力'!F31,'20_W1_张力'!H31))</x:f>
        <x:v>-22.1</x:v>
      </x:c>
      <x:c r="J546" s="32" t="str">
        <x:v>kPa</x:v>
      </x:c>
    </x:row>
    <x:row r="547">
      <x:c r="A547" s="72" t="n">
        <x:v>46240.89297453704</x:v>
      </x:c>
      <x:c r="B547" s="32" t="str">
        <x:v>土壤张力</x:v>
      </x:c>
      <x:c r="C547" s="32" t="str">
        <x:v>W1</x:v>
      </x:c>
      <x:c r="D547" s="32" t="str">
        <x:v>V2</x:v>
      </x:c>
      <x:c r="E547" s="86" t="n">
        <x:f>COUNT('20_W1_张力'!C31,'20_W1_张力'!E31,'20_W1_张力'!G31,'20_W1_张力'!I31)</x:f>
        <x:v>4</x:v>
      </x:c>
      <x:c r="F547" s="90" t="n">
        <x:f>IF(E547=0,"",AVERAGE('20_W1_张力'!C31,'20_W1_张力'!E31,'20_W1_张力'!G31,'20_W1_张力'!I31))</x:f>
        <x:v>-24.8</x:v>
      </x:c>
      <x:c r="G547" s="90" t="n">
        <x:f>IF(E547&lt;2,"",STDEV.S('20_W1_张力'!C31,'20_W1_张力'!E31,'20_W1_张力'!G31,'20_W1_张力'!I31))</x:f>
        <x:v>1.9183326093250872</x:v>
      </x:c>
      <x:c r="H547" s="90" t="n">
        <x:f>IF(E547=0,"",MIN('20_W1_张力'!C31,'20_W1_张力'!E31,'20_W1_张力'!G31,'20_W1_张力'!I31))</x:f>
        <x:v>-27.4</x:v>
      </x:c>
      <x:c r="I547" s="90" t="n">
        <x:f>IF(E547=0,"",MAX('20_W1_张力'!C31,'20_W1_张力'!E31,'20_W1_张力'!G31,'20_W1_张力'!I31))</x:f>
        <x:v>-23</x:v>
      </x:c>
      <x:c r="J547" s="32" t="str">
        <x:v>kPa</x:v>
      </x:c>
    </x:row>
    <x:row r="548">
      <x:c r="A548" s="72" t="n">
        <x:v>46240.89644675926</x:v>
      </x:c>
      <x:c r="B548" s="32" t="str">
        <x:v>土壤张力</x:v>
      </x:c>
      <x:c r="C548" s="32" t="str">
        <x:v>W1</x:v>
      </x:c>
      <x:c r="D548" s="32" t="str">
        <x:v>V1</x:v>
      </x:c>
      <x:c r="E548" s="86" t="n">
        <x:f>COUNT('20_W1_张力'!B32,'20_W1_张力'!D32,'20_W1_张力'!F32,'20_W1_张力'!H32)</x:f>
        <x:v>4</x:v>
      </x:c>
      <x:c r="F548" s="90" t="n">
        <x:f>IF(E548=0,"",AVERAGE('20_W1_张力'!B32,'20_W1_张力'!D32,'20_W1_张力'!F32,'20_W1_张力'!H32))</x:f>
        <x:v>-25.075</x:v>
      </x:c>
      <x:c r="G548" s="90" t="n">
        <x:f>IF(E548&lt;2,"",STDEV.S('20_W1_张力'!B32,'20_W1_张力'!D32,'20_W1_张力'!F32,'20_W1_张力'!H32))</x:f>
        <x:v>2.8651643350193132</x:v>
      </x:c>
      <x:c r="H548" s="90" t="n">
        <x:f>IF(E548=0,"",MIN('20_W1_张力'!B32,'20_W1_张力'!D32,'20_W1_张力'!F32,'20_W1_张力'!H32))</x:f>
        <x:v>-28.9</x:v>
      </x:c>
      <x:c r="I548" s="90" t="n">
        <x:f>IF(E548=0,"",MAX('20_W1_张力'!B32,'20_W1_张力'!D32,'20_W1_张力'!F32,'20_W1_张力'!H32))</x:f>
        <x:v>-22.2</x:v>
      </x:c>
      <x:c r="J548" s="32" t="str">
        <x:v>kPa</x:v>
      </x:c>
    </x:row>
    <x:row r="549">
      <x:c r="A549" s="72" t="n">
        <x:v>46240.89644675926</x:v>
      </x:c>
      <x:c r="B549" s="32" t="str">
        <x:v>土壤张力</x:v>
      </x:c>
      <x:c r="C549" s="32" t="str">
        <x:v>W1</x:v>
      </x:c>
      <x:c r="D549" s="32" t="str">
        <x:v>V2</x:v>
      </x:c>
      <x:c r="E549" s="86" t="n">
        <x:f>COUNT('20_W1_张力'!C32,'20_W1_张力'!E32,'20_W1_张力'!G32,'20_W1_张力'!I32)</x:f>
        <x:v>4</x:v>
      </x:c>
      <x:c r="F549" s="90" t="n">
        <x:f>IF(E549=0,"",AVERAGE('20_W1_张力'!C32,'20_W1_张力'!E32,'20_W1_张力'!G32,'20_W1_张力'!I32))</x:f>
        <x:v>-24.825000000000003</x:v>
      </x:c>
      <x:c r="G549" s="90" t="n">
        <x:f>IF(E549&lt;2,"",STDEV.S('20_W1_张力'!C32,'20_W1_张力'!E32,'20_W1_张力'!G32,'20_W1_张力'!I32))</x:f>
        <x:v>1.5903353943953655</x:v>
      </x:c>
      <x:c r="H549" s="90" t="n">
        <x:f>IF(E549=0,"",MIN('20_W1_张力'!C32,'20_W1_张力'!E32,'20_W1_张力'!G32,'20_W1_张力'!I32))</x:f>
        <x:v>-26.9</x:v>
      </x:c>
      <x:c r="I549" s="90" t="n">
        <x:f>IF(E549=0,"",MAX('20_W1_张力'!C32,'20_W1_张力'!E32,'20_W1_张力'!G32,'20_W1_张力'!I32))</x:f>
        <x:v>-23.1</x:v>
      </x:c>
      <x:c r="J549" s="32" t="str">
        <x:v>kPa</x:v>
      </x:c>
    </x:row>
    <x:row r="550">
      <x:c r="A550" s="72" t="n">
        <x:v>46240.89991898148</x:v>
      </x:c>
      <x:c r="B550" s="32" t="str">
        <x:v>土壤张力</x:v>
      </x:c>
      <x:c r="C550" s="32" t="str">
        <x:v>W1</x:v>
      </x:c>
      <x:c r="D550" s="32" t="str">
        <x:v>V1</x:v>
      </x:c>
      <x:c r="E550" s="86" t="n">
        <x:f>COUNT('20_W1_张力'!B33,'20_W1_张力'!D33,'20_W1_张力'!F33,'20_W1_张力'!H33)</x:f>
        <x:v>4</x:v>
      </x:c>
      <x:c r="F550" s="90" t="n">
        <x:f>IF(E550=0,"",AVERAGE('20_W1_张力'!B33,'20_W1_张力'!D33,'20_W1_张力'!F33,'20_W1_张力'!H33))</x:f>
        <x:v>-25.075</x:v>
      </x:c>
      <x:c r="G550" s="90" t="n">
        <x:f>IF(E550&lt;2,"",STDEV.S('20_W1_张力'!B33,'20_W1_张力'!D33,'20_W1_张力'!F33,'20_W1_张力'!H33))</x:f>
        <x:v>2.570829956777902</x:v>
      </x:c>
      <x:c r="H550" s="90" t="n">
        <x:f>IF(E550=0,"",MIN('20_W1_张力'!B33,'20_W1_张力'!D33,'20_W1_张力'!F33,'20_W1_张力'!H33))</x:f>
        <x:v>-28.6</x:v>
      </x:c>
      <x:c r="I550" s="90" t="n">
        <x:f>IF(E550=0,"",MAX('20_W1_张力'!B33,'20_W1_张力'!D33,'20_W1_张力'!F33,'20_W1_张力'!H33))</x:f>
        <x:v>-22.5</x:v>
      </x:c>
      <x:c r="J550" s="32" t="str">
        <x:v>kPa</x:v>
      </x:c>
    </x:row>
    <x:row r="551">
      <x:c r="A551" s="72" t="n">
        <x:v>46240.89991898148</x:v>
      </x:c>
      <x:c r="B551" s="32" t="str">
        <x:v>土壤张力</x:v>
      </x:c>
      <x:c r="C551" s="32" t="str">
        <x:v>W1</x:v>
      </x:c>
      <x:c r="D551" s="32" t="str">
        <x:v>V2</x:v>
      </x:c>
      <x:c r="E551" s="86" t="n">
        <x:f>COUNT('20_W1_张力'!C33,'20_W1_张力'!E33,'20_W1_张力'!G33,'20_W1_张力'!I33)</x:f>
        <x:v>4</x:v>
      </x:c>
      <x:c r="F551" s="90" t="n">
        <x:f>IF(E551=0,"",AVERAGE('20_W1_张力'!C33,'20_W1_张力'!E33,'20_W1_张力'!G33,'20_W1_张力'!I33))</x:f>
        <x:v>-24.825</x:v>
      </x:c>
      <x:c r="G551" s="90" t="n">
        <x:f>IF(E551&lt;2,"",STDEV.S('20_W1_张力'!C33,'20_W1_张力'!E33,'20_W1_张力'!G33,'20_W1_张力'!I33))</x:f>
        <x:v>1.3073510112692253</x:v>
      </x:c>
      <x:c r="H551" s="90" t="n">
        <x:f>IF(E551=0,"",MIN('20_W1_张力'!C33,'20_W1_张力'!E33,'20_W1_张力'!G33,'20_W1_张力'!I33))</x:f>
        <x:v>-26.4</x:v>
      </x:c>
      <x:c r="I551" s="90" t="n">
        <x:f>IF(E551=0,"",MAX('20_W1_张力'!C33,'20_W1_张力'!E33,'20_W1_张力'!G33,'20_W1_张力'!I33))</x:f>
        <x:v>-23.2</x:v>
      </x:c>
      <x:c r="J551" s="32" t="str">
        <x:v>kPa</x:v>
      </x:c>
    </x:row>
    <x:row r="552">
      <x:c r="A552" s="72" t="n">
        <x:v>46240.903391203705</x:v>
      </x:c>
      <x:c r="B552" s="32" t="str">
        <x:v>土壤张力</x:v>
      </x:c>
      <x:c r="C552" s="32" t="str">
        <x:v>W1</x:v>
      </x:c>
      <x:c r="D552" s="32" t="str">
        <x:v>V1</x:v>
      </x:c>
      <x:c r="E552" s="86" t="n">
        <x:f>COUNT('20_W1_张力'!B34,'20_W1_张力'!D34,'20_W1_张力'!F34,'20_W1_张力'!H34)</x:f>
        <x:v>4</x:v>
      </x:c>
      <x:c r="F552" s="90" t="n">
        <x:f>IF(E552=0,"",AVERAGE('20_W1_张力'!B34,'20_W1_张力'!D34,'20_W1_张力'!F34,'20_W1_张力'!H34))</x:f>
        <x:v>-25.1</x:v>
      </x:c>
      <x:c r="G552" s="90" t="n">
        <x:f>IF(E552&lt;2,"",STDEV.S('20_W1_张力'!B34,'20_W1_张力'!D34,'20_W1_张力'!F34,'20_W1_张力'!H34))</x:f>
        <x:v>2.2788886180182955</x:v>
      </x:c>
      <x:c r="H552" s="90" t="n">
        <x:f>IF(E552=0,"",MIN('20_W1_张力'!B34,'20_W1_张力'!D34,'20_W1_张力'!F34,'20_W1_张力'!H34))</x:f>
        <x:v>-28.3</x:v>
      </x:c>
      <x:c r="I552" s="90" t="n">
        <x:f>IF(E552=0,"",MAX('20_W1_张力'!B34,'20_W1_张力'!D34,'20_W1_张力'!F34,'20_W1_张力'!H34))</x:f>
        <x:v>-22.9</x:v>
      </x:c>
      <x:c r="J552" s="32" t="str">
        <x:v>kPa</x:v>
      </x:c>
    </x:row>
    <x:row r="553">
      <x:c r="A553" s="72" t="n">
        <x:v>46240.903391203705</x:v>
      </x:c>
      <x:c r="B553" s="32" t="str">
        <x:v>土壤张力</x:v>
      </x:c>
      <x:c r="C553" s="32" t="str">
        <x:v>W1</x:v>
      </x:c>
      <x:c r="D553" s="32" t="str">
        <x:v>V2</x:v>
      </x:c>
      <x:c r="E553" s="86" t="n">
        <x:f>COUNT('20_W1_张力'!C34,'20_W1_张力'!E34,'20_W1_张力'!G34,'20_W1_张力'!I34)</x:f>
        <x:v>4</x:v>
      </x:c>
      <x:c r="F553" s="90" t="n">
        <x:f>IF(E553=0,"",AVERAGE('20_W1_张力'!C34,'20_W1_张力'!E34,'20_W1_张力'!G34,'20_W1_张力'!I34))</x:f>
        <x:v>-24.825</x:v>
      </x:c>
      <x:c r="G553" s="90" t="n">
        <x:f>IF(E553&lt;2,"",STDEV.S('20_W1_张力'!C34,'20_W1_张力'!E34,'20_W1_张力'!G34,'20_W1_张力'!I34))</x:f>
        <x:v>1.0531698185319718</x:v>
      </x:c>
      <x:c r="H553" s="90" t="n">
        <x:f>IF(E553=0,"",MIN('20_W1_张力'!C34,'20_W1_张力'!E34,'20_W1_张力'!G34,'20_W1_张力'!I34))</x:f>
        <x:v>-26</x:v>
      </x:c>
      <x:c r="I553" s="90" t="n">
        <x:f>IF(E553=0,"",MAX('20_W1_张力'!C34,'20_W1_张力'!E34,'20_W1_张力'!G34,'20_W1_张力'!I34))</x:f>
        <x:v>-23.5</x:v>
      </x:c>
      <x:c r="J553" s="32" t="str">
        <x:v>kPa</x:v>
      </x:c>
    </x:row>
    <x:row r="554">
      <x:c r="A554" s="72" t="n">
        <x:v>46240.906863425924</x:v>
      </x:c>
      <x:c r="B554" s="32" t="str">
        <x:v>土壤张力</x:v>
      </x:c>
      <x:c r="C554" s="32" t="str">
        <x:v>W1</x:v>
      </x:c>
      <x:c r="D554" s="32" t="str">
        <x:v>V1</x:v>
      </x:c>
      <x:c r="E554" s="86" t="n">
        <x:f>COUNT('20_W1_张力'!B35,'20_W1_张力'!D35,'20_W1_张力'!F35,'20_W1_张力'!H35)</x:f>
        <x:v>4</x:v>
      </x:c>
      <x:c r="F554" s="90" t="n">
        <x:f>IF(E554=0,"",AVERAGE('20_W1_张力'!B35,'20_W1_张力'!D35,'20_W1_张力'!F35,'20_W1_张力'!H35))</x:f>
        <x:v>-25.1</x:v>
      </x:c>
      <x:c r="G554" s="90" t="n">
        <x:f>IF(E554&lt;2,"",STDEV.S('20_W1_张力'!B35,'20_W1_张力'!D35,'20_W1_张力'!F35,'20_W1_张力'!H35))</x:f>
        <x:v>1.954482028569206</x:v>
      </x:c>
      <x:c r="H554" s="90" t="n">
        <x:f>IF(E554=0,"",MIN('20_W1_张力'!B35,'20_W1_张力'!D35,'20_W1_张力'!F35,'20_W1_张力'!H35))</x:f>
        <x:v>-27.9</x:v>
      </x:c>
      <x:c r="I554" s="90" t="n">
        <x:f>IF(E554=0,"",MAX('20_W1_张力'!B35,'20_W1_张力'!D35,'20_W1_张力'!F35,'20_W1_张力'!H35))</x:f>
        <x:v>-23.4</x:v>
      </x:c>
      <x:c r="J554" s="32" t="str">
        <x:v>kPa</x:v>
      </x:c>
    </x:row>
    <x:row r="555">
      <x:c r="A555" s="72" t="n">
        <x:v>46240.906863425924</x:v>
      </x:c>
      <x:c r="B555" s="32" t="str">
        <x:v>土壤张力</x:v>
      </x:c>
      <x:c r="C555" s="32" t="str">
        <x:v>W1</x:v>
      </x:c>
      <x:c r="D555" s="32" t="str">
        <x:v>V2</x:v>
      </x:c>
      <x:c r="E555" s="86" t="n">
        <x:f>COUNT('20_W1_张力'!C35,'20_W1_张力'!E35,'20_W1_张力'!G35,'20_W1_张力'!I35)</x:f>
        <x:v>4</x:v>
      </x:c>
      <x:c r="F555" s="90" t="n">
        <x:f>IF(E555=0,"",AVERAGE('20_W1_张力'!C35,'20_W1_张力'!E35,'20_W1_张力'!G35,'20_W1_张力'!I35))</x:f>
        <x:v>-24.85</x:v>
      </x:c>
      <x:c r="G555" s="90" t="n">
        <x:f>IF(E555&lt;2,"",STDEV.S('20_W1_张力'!C35,'20_W1_张力'!E35,'20_W1_张力'!G35,'20_W1_张力'!I35))</x:f>
        <x:v>0.8812869377601535</x:v>
      </x:c>
      <x:c r="H555" s="90" t="n">
        <x:f>IF(E555=0,"",MIN('20_W1_张力'!C35,'20_W1_张力'!E35,'20_W1_张力'!G35,'20_W1_张力'!I35))</x:f>
        <x:v>-25.6</x:v>
      </x:c>
      <x:c r="I555" s="90" t="n">
        <x:f>IF(E555=0,"",MAX('20_W1_张力'!C35,'20_W1_张力'!E35,'20_W1_张力'!G35,'20_W1_张力'!I35))</x:f>
        <x:v>-23.9</x:v>
      </x:c>
      <x:c r="J555" s="32" t="str">
        <x:v>kPa</x:v>
      </x:c>
    </x:row>
    <x:row r="556">
      <x:c r="A556" s="72" t="n">
        <x:v>46240.91033564815</x:v>
      </x:c>
      <x:c r="B556" s="32" t="str">
        <x:v>土壤张力</x:v>
      </x:c>
      <x:c r="C556" s="32" t="str">
        <x:v>W1</x:v>
      </x:c>
      <x:c r="D556" s="32" t="str">
        <x:v>V1</x:v>
      </x:c>
      <x:c r="E556" s="86" t="n">
        <x:f>COUNT('20_W1_张力'!B36,'20_W1_张力'!D36,'20_W1_张力'!F36,'20_W1_张力'!H36)</x:f>
        <x:v>4</x:v>
      </x:c>
      <x:c r="F556" s="90" t="n">
        <x:f>IF(E556=0,"",AVERAGE('20_W1_张力'!B36,'20_W1_张力'!D36,'20_W1_张力'!F36,'20_W1_张力'!H36))</x:f>
        <x:v>-25.075</x:v>
      </x:c>
      <x:c r="G556" s="90" t="n">
        <x:f>IF(E556&lt;2,"",STDEV.S('20_W1_张力'!B36,'20_W1_张力'!D36,'20_W1_张力'!F36,'20_W1_张力'!H36))</x:f>
        <x:v>1.631716887208071</x:v>
      </x:c>
      <x:c r="H556" s="90" t="n">
        <x:f>IF(E556=0,"",MIN('20_W1_张力'!B36,'20_W1_张力'!D36,'20_W1_张力'!F36,'20_W1_张力'!H36))</x:f>
        <x:v>-27.4</x:v>
      </x:c>
      <x:c r="I556" s="90" t="n">
        <x:f>IF(E556=0,"",MAX('20_W1_张力'!B36,'20_W1_张力'!D36,'20_W1_张力'!F36,'20_W1_张力'!H36))</x:f>
        <x:v>-23.8</x:v>
      </x:c>
      <x:c r="J556" s="32" t="str">
        <x:v>kPa</x:v>
      </x:c>
    </x:row>
    <x:row r="557">
      <x:c r="A557" s="72" t="n">
        <x:v>46240.91033564815</x:v>
      </x:c>
      <x:c r="B557" s="32" t="str">
        <x:v>土壤张力</x:v>
      </x:c>
      <x:c r="C557" s="32" t="str">
        <x:v>W1</x:v>
      </x:c>
      <x:c r="D557" s="32" t="str">
        <x:v>V2</x:v>
      </x:c>
      <x:c r="E557" s="86" t="n">
        <x:f>COUNT('20_W1_张力'!C36,'20_W1_张力'!E36,'20_W1_张力'!G36,'20_W1_张力'!I36)</x:f>
        <x:v>4</x:v>
      </x:c>
      <x:c r="F557" s="90" t="n">
        <x:f>IF(E557=0,"",AVERAGE('20_W1_张力'!C36,'20_W1_张力'!E36,'20_W1_张力'!G36,'20_W1_张力'!I36))</x:f>
        <x:v>-24.85</x:v>
      </x:c>
      <x:c r="G557" s="90" t="n">
        <x:f>IF(E557&lt;2,"",STDEV.S('20_W1_张力'!C36,'20_W1_张力'!E36,'20_W1_张力'!G36,'20_W1_张力'!I36))</x:f>
        <x:v>0.8582928793055834</x:v>
      </x:c>
      <x:c r="H557" s="90" t="n">
        <x:f>IF(E557=0,"",MIN('20_W1_张力'!C36,'20_W1_张力'!E36,'20_W1_张力'!G36,'20_W1_张力'!I36))</x:f>
        <x:v>-25.8</x:v>
      </x:c>
      <x:c r="I557" s="90" t="n">
        <x:f>IF(E557=0,"",MAX('20_W1_张力'!C36,'20_W1_张力'!E36,'20_W1_张力'!G36,'20_W1_张力'!I36))</x:f>
        <x:v>-23.9</x:v>
      </x:c>
      <x:c r="J557" s="32" t="str">
        <x:v>kPa</x:v>
      </x:c>
    </x:row>
    <x:row r="558">
      <x:c r="A558" s="72" t="n">
        <x:v>46240.91380787037</x:v>
      </x:c>
      <x:c r="B558" s="32" t="str">
        <x:v>土壤张力</x:v>
      </x:c>
      <x:c r="C558" s="32" t="str">
        <x:v>W1</x:v>
      </x:c>
      <x:c r="D558" s="32" t="str">
        <x:v>V1</x:v>
      </x:c>
      <x:c r="E558" s="86" t="n">
        <x:f>COUNT('20_W1_张力'!B37,'20_W1_张力'!D37,'20_W1_张力'!F37,'20_W1_张力'!H37)</x:f>
        <x:v>4</x:v>
      </x:c>
      <x:c r="F558" s="90" t="n">
        <x:f>IF(E558=0,"",AVERAGE('20_W1_张力'!B37,'20_W1_张力'!D37,'20_W1_张力'!F37,'20_W1_张力'!H37))</x:f>
        <x:v>-25.05</x:v>
      </x:c>
      <x:c r="G558" s="90" t="n">
        <x:f>IF(E558&lt;2,"",STDEV.S('20_W1_张力'!B37,'20_W1_张力'!D37,'20_W1_张力'!F37,'20_W1_张力'!H37))</x:f>
        <x:v>1.3025615788386609</x:v>
      </x:c>
      <x:c r="H558" s="90" t="n">
        <x:f>IF(E558=0,"",MIN('20_W1_张力'!B37,'20_W1_张力'!D37,'20_W1_张力'!F37,'20_W1_张力'!H37))</x:f>
        <x:v>-26.9</x:v>
      </x:c>
      <x:c r="I558" s="90" t="n">
        <x:f>IF(E558=0,"",MAX('20_W1_张力'!B37,'20_W1_张力'!D37,'20_W1_张力'!F37,'20_W1_张力'!H37))</x:f>
        <x:v>-24</x:v>
      </x:c>
      <x:c r="J558" s="32" t="str">
        <x:v>kPa</x:v>
      </x:c>
    </x:row>
    <x:row r="559">
      <x:c r="A559" s="72" t="n">
        <x:v>46240.91380787037</x:v>
      </x:c>
      <x:c r="B559" s="32" t="str">
        <x:v>土壤张力</x:v>
      </x:c>
      <x:c r="C559" s="32" t="str">
        <x:v>W1</x:v>
      </x:c>
      <x:c r="D559" s="32" t="str">
        <x:v>V2</x:v>
      </x:c>
      <x:c r="E559" s="86" t="n">
        <x:f>COUNT('20_W1_张力'!C37,'20_W1_张力'!E37,'20_W1_张力'!G37,'20_W1_张力'!I37)</x:f>
        <x:v>4</x:v>
      </x:c>
      <x:c r="F559" s="90" t="n">
        <x:f>IF(E559=0,"",AVERAGE('20_W1_张力'!C37,'20_W1_张力'!E37,'20_W1_张力'!G37,'20_W1_张力'!I37))</x:f>
        <x:v>-24.825</x:v>
      </x:c>
      <x:c r="G559" s="90" t="n">
        <x:f>IF(E559&lt;2,"",STDEV.S('20_W1_张力'!C37,'20_W1_张力'!E37,'20_W1_张力'!G37,'20_W1_张力'!I37))</x:f>
        <x:v>1.078192932642392</x:v>
      </x:c>
      <x:c r="H559" s="90" t="n">
        <x:f>IF(E559=0,"",MIN('20_W1_张力'!C37,'20_W1_张力'!E37,'20_W1_张力'!G37,'20_W1_张力'!I37))</x:f>
        <x:v>-26</x:v>
      </x:c>
      <x:c r="I559" s="90" t="n">
        <x:f>IF(E559=0,"",MAX('20_W1_张力'!C37,'20_W1_张力'!E37,'20_W1_张力'!G37,'20_W1_张力'!I37))</x:f>
        <x:v>-23.4</x:v>
      </x:c>
      <x:c r="J559" s="32" t="str">
        <x:v>kPa</x:v>
      </x:c>
    </x:row>
    <x:row r="560">
      <x:c r="A560" s="72" t="n">
        <x:v>46240.917280092595</x:v>
      </x:c>
      <x:c r="B560" s="32" t="str">
        <x:v>土壤张力</x:v>
      </x:c>
      <x:c r="C560" s="32" t="str">
        <x:v>W1</x:v>
      </x:c>
      <x:c r="D560" s="32" t="str">
        <x:v>V1</x:v>
      </x:c>
      <x:c r="E560" s="86" t="n">
        <x:f>COUNT('20_W1_张力'!B38,'20_W1_张力'!D38,'20_W1_张力'!F38,'20_W1_张力'!H38)</x:f>
        <x:v>4</x:v>
      </x:c>
      <x:c r="F560" s="90" t="n">
        <x:f>IF(E560=0,"",AVERAGE('20_W1_张力'!B38,'20_W1_张力'!D38,'20_W1_张力'!F38,'20_W1_张力'!H38))</x:f>
        <x:v>-25.025</x:v>
      </x:c>
      <x:c r="G560" s="90" t="n">
        <x:f>IF(E560&lt;2,"",STDEV.S('20_W1_张力'!B38,'20_W1_张力'!D38,'20_W1_张力'!F38,'20_W1_张力'!H38))</x:f>
        <x:v>1.0012492197250387</x:v>
      </x:c>
      <x:c r="H560" s="90" t="n">
        <x:f>IF(E560=0,"",MIN('20_W1_张力'!B38,'20_W1_张力'!D38,'20_W1_张力'!F38,'20_W1_张力'!H38))</x:f>
        <x:v>-26.4</x:v>
      </x:c>
      <x:c r="I560" s="90" t="n">
        <x:f>IF(E560=0,"",MAX('20_W1_张力'!B38,'20_W1_张力'!D38,'20_W1_张力'!F38,'20_W1_张力'!H38))</x:f>
        <x:v>-24</x:v>
      </x:c>
      <x:c r="J560" s="32" t="str">
        <x:v>kPa</x:v>
      </x:c>
    </x:row>
    <x:row r="561">
      <x:c r="A561" s="72" t="n">
        <x:v>46240.917280092595</x:v>
      </x:c>
      <x:c r="B561" s="32" t="str">
        <x:v>土壤张力</x:v>
      </x:c>
      <x:c r="C561" s="32" t="str">
        <x:v>W1</x:v>
      </x:c>
      <x:c r="D561" s="32" t="str">
        <x:v>V2</x:v>
      </x:c>
      <x:c r="E561" s="86" t="n">
        <x:f>COUNT('20_W1_张力'!C38,'20_W1_张力'!E38,'20_W1_张力'!G38,'20_W1_张力'!I38)</x:f>
        <x:v>4</x:v>
      </x:c>
      <x:c r="F561" s="90" t="n">
        <x:f>IF(E561=0,"",AVERAGE('20_W1_张力'!C38,'20_W1_张力'!E38,'20_W1_张力'!G38,'20_W1_张力'!I38))</x:f>
        <x:v>-24.8</x:v>
      </x:c>
      <x:c r="G561" s="90" t="n">
        <x:f>IF(E561&lt;2,"",STDEV.S('20_W1_张力'!C38,'20_W1_张力'!E38,'20_W1_张力'!G38,'20_W1_张力'!I38))</x:f>
        <x:v>1.3341664064126342</x:v>
      </x:c>
      <x:c r="H561" s="90" t="n">
        <x:f>IF(E561=0,"",MIN('20_W1_张力'!C38,'20_W1_张力'!E38,'20_W1_张力'!G38,'20_W1_张力'!I38))</x:f>
        <x:v>-26</x:v>
      </x:c>
      <x:c r="I561" s="90" t="n">
        <x:f>IF(E561=0,"",MAX('20_W1_张力'!C38,'20_W1_张力'!E38,'20_W1_张力'!G38,'20_W1_张力'!I38))</x:f>
        <x:v>-22.9</x:v>
      </x:c>
      <x:c r="J561" s="32" t="str">
        <x:v>kPa</x:v>
      </x:c>
    </x:row>
    <x:row r="562">
      <x:c r="A562" s="72" t="n">
        <x:v>46240.920752314814</x:v>
      </x:c>
      <x:c r="B562" s="32" t="str">
        <x:v>土壤张力</x:v>
      </x:c>
      <x:c r="C562" s="32" t="str">
        <x:v>W1</x:v>
      </x:c>
      <x:c r="D562" s="32" t="str">
        <x:v>V1</x:v>
      </x:c>
      <x:c r="E562" s="86" t="n">
        <x:f>COUNT('20_W1_张力'!B39,'20_W1_张力'!D39,'20_W1_张力'!F39,'20_W1_张力'!H39)</x:f>
        <x:v>4</x:v>
      </x:c>
      <x:c r="F562" s="90" t="n">
        <x:f>IF(E562=0,"",AVERAGE('20_W1_张力'!B39,'20_W1_张力'!D39,'20_W1_张力'!F39,'20_W1_张力'!H39))</x:f>
        <x:v>-25.000000000000004</x:v>
      </x:c>
      <x:c r="G562" s="90" t="n">
        <x:f>IF(E562&lt;2,"",STDEV.S('20_W1_张力'!B39,'20_W1_张力'!D39,'20_W1_张力'!F39,'20_W1_张力'!H39))</x:f>
        <x:v>0.7831560082980487</x:v>
      </x:c>
      <x:c r="H562" s="90" t="n">
        <x:f>IF(E562=0,"",MIN('20_W1_张力'!B39,'20_W1_张力'!D39,'20_W1_张力'!F39,'20_W1_张力'!H39))</x:f>
        <x:v>-26</x:v>
      </x:c>
      <x:c r="I562" s="90" t="n">
        <x:f>IF(E562=0,"",MAX('20_W1_张力'!B39,'20_W1_张力'!D39,'20_W1_张力'!F39,'20_W1_张力'!H39))</x:f>
        <x:v>-24.2</x:v>
      </x:c>
      <x:c r="J562" s="32" t="str">
        <x:v>kPa</x:v>
      </x:c>
    </x:row>
    <x:row r="563">
      <x:c r="A563" s="72" t="n">
        <x:v>46240.920752314814</x:v>
      </x:c>
      <x:c r="B563" s="32" t="str">
        <x:v>土壤张力</x:v>
      </x:c>
      <x:c r="C563" s="32" t="str">
        <x:v>W1</x:v>
      </x:c>
      <x:c r="D563" s="32" t="str">
        <x:v>V2</x:v>
      </x:c>
      <x:c r="E563" s="86" t="n">
        <x:f>COUNT('20_W1_张力'!C39,'20_W1_张力'!E39,'20_W1_张力'!G39,'20_W1_张力'!I39)</x:f>
        <x:v>4</x:v>
      </x:c>
      <x:c r="F563" s="90" t="n">
        <x:f>IF(E563=0,"",AVERAGE('20_W1_张力'!C39,'20_W1_张力'!E39,'20_W1_张力'!G39,'20_W1_张力'!I39))</x:f>
        <x:v>-24.775</x:v>
      </x:c>
      <x:c r="G563" s="90" t="n">
        <x:f>IF(E563&lt;2,"",STDEV.S('20_W1_张力'!C39,'20_W1_张力'!E39,'20_W1_张力'!G39,'20_W1_张力'!I39))</x:f>
        <x:v>1.6337584480781326</x:v>
      </x:c>
      <x:c r="H563" s="90" t="n">
        <x:f>IF(E563=0,"",MIN('20_W1_张力'!C39,'20_W1_张力'!E39,'20_W1_张力'!G39,'20_W1_张力'!I39))</x:f>
        <x:v>-25.9</x:v>
      </x:c>
      <x:c r="I563" s="90" t="n">
        <x:f>IF(E563=0,"",MAX('20_W1_张力'!C39,'20_W1_张力'!E39,'20_W1_张力'!G39,'20_W1_张力'!I39))</x:f>
        <x:v>-22.4</x:v>
      </x:c>
      <x:c r="J563" s="32" t="str">
        <x:v>kPa</x:v>
      </x:c>
    </x:row>
    <x:row r="564">
      <x:c r="A564" s="72" t="n">
        <x:v>46240.92422453704</x:v>
      </x:c>
      <x:c r="B564" s="32" t="str">
        <x:v>土壤张力</x:v>
      </x:c>
      <x:c r="C564" s="32" t="str">
        <x:v>W1</x:v>
      </x:c>
      <x:c r="D564" s="32" t="str">
        <x:v>V1</x:v>
      </x:c>
      <x:c r="E564" s="86" t="n">
        <x:f>COUNT('20_W1_张力'!B40,'20_W1_张力'!D40,'20_W1_张力'!F40,'20_W1_张力'!H40)</x:f>
        <x:v>4</x:v>
      </x:c>
      <x:c r="F564" s="90" t="n">
        <x:f>IF(E564=0,"",AVERAGE('20_W1_张力'!B40,'20_W1_张力'!D40,'20_W1_张力'!F40,'20_W1_张力'!H40))</x:f>
        <x:v>-25</x:v>
      </x:c>
      <x:c r="G564" s="90" t="n">
        <x:f>IF(E564&lt;2,"",STDEV.S('20_W1_张力'!B40,'20_W1_张力'!D40,'20_W1_张力'!F40,'20_W1_张力'!H40))</x:f>
        <x:v>0.6976149845485455</x:v>
      </x:c>
      <x:c r="H564" s="90" t="n">
        <x:f>IF(E564=0,"",MIN('20_W1_张力'!B40,'20_W1_张力'!D40,'20_W1_张力'!F40,'20_W1_张力'!H40))</x:f>
        <x:v>-25.6</x:v>
      </x:c>
      <x:c r="I564" s="90" t="n">
        <x:f>IF(E564=0,"",MAX('20_W1_张力'!B40,'20_W1_张力'!D40,'20_W1_张力'!F40,'20_W1_张力'!H40))</x:f>
        <x:v>-24.3</x:v>
      </x:c>
      <x:c r="J564" s="32" t="str">
        <x:v>kPa</x:v>
      </x:c>
    </x:row>
    <x:row r="565">
      <x:c r="A565" s="72" t="n">
        <x:v>46240.92422453704</x:v>
      </x:c>
      <x:c r="B565" s="32" t="str">
        <x:v>土壤张力</x:v>
      </x:c>
      <x:c r="C565" s="32" t="str">
        <x:v>W1</x:v>
      </x:c>
      <x:c r="D565" s="32" t="str">
        <x:v>V2</x:v>
      </x:c>
      <x:c r="E565" s="86" t="n">
        <x:f>COUNT('20_W1_张力'!C40,'20_W1_张力'!E40,'20_W1_张力'!G40,'20_W1_张力'!I40)</x:f>
        <x:v>4</x:v>
      </x:c>
      <x:c r="F565" s="90" t="n">
        <x:f>IF(E565=0,"",AVERAGE('20_W1_张力'!C40,'20_W1_张力'!E40,'20_W1_张力'!G40,'20_W1_张力'!I40))</x:f>
        <x:v>-24.750000000000004</x:v>
      </x:c>
      <x:c r="G565" s="90" t="n">
        <x:f>IF(E565&lt;2,"",STDEV.S('20_W1_张力'!C40,'20_W1_张力'!E40,'20_W1_张力'!G40,'20_W1_张力'!I40))</x:f>
        <x:v>1.8788294228055935</x:v>
      </x:c>
      <x:c r="H565" s="90" t="n">
        <x:f>IF(E565=0,"",MIN('20_W1_张力'!C40,'20_W1_张力'!E40,'20_W1_张力'!G40,'20_W1_张力'!I40))</x:f>
        <x:v>-26.2</x:v>
      </x:c>
      <x:c r="I565" s="90" t="n">
        <x:f>IF(E565=0,"",MAX('20_W1_张力'!C40,'20_W1_张力'!E40,'20_W1_张力'!G40,'20_W1_张力'!I40))</x:f>
        <x:v>-22</x:v>
      </x:c>
      <x:c r="J565" s="32" t="str">
        <x:v>kPa</x:v>
      </x:c>
    </x:row>
    <x:row r="566">
      <x:c r="A566" s="72" t="n">
        <x:v>46240.92769675926</x:v>
      </x:c>
      <x:c r="B566" s="32" t="str">
        <x:v>土壤张力</x:v>
      </x:c>
      <x:c r="C566" s="32" t="str">
        <x:v>W1</x:v>
      </x:c>
      <x:c r="D566" s="32" t="str">
        <x:v>V1</x:v>
      </x:c>
      <x:c r="E566" s="86" t="n">
        <x:f>COUNT('20_W1_张力'!B41,'20_W1_张力'!D41,'20_W1_张力'!F41,'20_W1_张力'!H41)</x:f>
        <x:v>4</x:v>
      </x:c>
      <x:c r="F566" s="90" t="n">
        <x:f>IF(E566=0,"",AVERAGE('20_W1_张力'!B41,'20_W1_张力'!D41,'20_W1_张力'!F41,'20_W1_张力'!H41))</x:f>
        <x:v>-24.974999999999998</x:v>
      </x:c>
      <x:c r="G566" s="90" t="n">
        <x:f>IF(E566&lt;2,"",STDEV.S('20_W1_张力'!B41,'20_W1_张力'!D41,'20_W1_张力'!F41,'20_W1_张力'!H41))</x:f>
        <x:v>0.8057087976847891</x:v>
      </x:c>
      <x:c r="H566" s="90" t="n">
        <x:f>IF(E566=0,"",MIN('20_W1_张力'!B41,'20_W1_张力'!D41,'20_W1_张力'!F41,'20_W1_张力'!H41))</x:f>
        <x:v>-25.8</x:v>
      </x:c>
      <x:c r="I566" s="90" t="n">
        <x:f>IF(E566=0,"",MAX('20_W1_张力'!B41,'20_W1_张力'!D41,'20_W1_张力'!F41,'20_W1_张力'!H41))</x:f>
        <x:v>-23.9</x:v>
      </x:c>
      <x:c r="J566" s="32" t="str">
        <x:v>kPa</x:v>
      </x:c>
    </x:row>
    <x:row r="567">
      <x:c r="A567" s="72" t="n">
        <x:v>46240.92769675926</x:v>
      </x:c>
      <x:c r="B567" s="32" t="str">
        <x:v>土壤张力</x:v>
      </x:c>
      <x:c r="C567" s="32" t="str">
        <x:v>W1</x:v>
      </x:c>
      <x:c r="D567" s="32" t="str">
        <x:v>V2</x:v>
      </x:c>
      <x:c r="E567" s="86" t="n">
        <x:f>COUNT('20_W1_张力'!C41,'20_W1_张力'!E41,'20_W1_张力'!G41,'20_W1_张力'!I41)</x:f>
        <x:v>4</x:v>
      </x:c>
      <x:c r="F567" s="90" t="n">
        <x:f>IF(E567=0,"",AVERAGE('20_W1_张力'!C41,'20_W1_张力'!E41,'20_W1_张力'!G41,'20_W1_张力'!I41))</x:f>
        <x:v>-24.75</x:v>
      </x:c>
      <x:c r="G567" s="90" t="n">
        <x:f>IF(E567&lt;2,"",STDEV.S('20_W1_张力'!C41,'20_W1_张力'!E41,'20_W1_张力'!G41,'20_W1_张力'!I41))</x:f>
        <x:v>2.176388445720723</x:v>
      </x:c>
      <x:c r="H567" s="90" t="n">
        <x:f>IF(E567=0,"",MIN('20_W1_张力'!C41,'20_W1_张力'!E41,'20_W1_张力'!G41,'20_W1_张力'!I41))</x:f>
        <x:v>-26.6</x:v>
      </x:c>
      <x:c r="I567" s="90" t="n">
        <x:f>IF(E567=0,"",MAX('20_W1_张力'!C41,'20_W1_张力'!E41,'20_W1_张力'!G41,'20_W1_张力'!I41))</x:f>
        <x:v>-21.6</x:v>
      </x:c>
      <x:c r="J567" s="32" t="str">
        <x:v>kPa</x:v>
      </x:c>
    </x:row>
    <x:row r="568">
      <x:c r="A568" s="72" t="n">
        <x:v>46240.93116898148</x:v>
      </x:c>
      <x:c r="B568" s="32" t="str">
        <x:v>土壤张力</x:v>
      </x:c>
      <x:c r="C568" s="32" t="str">
        <x:v>W1</x:v>
      </x:c>
      <x:c r="D568" s="32" t="str">
        <x:v>V1</x:v>
      </x:c>
      <x:c r="E568" s="86" t="n">
        <x:f>COUNT('20_W1_张力'!B42,'20_W1_张力'!D42,'20_W1_张力'!F42,'20_W1_张力'!H42)</x:f>
        <x:v>4</x:v>
      </x:c>
      <x:c r="F568" s="90" t="n">
        <x:f>IF(E568=0,"",AVERAGE('20_W1_张力'!B42,'20_W1_张力'!D42,'20_W1_张力'!F42,'20_W1_张力'!H42))</x:f>
        <x:v>-24.950000000000003</x:v>
      </x:c>
      <x:c r="G568" s="90" t="n">
        <x:f>IF(E568&lt;2,"",STDEV.S('20_W1_张力'!B42,'20_W1_张力'!D42,'20_W1_张力'!F42,'20_W1_张力'!H42))</x:f>
        <x:v>1.1030261405182873</x:v>
      </x:c>
      <x:c r="H568" s="90" t="n">
        <x:f>IF(E568=0,"",MIN('20_W1_张力'!B42,'20_W1_张力'!D42,'20_W1_张力'!F42,'20_W1_张力'!H42))</x:f>
        <x:v>-26</x:v>
      </x:c>
      <x:c r="I568" s="90" t="n">
        <x:f>IF(E568=0,"",MAX('20_W1_张力'!B42,'20_W1_张力'!D42,'20_W1_张力'!F42,'20_W1_张力'!H42))</x:f>
        <x:v>-23.4</x:v>
      </x:c>
      <x:c r="J568" s="32" t="str">
        <x:v>kPa</x:v>
      </x:c>
    </x:row>
    <x:row r="569">
      <x:c r="A569" s="72" t="n">
        <x:v>46240.93116898148</x:v>
      </x:c>
      <x:c r="B569" s="32" t="str">
        <x:v>土壤张力</x:v>
      </x:c>
      <x:c r="C569" s="32" t="str">
        <x:v>W1</x:v>
      </x:c>
      <x:c r="D569" s="32" t="str">
        <x:v>V2</x:v>
      </x:c>
      <x:c r="E569" s="86" t="n">
        <x:f>COUNT('20_W1_张力'!C42,'20_W1_张力'!E42,'20_W1_张力'!G42,'20_W1_张力'!I42)</x:f>
        <x:v>4</x:v>
      </x:c>
      <x:c r="F569" s="90" t="n">
        <x:f>IF(E569=0,"",AVERAGE('20_W1_张力'!C42,'20_W1_张力'!E42,'20_W1_张力'!G42,'20_W1_张力'!I42))</x:f>
        <x:v>-24.724999999999998</x:v>
      </x:c>
      <x:c r="G569" s="90" t="n">
        <x:f>IF(E569&lt;2,"",STDEV.S('20_W1_张力'!C42,'20_W1_张力'!E42,'20_W1_张力'!G42,'20_W1_张力'!I42))</x:f>
        <x:v>2.411603892295194</x:v>
      </x:c>
      <x:c r="H569" s="90" t="n">
        <x:f>IF(E569=0,"",MIN('20_W1_张力'!C42,'20_W1_张力'!E42,'20_W1_张力'!G42,'20_W1_张力'!I42))</x:f>
        <x:v>-26.8</x:v>
      </x:c>
      <x:c r="I569" s="90" t="n">
        <x:f>IF(E569=0,"",MAX('20_W1_张力'!C42,'20_W1_张力'!E42,'20_W1_张力'!G42,'20_W1_张力'!I42))</x:f>
        <x:v>-21.3</x:v>
      </x:c>
      <x:c r="J569" s="32" t="str">
        <x:v>kPa</x:v>
      </x:c>
    </x:row>
    <x:row r="570">
      <x:c r="A570" s="72" t="n">
        <x:v>46240.934641203705</x:v>
      </x:c>
      <x:c r="B570" s="32" t="str">
        <x:v>土壤张力</x:v>
      </x:c>
      <x:c r="C570" s="32" t="str">
        <x:v>W1</x:v>
      </x:c>
      <x:c r="D570" s="32" t="str">
        <x:v>V1</x:v>
      </x:c>
      <x:c r="E570" s="86" t="n">
        <x:f>COUNT('20_W1_张力'!B43,'20_W1_张力'!D43,'20_W1_张力'!F43,'20_W1_张力'!H43)</x:f>
        <x:v>4</x:v>
      </x:c>
      <x:c r="F570" s="90" t="n">
        <x:f>IF(E570=0,"",AVERAGE('20_W1_张力'!B43,'20_W1_张力'!D43,'20_W1_张力'!F43,'20_W1_张力'!H43))</x:f>
        <x:v>-24.924999999999997</x:v>
      </x:c>
      <x:c r="G570" s="90" t="n">
        <x:f>IF(E570&lt;2,"",STDEV.S('20_W1_张力'!B43,'20_W1_张力'!D43,'20_W1_张力'!F43,'20_W1_张力'!H43))</x:f>
        <x:v>1.4174507634012086</x:v>
      </x:c>
      <x:c r="H570" s="90" t="n">
        <x:f>IF(E570=0,"",MIN('20_W1_张力'!B43,'20_W1_张力'!D43,'20_W1_张力'!F43,'20_W1_张力'!H43))</x:f>
        <x:v>-26</x:v>
      </x:c>
      <x:c r="I570" s="90" t="n">
        <x:f>IF(E570=0,"",MAX('20_W1_张力'!B43,'20_W1_张力'!D43,'20_W1_张力'!F43,'20_W1_张力'!H43))</x:f>
        <x:v>-22.9</x:v>
      </x:c>
      <x:c r="J570" s="32" t="str">
        <x:v>kPa</x:v>
      </x:c>
    </x:row>
    <x:row r="571">
      <x:c r="A571" s="72" t="n">
        <x:v>46240.934641203705</x:v>
      </x:c>
      <x:c r="B571" s="32" t="str">
        <x:v>土壤张力</x:v>
      </x:c>
      <x:c r="C571" s="32" t="str">
        <x:v>W1</x:v>
      </x:c>
      <x:c r="D571" s="32" t="str">
        <x:v>V2</x:v>
      </x:c>
      <x:c r="E571" s="86" t="n">
        <x:f>COUNT('20_W1_张力'!C43,'20_W1_张力'!E43,'20_W1_张力'!G43,'20_W1_张力'!I43)</x:f>
        <x:v>4</x:v>
      </x:c>
      <x:c r="F571" s="90" t="n">
        <x:f>IF(E571=0,"",AVERAGE('20_W1_张力'!C43,'20_W1_张力'!E43,'20_W1_张力'!G43,'20_W1_张力'!I43))</x:f>
        <x:v>-24.700000000000003</x:v>
      </x:c>
      <x:c r="G571" s="90" t="n">
        <x:f>IF(E571&lt;2,"",STDEV.S('20_W1_张力'!C43,'20_W1_张力'!E43,'20_W1_张力'!G43,'20_W1_张力'!I43))</x:f>
        <x:v>2.63944438597722</x:v>
      </x:c>
      <x:c r="H571" s="90" t="n">
        <x:f>IF(E571=0,"",MIN('20_W1_张力'!C43,'20_W1_张力'!E43,'20_W1_张力'!G43,'20_W1_张力'!I43))</x:f>
        <x:v>-27</x:v>
      </x:c>
      <x:c r="I571" s="90" t="n">
        <x:f>IF(E571=0,"",MAX('20_W1_张力'!C43,'20_W1_张力'!E43,'20_W1_张力'!G43,'20_W1_张力'!I43))</x:f>
        <x:v>-21.1</x:v>
      </x:c>
      <x:c r="J571" s="32" t="str">
        <x:v>kPa</x:v>
      </x:c>
    </x:row>
    <x:row r="572">
      <x:c r="A572" s="72" t="n">
        <x:v>46240.938113425924</x:v>
      </x:c>
      <x:c r="B572" s="32" t="str">
        <x:v>土壤张力</x:v>
      </x:c>
      <x:c r="C572" s="32" t="str">
        <x:v>W1</x:v>
      </x:c>
      <x:c r="D572" s="32" t="str">
        <x:v>V1</x:v>
      </x:c>
      <x:c r="E572" s="86" t="n">
        <x:f>COUNT('20_W1_张力'!B44,'20_W1_张力'!D44,'20_W1_张力'!F44,'20_W1_张力'!H44)</x:f>
        <x:v>4</x:v>
      </x:c>
      <x:c r="F572" s="90" t="n">
        <x:f>IF(E572=0,"",AVERAGE('20_W1_张力'!B44,'20_W1_张力'!D44,'20_W1_张力'!F44,'20_W1_张力'!H44))</x:f>
        <x:v>-24.9</x:v>
      </x:c>
      <x:c r="G572" s="90" t="n">
        <x:f>IF(E572&lt;2,"",STDEV.S('20_W1_张力'!B44,'20_W1_张力'!D44,'20_W1_张力'!F44,'20_W1_张力'!H44))</x:f>
        <x:v>1.7530925056406281</x:v>
      </x:c>
      <x:c r="H572" s="90" t="n">
        <x:f>IF(E572=0,"",MIN('20_W1_张力'!B44,'20_W1_张力'!D44,'20_W1_张力'!F44,'20_W1_张力'!H44))</x:f>
        <x:v>-26.3</x:v>
      </x:c>
      <x:c r="I572" s="90" t="n">
        <x:f>IF(E572=0,"",MAX('20_W1_张力'!B44,'20_W1_张力'!D44,'20_W1_张力'!F44,'20_W1_张力'!H44))</x:f>
        <x:v>-22.4</x:v>
      </x:c>
      <x:c r="J572" s="32" t="str">
        <x:v>kPa</x:v>
      </x:c>
    </x:row>
    <x:row r="573">
      <x:c r="A573" s="72" t="n">
        <x:v>46240.938113425924</x:v>
      </x:c>
      <x:c r="B573" s="32" t="str">
        <x:v>土壤张力</x:v>
      </x:c>
      <x:c r="C573" s="32" t="str">
        <x:v>W1</x:v>
      </x:c>
      <x:c r="D573" s="32" t="str">
        <x:v>V2</x:v>
      </x:c>
      <x:c r="E573" s="86" t="n">
        <x:f>COUNT('20_W1_张力'!C44,'20_W1_张力'!E44,'20_W1_张力'!G44,'20_W1_张力'!I44)</x:f>
        <x:v>4</x:v>
      </x:c>
      <x:c r="F573" s="90" t="n">
        <x:f>IF(E573=0,"",AVERAGE('20_W1_张力'!C44,'20_W1_张力'!E44,'20_W1_张力'!G44,'20_W1_张力'!I44))</x:f>
        <x:v>-24.674999999999997</x:v>
      </x:c>
      <x:c r="G573" s="90" t="n">
        <x:f>IF(E573&lt;2,"",STDEV.S('20_W1_张力'!C44,'20_W1_张力'!E44,'20_W1_张力'!G44,'20_W1_张力'!I44))</x:f>
        <x:v>2.8300471138598855</x:v>
      </x:c>
      <x:c r="H573" s="90" t="n">
        <x:f>IF(E573=0,"",MIN('20_W1_张力'!C44,'20_W1_张力'!E44,'20_W1_张力'!G44,'20_W1_张力'!I44))</x:f>
        <x:v>-27</x:v>
      </x:c>
      <x:c r="I573" s="90" t="n">
        <x:f>IF(E573=0,"",MAX('20_W1_张力'!C44,'20_W1_张力'!E44,'20_W1_张力'!G44,'20_W1_张力'!I44))</x:f>
        <x:v>-21</x:v>
      </x:c>
      <x:c r="J573" s="32" t="str">
        <x:v>kPa</x:v>
      </x:c>
    </x:row>
    <x:row r="574">
      <x:c r="A574" s="72" t="n">
        <x:v>46240.94158564815</x:v>
      </x:c>
      <x:c r="B574" s="32" t="str">
        <x:v>土壤张力</x:v>
      </x:c>
      <x:c r="C574" s="32" t="str">
        <x:v>W1</x:v>
      </x:c>
      <x:c r="D574" s="32" t="str">
        <x:v>V1</x:v>
      </x:c>
      <x:c r="E574" s="86" t="n">
        <x:f>COUNT('20_W1_张力'!B45,'20_W1_张力'!D45,'20_W1_张力'!F45,'20_W1_张力'!H45)</x:f>
        <x:v>4</x:v>
      </x:c>
      <x:c r="F574" s="90" t="n">
        <x:f>IF(E574=0,"",AVERAGE('20_W1_张力'!B45,'20_W1_张力'!D45,'20_W1_张力'!F45,'20_W1_张力'!H45))</x:f>
        <x:v>-24.9</x:v>
      </x:c>
      <x:c r="G574" s="90" t="n">
        <x:f>IF(E574&lt;2,"",STDEV.S('20_W1_张力'!B45,'20_W1_张力'!D45,'20_W1_张力'!F45,'20_W1_张力'!H45))</x:f>
        <x:v>2.04939015319192</x:v>
      </x:c>
      <x:c r="H574" s="90" t="n">
        <x:f>IF(E574=0,"",MIN('20_W1_张力'!B45,'20_W1_张力'!D45,'20_W1_张力'!F45,'20_W1_张力'!H45))</x:f>
        <x:v>-26.8</x:v>
      </x:c>
      <x:c r="I574" s="90" t="n">
        <x:f>IF(E574=0,"",MAX('20_W1_张力'!B45,'20_W1_张力'!D45,'20_W1_张力'!F45,'20_W1_张力'!H45))</x:f>
        <x:v>-22</x:v>
      </x:c>
      <x:c r="J574" s="32" t="str">
        <x:v>kPa</x:v>
      </x:c>
    </x:row>
    <x:row r="575">
      <x:c r="A575" s="72" t="n">
        <x:v>46240.94158564815</x:v>
      </x:c>
      <x:c r="B575" s="32" t="str">
        <x:v>土壤张力</x:v>
      </x:c>
      <x:c r="C575" s="32" t="str">
        <x:v>W1</x:v>
      </x:c>
      <x:c r="D575" s="32" t="str">
        <x:v>V2</x:v>
      </x:c>
      <x:c r="E575" s="86" t="n">
        <x:f>COUNT('20_W1_张力'!C45,'20_W1_张力'!E45,'20_W1_张力'!G45,'20_W1_张力'!I45)</x:f>
        <x:v>4</x:v>
      </x:c>
      <x:c r="F575" s="90" t="n">
        <x:f>IF(E575=0,"",AVERAGE('20_W1_张力'!C45,'20_W1_张力'!E45,'20_W1_张力'!G45,'20_W1_张力'!I45))</x:f>
        <x:v>-24.65</x:v>
      </x:c>
      <x:c r="G575" s="90" t="n">
        <x:f>IF(E575&lt;2,"",STDEV.S('20_W1_张力'!C45,'20_W1_张力'!E45,'20_W1_张力'!G45,'20_W1_张力'!I45))</x:f>
        <x:v>2.99833287011299</x:v>
      </x:c>
      <x:c r="H575" s="90" t="n">
        <x:f>IF(E575=0,"",MIN('20_W1_张力'!C45,'20_W1_张力'!E45,'20_W1_张力'!G45,'20_W1_张力'!I45))</x:f>
        <x:v>-27.3</x:v>
      </x:c>
      <x:c r="I575" s="90" t="n">
        <x:f>IF(E575=0,"",MAX('20_W1_张力'!C45,'20_W1_张力'!E45,'20_W1_张力'!G45,'20_W1_张力'!I45))</x:f>
        <x:v>-21</x:v>
      </x:c>
      <x:c r="J575" s="32" t="str">
        <x:v>kPa</x:v>
      </x:c>
    </x:row>
    <x:row r="576">
      <x:c r="A576" s="72" t="n">
        <x:v>46240.94505787037</x:v>
      </x:c>
      <x:c r="B576" s="32" t="str">
        <x:v>土壤张力</x:v>
      </x:c>
      <x:c r="C576" s="32" t="str">
        <x:v>W1</x:v>
      </x:c>
      <x:c r="D576" s="32" t="str">
        <x:v>V1</x:v>
      </x:c>
      <x:c r="E576" s="86" t="n">
        <x:f>COUNT('20_W1_张力'!B46,'20_W1_张力'!D46,'20_W1_张力'!F46,'20_W1_张力'!H46)</x:f>
        <x:v>4</x:v>
      </x:c>
      <x:c r="F576" s="90" t="n">
        <x:f>IF(E576=0,"",AVERAGE('20_W1_张力'!B46,'20_W1_张力'!D46,'20_W1_张力'!F46,'20_W1_张力'!H46))</x:f>
        <x:v>-24.900000000000002</x:v>
      </x:c>
      <x:c r="G576" s="90" t="n">
        <x:f>IF(E576&lt;2,"",STDEV.S('20_W1_张力'!B46,'20_W1_张力'!D46,'20_W1_张力'!F46,'20_W1_张力'!H46))</x:f>
        <x:v>2.359378449224851</x:v>
      </x:c>
      <x:c r="H576" s="90" t="n">
        <x:f>IF(E576=0,"",MIN('20_W1_张力'!B46,'20_W1_张力'!D46,'20_W1_张力'!F46,'20_W1_张力'!H46))</x:f>
        <x:v>-27.2</x:v>
      </x:c>
      <x:c r="I576" s="90" t="n">
        <x:f>IF(E576=0,"",MAX('20_W1_张力'!B46,'20_W1_张力'!D46,'20_W1_张力'!F46,'20_W1_张力'!H46))</x:f>
        <x:v>-21.6</x:v>
      </x:c>
      <x:c r="J576" s="32" t="str">
        <x:v>kPa</x:v>
      </x:c>
    </x:row>
    <x:row r="577">
      <x:c r="A577" s="72" t="n">
        <x:v>46240.94505787037</x:v>
      </x:c>
      <x:c r="B577" s="32" t="str">
        <x:v>土壤张力</x:v>
      </x:c>
      <x:c r="C577" s="32" t="str">
        <x:v>W1</x:v>
      </x:c>
      <x:c r="D577" s="32" t="str">
        <x:v>V2</x:v>
      </x:c>
      <x:c r="E577" s="86" t="n">
        <x:f>COUNT('20_W1_张力'!C46,'20_W1_张力'!E46,'20_W1_张力'!G46,'20_W1_张力'!I46)</x:f>
        <x:v>4</x:v>
      </x:c>
      <x:c r="F577" s="90" t="n">
        <x:f>IF(E577=0,"",AVERAGE('20_W1_张力'!C46,'20_W1_张力'!E46,'20_W1_张力'!G46,'20_W1_张力'!I46))</x:f>
        <x:v>-24.65</x:v>
      </x:c>
      <x:c r="G577" s="90" t="n">
        <x:f>IF(E577&lt;2,"",STDEV.S('20_W1_张力'!C46,'20_W1_张力'!E46,'20_W1_张力'!G46,'20_W1_张力'!I46))</x:f>
        <x:v>3.0740852297878805</x:v>
      </x:c>
      <x:c r="H577" s="90" t="n">
        <x:f>IF(E577=0,"",MIN('20_W1_张力'!C46,'20_W1_张力'!E46,'20_W1_张力'!G46,'20_W1_张力'!I46))</x:f>
        <x:v>-27.8</x:v>
      </x:c>
      <x:c r="I577" s="90" t="n">
        <x:f>IF(E577=0,"",MAX('20_W1_张力'!C46,'20_W1_张力'!E46,'20_W1_张力'!G46,'20_W1_张力'!I46))</x:f>
        <x:v>-21.2</x:v>
      </x:c>
      <x:c r="J577" s="32" t="str">
        <x:v>kPa</x:v>
      </x:c>
    </x:row>
    <x:row r="578">
      <x:c r="A578" s="72" t="n">
        <x:v>46240.948530092595</x:v>
      </x:c>
      <x:c r="B578" s="32" t="str">
        <x:v>土壤张力</x:v>
      </x:c>
      <x:c r="C578" s="32" t="str">
        <x:v>W1</x:v>
      </x:c>
      <x:c r="D578" s="32" t="str">
        <x:v>V1</x:v>
      </x:c>
      <x:c r="E578" s="86" t="n">
        <x:f>COUNT('20_W1_张力'!B47,'20_W1_张力'!D47,'20_W1_张力'!F47,'20_W1_张力'!H47)</x:f>
        <x:v>4</x:v>
      </x:c>
      <x:c r="F578" s="90" t="n">
        <x:f>IF(E578=0,"",AVERAGE('20_W1_张力'!B47,'20_W1_张力'!D47,'20_W1_张力'!F47,'20_W1_张力'!H47))</x:f>
        <x:v>-24.924999999999997</x:v>
      </x:c>
      <x:c r="G578" s="90" t="n">
        <x:f>IF(E578&lt;2,"",STDEV.S('20_W1_张力'!B47,'20_W1_张力'!D47,'20_W1_张力'!F47,'20_W1_张力'!H47))</x:f>
        <x:v>2.6612966764342527</x:v>
      </x:c>
      <x:c r="H578" s="90" t="n">
        <x:f>IF(E578=0,"",MIN('20_W1_张力'!B47,'20_W1_张力'!D47,'20_W1_张力'!F47,'20_W1_张力'!H47))</x:f>
        <x:v>-27.6</x:v>
      </x:c>
      <x:c r="I578" s="90" t="n">
        <x:f>IF(E578=0,"",MAX('20_W1_张力'!B47,'20_W1_张力'!D47,'20_W1_张力'!F47,'20_W1_张力'!H47))</x:f>
        <x:v>-21.3</x:v>
      </x:c>
      <x:c r="J578" s="32" t="str">
        <x:v>kPa</x:v>
      </x:c>
    </x:row>
    <x:row r="579">
      <x:c r="A579" s="72" t="n">
        <x:v>46240.948530092595</x:v>
      </x:c>
      <x:c r="B579" s="32" t="str">
        <x:v>土壤张力</x:v>
      </x:c>
      <x:c r="C579" s="32" t="str">
        <x:v>W1</x:v>
      </x:c>
      <x:c r="D579" s="32" t="str">
        <x:v>V2</x:v>
      </x:c>
      <x:c r="E579" s="86" t="n">
        <x:f>COUNT('20_W1_张力'!C47,'20_W1_张力'!E47,'20_W1_张力'!G47,'20_W1_张力'!I47)</x:f>
        <x:v>4</x:v>
      </x:c>
      <x:c r="F579" s="90" t="n">
        <x:f>IF(E579=0,"",AVERAGE('20_W1_张力'!C47,'20_W1_张力'!E47,'20_W1_张力'!G47,'20_W1_张力'!I47))</x:f>
        <x:v>-24.650000000000002</x:v>
      </x:c>
      <x:c r="G579" s="90" t="n">
        <x:f>IF(E579&lt;2,"",STDEV.S('20_W1_张力'!C47,'20_W1_张力'!E47,'20_W1_张力'!G47,'20_W1_张力'!I47))</x:f>
        <x:v>3.1331560233519595</x:v>
      </x:c>
      <x:c r="H579" s="90" t="n">
        <x:f>IF(E579=0,"",MIN('20_W1_张力'!C47,'20_W1_张力'!E47,'20_W1_张力'!G47,'20_W1_张力'!I47))</x:f>
        <x:v>-28.2</x:v>
      </x:c>
      <x:c r="I579" s="90" t="n">
        <x:f>IF(E579=0,"",MAX('20_W1_张力'!C47,'20_W1_张力'!E47,'20_W1_张力'!G47,'20_W1_张力'!I47))</x:f>
        <x:v>-21.5</x:v>
      </x:c>
      <x:c r="J579" s="32" t="str">
        <x:v>kPa</x:v>
      </x:c>
    </x:row>
    <x:row r="580">
      <x:c r="A580" s="72" t="n">
        <x:v>46240.952002314814</x:v>
      </x:c>
      <x:c r="B580" s="32" t="str">
        <x:v>土壤张力</x:v>
      </x:c>
      <x:c r="C580" s="32" t="str">
        <x:v>W1</x:v>
      </x:c>
      <x:c r="D580" s="32" t="str">
        <x:v>V1</x:v>
      </x:c>
      <x:c r="E580" s="86" t="n">
        <x:f>COUNT('20_W1_张力'!B48,'20_W1_张力'!D48,'20_W1_张力'!F48,'20_W1_张力'!H48)</x:f>
        <x:v>4</x:v>
      </x:c>
      <x:c r="F580" s="90" t="n">
        <x:f>IF(E580=0,"",AVERAGE('20_W1_张力'!B48,'20_W1_张力'!D48,'20_W1_张力'!F48,'20_W1_张力'!H48))</x:f>
        <x:v>-24.9</x:v>
      </x:c>
      <x:c r="G580" s="90" t="n">
        <x:f>IF(E580&lt;2,"",STDEV.S('20_W1_张力'!B48,'20_W1_张力'!D48,'20_W1_张力'!F48,'20_W1_张力'!H48))</x:f>
        <x:v>2.8902133715927154</x:v>
      </x:c>
      <x:c r="H580" s="90" t="n">
        <x:f>IF(E580=0,"",MIN('20_W1_张力'!B48,'20_W1_张力'!D48,'20_W1_张力'!F48,'20_W1_张力'!H48))</x:f>
        <x:v>-27.8</x:v>
      </x:c>
      <x:c r="I580" s="90" t="n">
        <x:f>IF(E580=0,"",MAX('20_W1_张力'!B48,'20_W1_张力'!D48,'20_W1_张力'!F48,'20_W1_张力'!H48))</x:f>
        <x:v>-21.1</x:v>
      </x:c>
      <x:c r="J580" s="32" t="str">
        <x:v>kPa</x:v>
      </x:c>
    </x:row>
    <x:row r="581">
      <x:c r="A581" s="72" t="n">
        <x:v>46240.952002314814</x:v>
      </x:c>
      <x:c r="B581" s="32" t="str">
        <x:v>土壤张力</x:v>
      </x:c>
      <x:c r="C581" s="32" t="str">
        <x:v>W1</x:v>
      </x:c>
      <x:c r="D581" s="32" t="str">
        <x:v>V2</x:v>
      </x:c>
      <x:c r="E581" s="86" t="n">
        <x:f>COUNT('20_W1_张力'!C48,'20_W1_张力'!E48,'20_W1_张力'!G48,'20_W1_张力'!I48)</x:f>
        <x:v>4</x:v>
      </x:c>
      <x:c r="F581" s="90" t="n">
        <x:f>IF(E581=0,"",AVERAGE('20_W1_张力'!C48,'20_W1_张力'!E48,'20_W1_张力'!G48,'20_W1_张力'!I48))</x:f>
        <x:v>-24.674999999999997</x:v>
      </x:c>
      <x:c r="G581" s="90" t="n">
        <x:f>IF(E581&lt;2,"",STDEV.S('20_W1_张力'!C48,'20_W1_张力'!E48,'20_W1_张力'!G48,'20_W1_张力'!I48))</x:f>
        <x:v>3.1752952618614865</x:v>
      </x:c>
      <x:c r="H581" s="90" t="n">
        <x:f>IF(E581=0,"",MIN('20_W1_张力'!C48,'20_W1_张力'!E48,'20_W1_张力'!G48,'20_W1_张力'!I48))</x:f>
        <x:v>-28.6</x:v>
      </x:c>
      <x:c r="I581" s="90" t="n">
        <x:f>IF(E581=0,"",MAX('20_W1_张力'!C48,'20_W1_张力'!E48,'20_W1_张力'!G48,'20_W1_张力'!I48))</x:f>
        <x:v>-21.9</x:v>
      </x:c>
      <x:c r="J581" s="32" t="str">
        <x:v>kPa</x:v>
      </x:c>
    </x:row>
    <x:row r="582">
      <x:c r="A582" s="72" t="n">
        <x:v>46240.95547453704</x:v>
      </x:c>
      <x:c r="B582" s="32" t="str">
        <x:v>土壤张力</x:v>
      </x:c>
      <x:c r="C582" s="32" t="str">
        <x:v>W1</x:v>
      </x:c>
      <x:c r="D582" s="32" t="str">
        <x:v>V1</x:v>
      </x:c>
      <x:c r="E582" s="86" t="n">
        <x:f>COUNT('20_W1_张力'!B49,'20_W1_张力'!D49,'20_W1_张力'!F49,'20_W1_张力'!H49)</x:f>
        <x:v>4</x:v>
      </x:c>
      <x:c r="F582" s="90" t="n">
        <x:f>IF(E582=0,"",AVERAGE('20_W1_张力'!B49,'20_W1_张力'!D49,'20_W1_张力'!F49,'20_W1_张力'!H49))</x:f>
        <x:v>-24.924999999999997</x:v>
      </x:c>
      <x:c r="G582" s="90" t="n">
        <x:f>IF(E582&lt;2,"",STDEV.S('20_W1_张力'!B49,'20_W1_张力'!D49,'20_W1_张力'!F49,'20_W1_张力'!H49))</x:f>
        <x:v>3.131958918419376</x:v>
      </x:c>
      <x:c r="H582" s="90" t="n">
        <x:f>IF(E582=0,"",MIN('20_W1_张力'!B49,'20_W1_张力'!D49,'20_W1_张力'!F49,'20_W1_张力'!H49))</x:f>
        <x:v>-28</x:v>
      </x:c>
      <x:c r="I582" s="90" t="n">
        <x:f>IF(E582=0,"",MAX('20_W1_张力'!B49,'20_W1_张力'!D49,'20_W1_张力'!F49,'20_W1_张力'!H49))</x:f>
        <x:v>-21</x:v>
      </x:c>
      <x:c r="J582" s="32" t="str">
        <x:v>kPa</x:v>
      </x:c>
    </x:row>
    <x:row r="583">
      <x:c r="A583" s="72" t="n">
        <x:v>46240.95547453704</x:v>
      </x:c>
      <x:c r="B583" s="32" t="str">
        <x:v>土壤张力</x:v>
      </x:c>
      <x:c r="C583" s="32" t="str">
        <x:v>W1</x:v>
      </x:c>
      <x:c r="D583" s="32" t="str">
        <x:v>V2</x:v>
      </x:c>
      <x:c r="E583" s="86" t="n">
        <x:f>COUNT('20_W1_张力'!C49,'20_W1_张力'!E49,'20_W1_张力'!G49,'20_W1_张力'!I49)</x:f>
        <x:v>4</x:v>
      </x:c>
      <x:c r="F583" s="90" t="n">
        <x:f>IF(E583=0,"",AVERAGE('20_W1_张力'!C49,'20_W1_张力'!E49,'20_W1_张力'!G49,'20_W1_张力'!I49))</x:f>
        <x:v>-24.65</x:v>
      </x:c>
      <x:c r="G583" s="90" t="n">
        <x:f>IF(E583&lt;2,"",STDEV.S('20_W1_张力'!C49,'20_W1_张力'!E49,'20_W1_张力'!G49,'20_W1_张力'!I49))</x:f>
        <x:v>3.1522478751942504</x:v>
      </x:c>
      <x:c r="H583" s="90" t="n">
        <x:f>IF(E583=0,"",MIN('20_W1_张力'!C49,'20_W1_张力'!E49,'20_W1_张力'!G49,'20_W1_张力'!I49))</x:f>
        <x:v>-28.8</x:v>
      </x:c>
      <x:c r="I583" s="90" t="n">
        <x:f>IF(E583=0,"",MAX('20_W1_张力'!C49,'20_W1_张力'!E49,'20_W1_张力'!G49,'20_W1_张力'!I49))</x:f>
        <x:v>-22.1</x:v>
      </x:c>
      <x:c r="J583" s="32" t="str">
        <x:v>kPa</x:v>
      </x:c>
    </x:row>
    <x:row r="584">
      <x:c r="A584" s="72" t="n">
        <x:v>46240.95894675926</x:v>
      </x:c>
      <x:c r="B584" s="32" t="str">
        <x:v>土壤张力</x:v>
      </x:c>
      <x:c r="C584" s="32" t="str">
        <x:v>W1</x:v>
      </x:c>
      <x:c r="D584" s="32" t="str">
        <x:v>V1</x:v>
      </x:c>
      <x:c r="E584" s="86" t="n">
        <x:f>COUNT('20_W1_张力'!B50,'20_W1_张力'!D50,'20_W1_张力'!F50,'20_W1_张力'!H50)</x:f>
        <x:v>4</x:v>
      </x:c>
      <x:c r="F584" s="90" t="n">
        <x:f>IF(E584=0,"",AVERAGE('20_W1_张力'!B50,'20_W1_张力'!D50,'20_W1_张力'!F50,'20_W1_张力'!H50))</x:f>
        <x:v>-24.924999999999997</x:v>
      </x:c>
      <x:c r="G584" s="90" t="n">
        <x:f>IF(E584&lt;2,"",STDEV.S('20_W1_张力'!B50,'20_W1_张力'!D50,'20_W1_张力'!F50,'20_W1_张力'!H50))</x:f>
        <x:v>3.3079449814046185</x:v>
      </x:c>
      <x:c r="H584" s="90" t="n">
        <x:f>IF(E584=0,"",MIN('20_W1_张力'!B50,'20_W1_张力'!D50,'20_W1_张力'!F50,'20_W1_张力'!H50))</x:f>
        <x:v>-28</x:v>
      </x:c>
      <x:c r="I584" s="90" t="n">
        <x:f>IF(E584=0,"",MAX('20_W1_张力'!B50,'20_W1_张力'!D50,'20_W1_张力'!F50,'20_W1_张力'!H50))</x:f>
        <x:v>-21</x:v>
      </x:c>
      <x:c r="J584" s="32" t="str">
        <x:v>kPa</x:v>
      </x:c>
    </x:row>
    <x:row r="585">
      <x:c r="A585" s="72" t="n">
        <x:v>46240.95894675926</x:v>
      </x:c>
      <x:c r="B585" s="32" t="str">
        <x:v>土壤张力</x:v>
      </x:c>
      <x:c r="C585" s="32" t="str">
        <x:v>W1</x:v>
      </x:c>
      <x:c r="D585" s="32" t="str">
        <x:v>V2</x:v>
      </x:c>
      <x:c r="E585" s="86" t="n">
        <x:f>COUNT('20_W1_张力'!C50,'20_W1_张力'!E50,'20_W1_张力'!G50,'20_W1_张力'!I50)</x:f>
        <x:v>4</x:v>
      </x:c>
      <x:c r="F585" s="90" t="n">
        <x:f>IF(E585=0,"",AVERAGE('20_W1_张力'!C50,'20_W1_张力'!E50,'20_W1_张力'!G50,'20_W1_张力'!I50))</x:f>
        <x:v>-24.674999999999997</x:v>
      </x:c>
      <x:c r="G585" s="90" t="n">
        <x:f>IF(E585&lt;2,"",STDEV.S('20_W1_张力'!C50,'20_W1_张力'!E50,'20_W1_张力'!G50,'20_W1_张力'!I50))</x:f>
        <x:v>3.1319589184193757</x:v>
      </x:c>
      <x:c r="H585" s="90" t="n">
        <x:f>IF(E585=0,"",MIN('20_W1_张力'!C50,'20_W1_张力'!E50,'20_W1_张力'!G50,'20_W1_张力'!I50))</x:f>
        <x:v>-29</x:v>
      </x:c>
      <x:c r="I585" s="90" t="n">
        <x:f>IF(E585=0,"",MAX('20_W1_张力'!C50,'20_W1_张力'!E50,'20_W1_张力'!G50,'20_W1_张力'!I50))</x:f>
        <x:v>-22</x:v>
      </x:c>
      <x:c r="J585" s="32" t="str">
        <x:v>kPa</x:v>
      </x:c>
    </x:row>
    <x:row r="586">
      <x:c r="A586" s="72" t="n">
        <x:v>46240.96241898148</x:v>
      </x:c>
      <x:c r="B586" s="32" t="str">
        <x:v>土壤张力</x:v>
      </x:c>
      <x:c r="C586" s="32" t="str">
        <x:v>W1</x:v>
      </x:c>
      <x:c r="D586" s="32" t="str">
        <x:v>V1</x:v>
      </x:c>
      <x:c r="E586" s="86" t="n">
        <x:f>COUNT('20_W1_张力'!B51,'20_W1_张力'!D51,'20_W1_张力'!F51,'20_W1_张力'!H51)</x:f>
        <x:v>4</x:v>
      </x:c>
      <x:c r="F586" s="90" t="n">
        <x:f>IF(E586=0,"",AVERAGE('20_W1_张力'!B51,'20_W1_张力'!D51,'20_W1_张力'!F51,'20_W1_张力'!H51))</x:f>
        <x:v>-24.975</x:v>
      </x:c>
      <x:c r="G586" s="90" t="n">
        <x:f>IF(E586&lt;2,"",STDEV.S('20_W1_张力'!B51,'20_W1_张力'!D51,'20_W1_张力'!F51,'20_W1_张力'!H51))</x:f>
        <x:v>3.400367627183861</x:v>
      </x:c>
      <x:c r="H586" s="90" t="n">
        <x:f>IF(E586=0,"",MIN('20_W1_张力'!B51,'20_W1_张力'!D51,'20_W1_张力'!F51,'20_W1_张力'!H51))</x:f>
        <x:v>-27.9</x:v>
      </x:c>
      <x:c r="I586" s="90" t="n">
        <x:f>IF(E586=0,"",MAX('20_W1_张力'!B51,'20_W1_张力'!D51,'20_W1_张力'!F51,'20_W1_张力'!H51))</x:f>
        <x:v>-21.2</x:v>
      </x:c>
      <x:c r="J586" s="32" t="str">
        <x:v>kPa</x:v>
      </x:c>
    </x:row>
    <x:row r="587">
      <x:c r="A587" s="72" t="n">
        <x:v>46240.96241898148</x:v>
      </x:c>
      <x:c r="B587" s="32" t="str">
        <x:v>土壤张力</x:v>
      </x:c>
      <x:c r="C587" s="32" t="str">
        <x:v>W1</x:v>
      </x:c>
      <x:c r="D587" s="32" t="str">
        <x:v>V2</x:v>
      </x:c>
      <x:c r="E587" s="86" t="n">
        <x:f>COUNT('20_W1_张力'!C51,'20_W1_张力'!E51,'20_W1_张力'!G51,'20_W1_张力'!I51)</x:f>
        <x:v>4</x:v>
      </x:c>
      <x:c r="F587" s="90" t="n">
        <x:f>IF(E587=0,"",AVERAGE('20_W1_张力'!C51,'20_W1_张力'!E51,'20_W1_张力'!G51,'20_W1_张力'!I51))</x:f>
        <x:v>-24.674999999999997</x:v>
      </x:c>
      <x:c r="G587" s="90" t="n">
        <x:f>IF(E587&lt;2,"",STDEV.S('20_W1_张力'!C51,'20_W1_张力'!E51,'20_W1_张力'!G51,'20_W1_张力'!I51))</x:f>
        <x:v>3.045625277891772</x:v>
      </x:c>
      <x:c r="H587" s="90" t="n">
        <x:f>IF(E587=0,"",MIN('20_W1_张力'!C51,'20_W1_张力'!E51,'20_W1_张力'!G51,'20_W1_张力'!I51))</x:f>
        <x:v>-29</x:v>
      </x:c>
      <x:c r="I587" s="90" t="n">
        <x:f>IF(E587=0,"",MAX('20_W1_张力'!C51,'20_W1_张力'!E51,'20_W1_张力'!G51,'20_W1_张力'!I51))</x:f>
        <x:v>-22</x:v>
      </x:c>
      <x:c r="J587" s="32" t="str">
        <x:v>kPa</x:v>
      </x:c>
    </x:row>
    <x:row r="588">
      <x:c r="A588" s="72" t="n">
        <x:v>46240.965891203705</x:v>
      </x:c>
      <x:c r="B588" s="32" t="str">
        <x:v>土壤张力</x:v>
      </x:c>
      <x:c r="C588" s="32" t="str">
        <x:v>W1</x:v>
      </x:c>
      <x:c r="D588" s="32" t="str">
        <x:v>V1</x:v>
      </x:c>
      <x:c r="E588" s="86" t="n">
        <x:f>COUNT('20_W1_张力'!B52,'20_W1_张力'!D52,'20_W1_张力'!F52,'20_W1_张力'!H52)</x:f>
        <x:v>4</x:v>
      </x:c>
      <x:c r="F588" s="90" t="n">
        <x:f>IF(E588=0,"",AVERAGE('20_W1_张力'!B52,'20_W1_张力'!D52,'20_W1_张力'!F52,'20_W1_张力'!H52))</x:f>
        <x:v>-25</x:v>
      </x:c>
      <x:c r="G588" s="90" t="n">
        <x:f>IF(E588&lt;2,"",STDEV.S('20_W1_张力'!B52,'20_W1_张力'!D52,'20_W1_张力'!F52,'20_W1_张力'!H52))</x:f>
        <x:v>3.4418987008142268</x:v>
      </x:c>
      <x:c r="H588" s="90" t="n">
        <x:f>IF(E588=0,"",MIN('20_W1_张力'!B52,'20_W1_张力'!D52,'20_W1_张力'!F52,'20_W1_张力'!H52))</x:f>
        <x:v>-28.2</x:v>
      </x:c>
      <x:c r="I588" s="90" t="n">
        <x:f>IF(E588=0,"",MAX('20_W1_张力'!B52,'20_W1_张力'!D52,'20_W1_张力'!F52,'20_W1_张力'!H52))</x:f>
        <x:v>-21.5</x:v>
      </x:c>
      <x:c r="J588" s="32" t="str">
        <x:v>kPa</x:v>
      </x:c>
    </x:row>
    <x:row r="589">
      <x:c r="A589" s="72" t="n">
        <x:v>46240.965891203705</x:v>
      </x:c>
      <x:c r="B589" s="32" t="str">
        <x:v>土壤张力</x:v>
      </x:c>
      <x:c r="C589" s="32" t="str">
        <x:v>W1</x:v>
      </x:c>
      <x:c r="D589" s="32" t="str">
        <x:v>V2</x:v>
      </x:c>
      <x:c r="E589" s="86" t="n">
        <x:f>COUNT('20_W1_张力'!C52,'20_W1_张力'!E52,'20_W1_张力'!G52,'20_W1_张力'!I52)</x:f>
        <x:v>4</x:v>
      </x:c>
      <x:c r="F589" s="90" t="n">
        <x:f>IF(E589=0,"",AVERAGE('20_W1_张力'!C52,'20_W1_张力'!E52,'20_W1_张力'!G52,'20_W1_张力'!I52))</x:f>
        <x:v>-24.725</x:v>
      </x:c>
      <x:c r="G589" s="90" t="n">
        <x:f>IF(E589&lt;2,"",STDEV.S('20_W1_张力'!C52,'20_W1_张力'!E52,'20_W1_张力'!G52,'20_W1_张力'!I52))</x:f>
        <x:v>2.8975564417856177</x:v>
      </x:c>
      <x:c r="H589" s="90" t="n">
        <x:f>IF(E589=0,"",MIN('20_W1_张力'!C52,'20_W1_张力'!E52,'20_W1_张力'!G52,'20_W1_张力'!I52))</x:f>
        <x:v>-28.9</x:v>
      </x:c>
      <x:c r="I589" s="90" t="n">
        <x:f>IF(E589=0,"",MAX('20_W1_张力'!C52,'20_W1_张力'!E52,'20_W1_张力'!G52,'20_W1_张力'!I52))</x:f>
        <x:v>-22.2</x:v>
      </x:c>
      <x:c r="J589" s="32" t="str">
        <x:v>kPa</x:v>
      </x:c>
    </x:row>
    <x:row r="590">
      <x:c r="A590" s="72" t="n">
        <x:v>46240.969363425924</x:v>
      </x:c>
      <x:c r="B590" s="32" t="str">
        <x:v>土壤张力</x:v>
      </x:c>
      <x:c r="C590" s="32" t="str">
        <x:v>W1</x:v>
      </x:c>
      <x:c r="D590" s="32" t="str">
        <x:v>V1</x:v>
      </x:c>
      <x:c r="E590" s="86" t="n">
        <x:f>COUNT('20_W1_张力'!B53,'20_W1_张力'!D53,'20_W1_张力'!F53,'20_W1_张力'!H53)</x:f>
        <x:v>4</x:v>
      </x:c>
      <x:c r="F590" s="90" t="n">
        <x:f>IF(E590=0,"",AVERAGE('20_W1_张力'!B53,'20_W1_张力'!D53,'20_W1_张力'!F53,'20_W1_张力'!H53))</x:f>
        <x:v>-25.05</x:v>
      </x:c>
      <x:c r="G590" s="90" t="n">
        <x:f>IF(E590&lt;2,"",STDEV.S('20_W1_张力'!B53,'20_W1_张力'!D53,'20_W1_张力'!F53,'20_W1_张力'!H53))</x:f>
        <x:v>3.4452866353904437</x:v>
      </x:c>
      <x:c r="H590" s="90" t="n">
        <x:f>IF(E590=0,"",MIN('20_W1_张力'!B53,'20_W1_张力'!D53,'20_W1_张力'!F53,'20_W1_张力'!H53))</x:f>
        <x:v>-28.6</x:v>
      </x:c>
      <x:c r="I590" s="90" t="n">
        <x:f>IF(E590=0,"",MAX('20_W1_张力'!B53,'20_W1_张力'!D53,'20_W1_张力'!F53,'20_W1_张力'!H53))</x:f>
        <x:v>-21.9</x:v>
      </x:c>
      <x:c r="J590" s="32" t="str">
        <x:v>kPa</x:v>
      </x:c>
    </x:row>
    <x:row r="591">
      <x:c r="A591" s="72" t="n">
        <x:v>46240.969363425924</x:v>
      </x:c>
      <x:c r="B591" s="32" t="str">
        <x:v>土壤张力</x:v>
      </x:c>
      <x:c r="C591" s="32" t="str">
        <x:v>W1</x:v>
      </x:c>
      <x:c r="D591" s="32" t="str">
        <x:v>V2</x:v>
      </x:c>
      <x:c r="E591" s="86" t="n">
        <x:f>COUNT('20_W1_张力'!C53,'20_W1_张力'!E53,'20_W1_张力'!G53,'20_W1_张力'!I53)</x:f>
        <x:v>4</x:v>
      </x:c>
      <x:c r="F591" s="90" t="n">
        <x:f>IF(E591=0,"",AVERAGE('20_W1_张力'!C53,'20_W1_张力'!E53,'20_W1_张力'!G53,'20_W1_张力'!I53))</x:f>
        <x:v>-24.75</x:v>
      </x:c>
      <x:c r="G591" s="90" t="n">
        <x:f>IF(E591&lt;2,"",STDEV.S('20_W1_张力'!C53,'20_W1_张力'!E53,'20_W1_张力'!G53,'20_W1_张力'!I53))</x:f>
        <x:v>2.7258026340878017</x:v>
      </x:c>
      <x:c r="H591" s="90" t="n">
        <x:f>IF(E591=0,"",MIN('20_W1_张力'!C53,'20_W1_张力'!E53,'20_W1_张力'!G53,'20_W1_张力'!I53))</x:f>
        <x:v>-28.7</x:v>
      </x:c>
      <x:c r="I591" s="90" t="n">
        <x:f>IF(E591=0,"",MAX('20_W1_张力'!C53,'20_W1_张力'!E53,'20_W1_张力'!G53,'20_W1_张力'!I53))</x:f>
        <x:v>-22.5</x:v>
      </x:c>
      <x:c r="J591" s="32" t="str">
        <x:v>kPa</x:v>
      </x:c>
    </x:row>
    <x:row r="592">
      <x:c r="A592" s="72" t="n">
        <x:v>46240.80269675926</x:v>
      </x:c>
      <x:c r="B592" s="32" t="str">
        <x:v>土壤含水率</x:v>
      </x:c>
      <x:c r="C592" s="32" t="str">
        <x:v>W1</x:v>
      </x:c>
      <x:c r="D592" s="32" t="str">
        <x:v>V1</x:v>
      </x:c>
      <x:c r="E592" s="86" t="n">
        <x:f>COUNT('21_W1_含水率'!B5,'21_W1_含水率'!D5,'21_W1_含水率'!F5,'21_W1_含水率'!H5)</x:f>
        <x:v>4</x:v>
      </x:c>
      <x:c r="F592" s="90" t="n">
        <x:f>IF(E592=0,"",AVERAGE('21_W1_含水率'!B5,'21_W1_含水率'!D5,'21_W1_含水率'!F5,'21_W1_含水率'!H5))</x:f>
        <x:v>38.075</x:v>
      </x:c>
      <x:c r="G592" s="90" t="n">
        <x:f>IF(E592&lt;2,"",STDEV.S('21_W1_含水率'!B5,'21_W1_含水率'!D5,'21_W1_含水率'!F5,'21_W1_含水率'!H5))</x:f>
        <x:v>1.8927493230747694</x:v>
      </x:c>
      <x:c r="H592" s="90" t="n">
        <x:f>IF(E592=0,"",MIN('21_W1_含水率'!B5,'21_W1_含水率'!D5,'21_W1_含水率'!F5,'21_W1_含水率'!H5))</x:f>
        <x:v>37</x:v>
      </x:c>
      <x:c r="I592" s="90" t="n">
        <x:f>IF(E592=0,"",MAX('21_W1_含水率'!B5,'21_W1_含水率'!D5,'21_W1_含水率'!F5,'21_W1_含水率'!H5))</x:f>
        <x:v>40.9</x:v>
      </x:c>
      <x:c r="J592" s="32" t="str">
        <x:v>%</x:v>
      </x:c>
    </x:row>
    <x:row r="593">
      <x:c r="A593" s="72" t="n">
        <x:v>46240.80269675926</x:v>
      </x:c>
      <x:c r="B593" s="32" t="str">
        <x:v>土壤含水率</x:v>
      </x:c>
      <x:c r="C593" s="32" t="str">
        <x:v>W1</x:v>
      </x:c>
      <x:c r="D593" s="32" t="str">
        <x:v>V2</x:v>
      </x:c>
      <x:c r="E593" s="86" t="n">
        <x:f>COUNT('21_W1_含水率'!C5,'21_W1_含水率'!E5,'21_W1_含水率'!G5,'21_W1_含水率'!I5)</x:f>
        <x:v>4</x:v>
      </x:c>
      <x:c r="F593" s="90" t="n">
        <x:f>IF(E593=0,"",AVERAGE('21_W1_含水率'!C5,'21_W1_含水率'!E5,'21_W1_含水率'!G5,'21_W1_含水率'!I5))</x:f>
        <x:v>37.025</x:v>
      </x:c>
      <x:c r="G593" s="90" t="n">
        <x:f>IF(E593&lt;2,"",STDEV.S('21_W1_含水率'!C5,'21_W1_含水率'!E5,'21_W1_含水率'!G5,'21_W1_含水率'!I5))</x:f>
        <x:v>2.4499999999999997</x:v>
      </x:c>
      <x:c r="H593" s="90" t="n">
        <x:f>IF(E593=0,"",MIN('21_W1_含水率'!C5,'21_W1_含水率'!E5,'21_W1_含水率'!G5,'21_W1_含水率'!I5))</x:f>
        <x:v>33.4</x:v>
      </x:c>
      <x:c r="I593" s="90" t="n">
        <x:f>IF(E593=0,"",MAX('21_W1_含水率'!C5,'21_W1_含水率'!E5,'21_W1_含水率'!G5,'21_W1_含水率'!I5))</x:f>
        <x:v>38.8</x:v>
      </x:c>
      <x:c r="J593" s="32" t="str">
        <x:v>%</x:v>
      </x:c>
    </x:row>
    <x:row r="594">
      <x:c r="A594" s="72" t="n">
        <x:v>46240.80616898148</x:v>
      </x:c>
      <x:c r="B594" s="32" t="str">
        <x:v>土壤含水率</x:v>
      </x:c>
      <x:c r="C594" s="32" t="str">
        <x:v>W1</x:v>
      </x:c>
      <x:c r="D594" s="32" t="str">
        <x:v>V1</x:v>
      </x:c>
      <x:c r="E594" s="86" t="n">
        <x:f>COUNT('21_W1_含水率'!B6,'21_W1_含水率'!D6,'21_W1_含水率'!F6,'21_W1_含水率'!H6)</x:f>
        <x:v>4</x:v>
      </x:c>
      <x:c r="F594" s="90" t="n">
        <x:f>IF(E594=0,"",AVERAGE('21_W1_含水率'!B6,'21_W1_含水率'!D6,'21_W1_含水率'!F6,'21_W1_含水率'!H6))</x:f>
        <x:v>38.1</x:v>
      </x:c>
      <x:c r="G594" s="90" t="n">
        <x:f>IF(E594&lt;2,"",STDEV.S('21_W1_含水率'!B6,'21_W1_含水率'!D6,'21_W1_含水率'!F6,'21_W1_含水率'!H6))</x:f>
        <x:v>2.201514630127782</x:v>
      </x:c>
      <x:c r="H594" s="90" t="n">
        <x:f>IF(E594=0,"",MIN('21_W1_含水率'!B6,'21_W1_含水率'!D6,'21_W1_含水率'!F6,'21_W1_含水率'!H6))</x:f>
        <x:v>36.9</x:v>
      </x:c>
      <x:c r="I594" s="90" t="n">
        <x:f>IF(E594=0,"",MAX('21_W1_含水率'!B6,'21_W1_含水率'!D6,'21_W1_含水率'!F6,'21_W1_含水率'!H6))</x:f>
        <x:v>41.4</x:v>
      </x:c>
      <x:c r="J594" s="32" t="str">
        <x:v>%</x:v>
      </x:c>
    </x:row>
    <x:row r="595">
      <x:c r="A595" s="72" t="n">
        <x:v>46240.80616898148</x:v>
      </x:c>
      <x:c r="B595" s="32" t="str">
        <x:v>土壤含水率</x:v>
      </x:c>
      <x:c r="C595" s="32" t="str">
        <x:v>W1</x:v>
      </x:c>
      <x:c r="D595" s="32" t="str">
        <x:v>V2</x:v>
      </x:c>
      <x:c r="E595" s="86" t="n">
        <x:f>COUNT('21_W1_含水率'!C6,'21_W1_含水率'!E6,'21_W1_含水率'!G6,'21_W1_含水率'!I6)</x:f>
        <x:v>4</x:v>
      </x:c>
      <x:c r="F595" s="90" t="n">
        <x:f>IF(E595=0,"",AVERAGE('21_W1_含水率'!C6,'21_W1_含水率'!E6,'21_W1_含水率'!G6,'21_W1_含水率'!I6))</x:f>
        <x:v>37.075</x:v>
      </x:c>
      <x:c r="G595" s="90" t="n">
        <x:f>IF(E595&lt;2,"",STDEV.S('21_W1_含水率'!C6,'21_W1_含水率'!E6,'21_W1_含水率'!G6,'21_W1_含水率'!I6))</x:f>
        <x:v>2.1250490190424633</x:v>
      </x:c>
      <x:c r="H595" s="90" t="n">
        <x:f>IF(E595=0,"",MIN('21_W1_含水率'!C6,'21_W1_含水率'!E6,'21_W1_含水率'!G6,'21_W1_含水率'!I6))</x:f>
        <x:v>33.9</x:v>
      </x:c>
      <x:c r="I595" s="90" t="n">
        <x:f>IF(E595=0,"",MAX('21_W1_含水率'!C6,'21_W1_含水率'!E6,'21_W1_含水率'!G6,'21_W1_含水率'!I6))</x:f>
        <x:v>38.4</x:v>
      </x:c>
      <x:c r="J595" s="32" t="str">
        <x:v>%</x:v>
      </x:c>
    </x:row>
    <x:row r="596">
      <x:c r="A596" s="72" t="n">
        <x:v>46240.809641203705</x:v>
      </x:c>
      <x:c r="B596" s="32" t="str">
        <x:v>土壤含水率</x:v>
      </x:c>
      <x:c r="C596" s="32" t="str">
        <x:v>W1</x:v>
      </x:c>
      <x:c r="D596" s="32" t="str">
        <x:v>V1</x:v>
      </x:c>
      <x:c r="E596" s="86" t="n">
        <x:f>COUNT('21_W1_含水率'!B7,'21_W1_含水率'!D7,'21_W1_含水率'!F7,'21_W1_含水率'!H7)</x:f>
        <x:v>4</x:v>
      </x:c>
      <x:c r="F596" s="90" t="n">
        <x:f>IF(E596=0,"",AVERAGE('21_W1_含水率'!B7,'21_W1_含水率'!D7,'21_W1_含水率'!F7,'21_W1_含水率'!H7))</x:f>
        <x:v>38.125</x:v>
      </x:c>
      <x:c r="G596" s="90" t="n">
        <x:f>IF(E596&lt;2,"",STDEV.S('21_W1_含水率'!B7,'21_W1_含水率'!D7,'21_W1_含水率'!F7,'21_W1_含水率'!H7))</x:f>
        <x:v>2.543455654550845</x:v>
      </x:c>
      <x:c r="H596" s="90" t="n">
        <x:f>IF(E596=0,"",MIN('21_W1_含水率'!B7,'21_W1_含水率'!D7,'21_W1_含水率'!F7,'21_W1_含水率'!H7))</x:f>
        <x:v>36.4</x:v>
      </x:c>
      <x:c r="I596" s="90" t="n">
        <x:f>IF(E596=0,"",MAX('21_W1_含水率'!B7,'21_W1_含水率'!D7,'21_W1_含水率'!F7,'21_W1_含水率'!H7))</x:f>
        <x:v>41.9</x:v>
      </x:c>
      <x:c r="J596" s="32" t="str">
        <x:v>%</x:v>
      </x:c>
    </x:row>
    <x:row r="597">
      <x:c r="A597" s="72" t="n">
        <x:v>46240.809641203705</x:v>
      </x:c>
      <x:c r="B597" s="32" t="str">
        <x:v>土壤含水率</x:v>
      </x:c>
      <x:c r="C597" s="32" t="str">
        <x:v>W1</x:v>
      </x:c>
      <x:c r="D597" s="32" t="str">
        <x:v>V2</x:v>
      </x:c>
      <x:c r="E597" s="86" t="n">
        <x:f>COUNT('21_W1_含水率'!C7,'21_W1_含水率'!E7,'21_W1_含水率'!G7,'21_W1_含水率'!I7)</x:f>
        <x:v>4</x:v>
      </x:c>
      <x:c r="F597" s="90" t="n">
        <x:f>IF(E597=0,"",AVERAGE('21_W1_含水率'!C7,'21_W1_含水率'!E7,'21_W1_含水率'!G7,'21_W1_含水率'!I7))</x:f>
        <x:v>37.1</x:v>
      </x:c>
      <x:c r="G597" s="90" t="n">
        <x:f>IF(E597&lt;2,"",STDEV.S('21_W1_含水率'!C7,'21_W1_含水率'!E7,'21_W1_含水率'!G7,'21_W1_含水率'!I7))</x:f>
        <x:v>1.8018509002319447</x:v>
      </x:c>
      <x:c r="H597" s="90" t="n">
        <x:f>IF(E597=0,"",MIN('21_W1_含水率'!C7,'21_W1_含水率'!E7,'21_W1_含水率'!G7,'21_W1_含水率'!I7))</x:f>
        <x:v>34.4</x:v>
      </x:c>
      <x:c r="I597" s="90" t="n">
        <x:f>IF(E597=0,"",MAX('21_W1_含水率'!C7,'21_W1_含水率'!E7,'21_W1_含水率'!G7,'21_W1_含水率'!I7))</x:f>
        <x:v>38.1</x:v>
      </x:c>
      <x:c r="J597" s="32" t="str">
        <x:v>%</x:v>
      </x:c>
    </x:row>
    <x:row r="598">
      <x:c r="A598" s="72" t="n">
        <x:v>46240.813113425924</x:v>
      </x:c>
      <x:c r="B598" s="32" t="str">
        <x:v>土壤含水率</x:v>
      </x:c>
      <x:c r="C598" s="32" t="str">
        <x:v>W1</x:v>
      </x:c>
      <x:c r="D598" s="32" t="str">
        <x:v>V1</x:v>
      </x:c>
      <x:c r="E598" s="86" t="n">
        <x:f>COUNT('21_W1_含水率'!B8,'21_W1_含水率'!D8,'21_W1_含水率'!F8,'21_W1_含水率'!H8)</x:f>
        <x:v>4</x:v>
      </x:c>
      <x:c r="F598" s="90" t="n">
        <x:f>IF(E598=0,"",AVERAGE('21_W1_含水率'!B8,'21_W1_含水率'!D8,'21_W1_含水率'!F8,'21_W1_含水率'!H8))</x:f>
        <x:v>38.1</x:v>
      </x:c>
      <x:c r="G598" s="90" t="n">
        <x:f>IF(E598&lt;2,"",STDEV.S('21_W1_含水率'!B8,'21_W1_含水率'!D8,'21_W1_含水率'!F8,'21_W1_含水率'!H8))</x:f>
        <x:v>2.8855964143772184</x:v>
      </x:c>
      <x:c r="H598" s="90" t="n">
        <x:f>IF(E598=0,"",MIN('21_W1_含水率'!B8,'21_W1_含水率'!D8,'21_W1_含水率'!F8,'21_W1_含水率'!H8))</x:f>
        <x:v>35.9</x:v>
      </x:c>
      <x:c r="I598" s="90" t="n">
        <x:f>IF(E598=0,"",MAX('21_W1_含水率'!B8,'21_W1_含水率'!D8,'21_W1_含水率'!F8,'21_W1_含水率'!H8))</x:f>
        <x:v>42.3</x:v>
      </x:c>
      <x:c r="J598" s="32" t="str">
        <x:v>%</x:v>
      </x:c>
    </x:row>
    <x:row r="599">
      <x:c r="A599" s="72" t="n">
        <x:v>46240.813113425924</x:v>
      </x:c>
      <x:c r="B599" s="32" t="str">
        <x:v>土壤含水率</x:v>
      </x:c>
      <x:c r="C599" s="32" t="str">
        <x:v>W1</x:v>
      </x:c>
      <x:c r="D599" s="32" t="str">
        <x:v>V2</x:v>
      </x:c>
      <x:c r="E599" s="86" t="n">
        <x:f>COUNT('21_W1_含水率'!C8,'21_W1_含水率'!E8,'21_W1_含水率'!G8,'21_W1_含水率'!I8)</x:f>
        <x:v>4</x:v>
      </x:c>
      <x:c r="F599" s="90" t="n">
        <x:f>IF(E599=0,"",AVERAGE('21_W1_含水率'!C8,'21_W1_含水率'!E8,'21_W1_含水率'!G8,'21_W1_含水率'!I8))</x:f>
        <x:v>37.125</x:v>
      </x:c>
      <x:c r="G599" s="90" t="n">
        <x:f>IF(E599&lt;2,"",STDEV.S('21_W1_含水率'!C8,'21_W1_含水率'!E8,'21_W1_含水率'!G8,'21_W1_含水率'!I8))</x:f>
        <x:v>1.5283433296655997</x:v>
      </x:c>
      <x:c r="H599" s="90" t="n">
        <x:f>IF(E599=0,"",MIN('21_W1_含水率'!C8,'21_W1_含水率'!E8,'21_W1_含水率'!G8,'21_W1_含水率'!I8))</x:f>
        <x:v>34.9</x:v>
      </x:c>
      <x:c r="I599" s="90" t="n">
        <x:f>IF(E599=0,"",MAX('21_W1_含水率'!C8,'21_W1_含水率'!E8,'21_W1_含水率'!G8,'21_W1_含水率'!I8))</x:f>
        <x:v>38.3</x:v>
      </x:c>
      <x:c r="J599" s="32" t="str">
        <x:v>%</x:v>
      </x:c>
    </x:row>
    <x:row r="600">
      <x:c r="A600" s="72" t="n">
        <x:v>46240.81658564815</x:v>
      </x:c>
      <x:c r="B600" s="32" t="str">
        <x:v>土壤含水率</x:v>
      </x:c>
      <x:c r="C600" s="32" t="str">
        <x:v>W1</x:v>
      </x:c>
      <x:c r="D600" s="32" t="str">
        <x:v>V1</x:v>
      </x:c>
      <x:c r="E600" s="86" t="n">
        <x:f>COUNT('21_W1_含水率'!B9,'21_W1_含水率'!D9,'21_W1_含水率'!F9,'21_W1_含水率'!H9)</x:f>
        <x:v>4</x:v>
      </x:c>
      <x:c r="F600" s="90" t="n">
        <x:f>IF(E600=0,"",AVERAGE('21_W1_含水率'!B9,'21_W1_含水率'!D9,'21_W1_含水率'!F9,'21_W1_含水率'!H9))</x:f>
        <x:v>38.1</x:v>
      </x:c>
      <x:c r="G600" s="90" t="n">
        <x:f>IF(E600&lt;2,"",STDEV.S('21_W1_含水率'!B9,'21_W1_含水率'!D9,'21_W1_含水率'!F9,'21_W1_含水率'!H9))</x:f>
        <x:v>3.1759513010540124</x:v>
      </x:c>
      <x:c r="H600" s="90" t="n">
        <x:f>IF(E600=0,"",MIN('21_W1_含水率'!B9,'21_W1_含水率'!D9,'21_W1_含水率'!F9,'21_W1_含水率'!H9))</x:f>
        <x:v>35.5</x:v>
      </x:c>
      <x:c r="I600" s="90" t="n">
        <x:f>IF(E600=0,"",MAX('21_W1_含水率'!B9,'21_W1_含水率'!D9,'21_W1_含水率'!F9,'21_W1_含水率'!H9))</x:f>
        <x:v>42.6</x:v>
      </x:c>
      <x:c r="J600" s="32" t="str">
        <x:v>%</x:v>
      </x:c>
    </x:row>
    <x:row r="601">
      <x:c r="A601" s="72" t="n">
        <x:v>46240.81658564815</x:v>
      </x:c>
      <x:c r="B601" s="32" t="str">
        <x:v>土壤含水率</x:v>
      </x:c>
      <x:c r="C601" s="32" t="str">
        <x:v>W1</x:v>
      </x:c>
      <x:c r="D601" s="32" t="str">
        <x:v>V2</x:v>
      </x:c>
      <x:c r="E601" s="86" t="n">
        <x:f>COUNT('21_W1_含水率'!C9,'21_W1_含水率'!E9,'21_W1_含水率'!G9,'21_W1_含水率'!I9)</x:f>
        <x:v>4</x:v>
      </x:c>
      <x:c r="F601" s="90" t="n">
        <x:f>IF(E601=0,"",AVERAGE('21_W1_含水率'!C9,'21_W1_含水率'!E9,'21_W1_含水率'!G9,'21_W1_含水率'!I9))</x:f>
        <x:v>37.1</x:v>
      </x:c>
      <x:c r="G601" s="90" t="n">
        <x:f>IF(E601&lt;2,"",STDEV.S('21_W1_含水率'!C9,'21_W1_含水率'!E9,'21_W1_含水率'!G9,'21_W1_含水率'!I9))</x:f>
        <x:v>1.388044187577136</x:v>
      </x:c>
      <x:c r="H601" s="90" t="n">
        <x:f>IF(E601=0,"",MIN('21_W1_含水率'!C9,'21_W1_含水率'!E9,'21_W1_含水率'!G9,'21_W1_含水率'!I9))</x:f>
        <x:v>35.3</x:v>
      </x:c>
      <x:c r="I601" s="90" t="n">
        <x:f>IF(E601=0,"",MAX('21_W1_含水率'!C9,'21_W1_含水率'!E9,'21_W1_含水率'!G9,'21_W1_含水率'!I9))</x:f>
        <x:v>38.6</x:v>
      </x:c>
      <x:c r="J601" s="32" t="str">
        <x:v>%</x:v>
      </x:c>
    </x:row>
    <x:row r="602">
      <x:c r="A602" s="72" t="n">
        <x:v>46240.82005787037</x:v>
      </x:c>
      <x:c r="B602" s="32" t="str">
        <x:v>土壤含水率</x:v>
      </x:c>
      <x:c r="C602" s="32" t="str">
        <x:v>W1</x:v>
      </x:c>
      <x:c r="D602" s="32" t="str">
        <x:v>V1</x:v>
      </x:c>
      <x:c r="E602" s="86" t="n">
        <x:f>COUNT('21_W1_含水率'!B10,'21_W1_含水率'!D10,'21_W1_含水率'!F10,'21_W1_含水率'!H10)</x:f>
        <x:v>4</x:v>
      </x:c>
      <x:c r="F602" s="90" t="n">
        <x:f>IF(E602=0,"",AVERAGE('21_W1_含水率'!B10,'21_W1_含水率'!D10,'21_W1_含水率'!F10,'21_W1_含水率'!H10))</x:f>
        <x:v>38.075</x:v>
      </x:c>
      <x:c r="G602" s="90" t="n">
        <x:f>IF(E602&lt;2,"",STDEV.S('21_W1_含水率'!B10,'21_W1_含水率'!D10,'21_W1_含水率'!F10,'21_W1_含水率'!H10))</x:f>
        <x:v>3.5036885325801044</x:v>
      </x:c>
      <x:c r="H602" s="90" t="n">
        <x:f>IF(E602=0,"",MIN('21_W1_含水率'!B10,'21_W1_含水率'!D10,'21_W1_含水率'!F10,'21_W1_含水率'!H10))</x:f>
        <x:v>35.2</x:v>
      </x:c>
      <x:c r="I602" s="90" t="n">
        <x:f>IF(E602=0,"",MAX('21_W1_含水率'!B10,'21_W1_含水率'!D10,'21_W1_含水率'!F10,'21_W1_含水率'!H10))</x:f>
        <x:v>42.9</x:v>
      </x:c>
      <x:c r="J602" s="32" t="str">
        <x:v>%</x:v>
      </x:c>
    </x:row>
    <x:row r="603">
      <x:c r="A603" s="72" t="n">
        <x:v>46240.82005787037</x:v>
      </x:c>
      <x:c r="B603" s="32" t="str">
        <x:v>土壤含水率</x:v>
      </x:c>
      <x:c r="C603" s="32" t="str">
        <x:v>W1</x:v>
      </x:c>
      <x:c r="D603" s="32" t="str">
        <x:v>V2</x:v>
      </x:c>
      <x:c r="E603" s="86" t="n">
        <x:f>COUNT('21_W1_含水率'!C10,'21_W1_含水率'!E10,'21_W1_含水率'!G10,'21_W1_含水率'!I10)</x:f>
        <x:v>4</x:v>
      </x:c>
      <x:c r="F603" s="90" t="n">
        <x:f>IF(E603=0,"",AVERAGE('21_W1_含水率'!C10,'21_W1_含水率'!E10,'21_W1_含水率'!G10,'21_W1_含水率'!I10))</x:f>
        <x:v>37.1</x:v>
      </x:c>
      <x:c r="G603" s="90" t="n">
        <x:f>IF(E603&lt;2,"",STDEV.S('21_W1_含水率'!C10,'21_W1_含水率'!E10,'21_W1_含水率'!G10,'21_W1_含水率'!I10))</x:f>
        <x:v>1.4445299120013626</x:v>
      </x:c>
      <x:c r="H603" s="90" t="n">
        <x:f>IF(E603=0,"",MIN('21_W1_含水率'!C10,'21_W1_含水率'!E10,'21_W1_含水率'!G10,'21_W1_含水率'!I10))</x:f>
        <x:v>35.6</x:v>
      </x:c>
      <x:c r="I603" s="90" t="n">
        <x:f>IF(E603=0,"",MAX('21_W1_含水率'!C10,'21_W1_含水率'!E10,'21_W1_含水率'!G10,'21_W1_含水率'!I10))</x:f>
        <x:v>39</x:v>
      </x:c>
      <x:c r="J603" s="32" t="str">
        <x:v>%</x:v>
      </x:c>
    </x:row>
    <x:row r="604">
      <x:c r="A604" s="72" t="n">
        <x:v>46240.823530092595</x:v>
      </x:c>
      <x:c r="B604" s="32" t="str">
        <x:v>土壤含水率</x:v>
      </x:c>
      <x:c r="C604" s="32" t="str">
        <x:v>W1</x:v>
      </x:c>
      <x:c r="D604" s="32" t="str">
        <x:v>V1</x:v>
      </x:c>
      <x:c r="E604" s="86" t="n">
        <x:f>COUNT('21_W1_含水率'!B11,'21_W1_含水率'!D11,'21_W1_含水率'!F11,'21_W1_含水率'!H11)</x:f>
        <x:v>4</x:v>
      </x:c>
      <x:c r="F604" s="90" t="n">
        <x:f>IF(E604=0,"",AVERAGE('21_W1_含水率'!B11,'21_W1_含水率'!D11,'21_W1_含水率'!F11,'21_W1_含水率'!H11))</x:f>
        <x:v>38.1</x:v>
      </x:c>
      <x:c r="G604" s="90" t="n">
        <x:f>IF(E604&lt;2,"",STDEV.S('21_W1_含水率'!B11,'21_W1_含水率'!D11,'21_W1_含水率'!F11,'21_W1_含水率'!H11))</x:f>
        <x:v>3.6941395028702777</x:v>
      </x:c>
      <x:c r="H604" s="90" t="n">
        <x:f>IF(E604=0,"",MIN('21_W1_含水率'!B11,'21_W1_含水率'!D11,'21_W1_含水率'!F11,'21_W1_含水率'!H11))</x:f>
        <x:v>35.1</x:v>
      </x:c>
      <x:c r="I604" s="90" t="n">
        <x:f>IF(E604=0,"",MAX('21_W1_含水率'!B11,'21_W1_含水率'!D11,'21_W1_含水率'!F11,'21_W1_含水率'!H11))</x:f>
        <x:v>43</x:v>
      </x:c>
      <x:c r="J604" s="32" t="str">
        <x:v>%</x:v>
      </x:c>
    </x:row>
    <x:row r="605">
      <x:c r="A605" s="72" t="n">
        <x:v>46240.823530092595</x:v>
      </x:c>
      <x:c r="B605" s="32" t="str">
        <x:v>土壤含水率</x:v>
      </x:c>
      <x:c r="C605" s="32" t="str">
        <x:v>W1</x:v>
      </x:c>
      <x:c r="D605" s="32" t="str">
        <x:v>V2</x:v>
      </x:c>
      <x:c r="E605" s="86" t="n">
        <x:f>COUNT('21_W1_含水率'!C11,'21_W1_含水率'!E11,'21_W1_含水率'!G11,'21_W1_含水率'!I11)</x:f>
        <x:v>4</x:v>
      </x:c>
      <x:c r="F605" s="90" t="n">
        <x:f>IF(E605=0,"",AVERAGE('21_W1_含水率'!C11,'21_W1_含水率'!E11,'21_W1_含水率'!G11,'21_W1_含水率'!I11))</x:f>
        <x:v>37.075</x:v>
      </x:c>
      <x:c r="G605" s="90" t="n">
        <x:f>IF(E605&lt;2,"",STDEV.S('21_W1_含水率'!C11,'21_W1_含水率'!E11,'21_W1_含水率'!G11,'21_W1_含水率'!I11))</x:f>
        <x:v>1.5945218719101968</x:v>
      </x:c>
      <x:c r="H605" s="90" t="n">
        <x:f>IF(E605=0,"",MIN('21_W1_含水率'!C11,'21_W1_含水率'!E11,'21_W1_含水率'!G11,'21_W1_含水率'!I11))</x:f>
        <x:v>35.9</x:v>
      </x:c>
      <x:c r="I605" s="90" t="n">
        <x:f>IF(E605=0,"",MAX('21_W1_含水率'!C11,'21_W1_含水率'!E11,'21_W1_含水率'!G11,'21_W1_含水率'!I11))</x:f>
        <x:v>39.4</x:v>
      </x:c>
      <x:c r="J605" s="32" t="str">
        <x:v>%</x:v>
      </x:c>
    </x:row>
    <x:row r="606">
      <x:c r="A606" s="72" t="n">
        <x:v>46240.827002314814</x:v>
      </x:c>
      <x:c r="B606" s="32" t="str">
        <x:v>土壤含水率</x:v>
      </x:c>
      <x:c r="C606" s="32" t="str">
        <x:v>W1</x:v>
      </x:c>
      <x:c r="D606" s="32" t="str">
        <x:v>V1</x:v>
      </x:c>
      <x:c r="E606" s="86" t="n">
        <x:f>COUNT('21_W1_含水率'!B12,'21_W1_含水率'!D12,'21_W1_含水率'!F12,'21_W1_含水率'!H12)</x:f>
        <x:v>4</x:v>
      </x:c>
      <x:c r="F606" s="90" t="n">
        <x:f>IF(E606=0,"",AVERAGE('21_W1_含水率'!B12,'21_W1_含水率'!D12,'21_W1_含水率'!F12,'21_W1_含水率'!H12))</x:f>
        <x:v>38.075</x:v>
      </x:c>
      <x:c r="G606" s="90" t="n">
        <x:f>IF(E606&lt;2,"",STDEV.S('21_W1_含水率'!B12,'21_W1_含水率'!D12,'21_W1_含水率'!F12,'21_W1_含水率'!H12))</x:f>
        <x:v>3.8964727639238035</x:v>
      </x:c>
      <x:c r="H606" s="90" t="n">
        <x:f>IF(E606=0,"",MIN('21_W1_含水率'!B12,'21_W1_含水率'!D12,'21_W1_含水率'!F12,'21_W1_含水率'!H12))</x:f>
        <x:v>34.9</x:v>
      </x:c>
      <x:c r="I606" s="90" t="n">
        <x:f>IF(E606=0,"",MAX('21_W1_含水率'!B12,'21_W1_含水率'!D12,'21_W1_含水率'!F12,'21_W1_含水率'!H12))</x:f>
        <x:v>43</x:v>
      </x:c>
      <x:c r="J606" s="32" t="str">
        <x:v>%</x:v>
      </x:c>
    </x:row>
    <x:row r="607">
      <x:c r="A607" s="72" t="n">
        <x:v>46240.827002314814</x:v>
      </x:c>
      <x:c r="B607" s="32" t="str">
        <x:v>土壤含水率</x:v>
      </x:c>
      <x:c r="C607" s="32" t="str">
        <x:v>W1</x:v>
      </x:c>
      <x:c r="D607" s="32" t="str">
        <x:v>V2</x:v>
      </x:c>
      <x:c r="E607" s="86" t="n">
        <x:f>COUNT('21_W1_含水率'!C12,'21_W1_含水率'!E12,'21_W1_含水率'!G12,'21_W1_含水率'!I12)</x:f>
        <x:v>4</x:v>
      </x:c>
      <x:c r="F607" s="90" t="n">
        <x:f>IF(E607=0,"",AVERAGE('21_W1_含水率'!C12,'21_W1_含水率'!E12,'21_W1_含水率'!G12,'21_W1_含水率'!I12))</x:f>
        <x:v>37.1</x:v>
      </x:c>
      <x:c r="G607" s="90" t="n">
        <x:f>IF(E607&lt;2,"",STDEV.S('21_W1_含水率'!C12,'21_W1_含水率'!E12,'21_W1_含水率'!G12,'21_W1_含水率'!I12))</x:f>
        <x:v>1.8743887892679392</x:v>
      </x:c>
      <x:c r="H607" s="90" t="n">
        <x:f>IF(E607=0,"",MIN('21_W1_含水率'!C12,'21_W1_含水率'!E12,'21_W1_含水率'!G12,'21_W1_含水率'!I12))</x:f>
        <x:v>36</x:v>
      </x:c>
      <x:c r="I607" s="90" t="n">
        <x:f>IF(E607=0,"",MAX('21_W1_含水率'!C12,'21_W1_含水率'!E12,'21_W1_含水率'!G12,'21_W1_含水率'!I12))</x:f>
        <x:v>39.9</x:v>
      </x:c>
      <x:c r="J607" s="32" t="str">
        <x:v>%</x:v>
      </x:c>
    </x:row>
    <x:row r="608">
      <x:c r="A608" s="72" t="n">
        <x:v>46240.83047453704</x:v>
      </x:c>
      <x:c r="B608" s="32" t="str">
        <x:v>土壤含水率</x:v>
      </x:c>
      <x:c r="C608" s="32" t="str">
        <x:v>W1</x:v>
      </x:c>
      <x:c r="D608" s="32" t="str">
        <x:v>V1</x:v>
      </x:c>
      <x:c r="E608" s="86" t="n">
        <x:f>COUNT('21_W1_含水率'!B13,'21_W1_含水率'!D13,'21_W1_含水率'!F13,'21_W1_含水率'!H13)</x:f>
        <x:v>4</x:v>
      </x:c>
      <x:c r="F608" s="90" t="n">
        <x:f>IF(E608=0,"",AVERAGE('21_W1_含水率'!B13,'21_W1_含水率'!D13,'21_W1_含水率'!F13,'21_W1_含水率'!H13))</x:f>
        <x:v>38.075</x:v>
      </x:c>
      <x:c r="G608" s="90" t="n">
        <x:f>IF(E608&lt;2,"",STDEV.S('21_W1_含水率'!B13,'21_W1_含水率'!D13,'21_W1_含水率'!F13,'21_W1_含水率'!H13))</x:f>
        <x:v>4.040111384603152</x:v>
      </x:c>
      <x:c r="H608" s="90" t="n">
        <x:f>IF(E608=0,"",MIN('21_W1_含水率'!B13,'21_W1_含水率'!D13,'21_W1_含水率'!F13,'21_W1_含水率'!H13))</x:f>
        <x:v>34.4</x:v>
      </x:c>
      <x:c r="I608" s="90" t="n">
        <x:f>IF(E608=0,"",MAX('21_W1_含水率'!B13,'21_W1_含水率'!D13,'21_W1_含水率'!F13,'21_W1_含水率'!H13))</x:f>
        <x:v>42.9</x:v>
      </x:c>
      <x:c r="J608" s="32" t="str">
        <x:v>%</x:v>
      </x:c>
    </x:row>
    <x:row r="609">
      <x:c r="A609" s="72" t="n">
        <x:v>46240.83047453704</x:v>
      </x:c>
      <x:c r="B609" s="32" t="str">
        <x:v>土壤含水率</x:v>
      </x:c>
      <x:c r="C609" s="32" t="str">
        <x:v>W1</x:v>
      </x:c>
      <x:c r="D609" s="32" t="str">
        <x:v>V2</x:v>
      </x:c>
      <x:c r="E609" s="86" t="n">
        <x:f>COUNT('21_W1_含水率'!C13,'21_W1_含水率'!E13,'21_W1_含水率'!G13,'21_W1_含水率'!I13)</x:f>
        <x:v>4</x:v>
      </x:c>
      <x:c r="F609" s="90" t="n">
        <x:f>IF(E609=0,"",AVERAGE('21_W1_含水率'!C13,'21_W1_含水率'!E13,'21_W1_含水率'!G13,'21_W1_含水率'!I13))</x:f>
        <x:v>37.075</x:v>
      </x:c>
      <x:c r="G609" s="90" t="n">
        <x:f>IF(E609&lt;2,"",STDEV.S('21_W1_含水率'!C13,'21_W1_含水率'!E13,'21_W1_含水率'!G13,'21_W1_含水率'!I13))</x:f>
        <x:v>2.217167863138317</x:v>
      </x:c>
      <x:c r="H609" s="90" t="n">
        <x:f>IF(E609=0,"",MIN('21_W1_含水率'!C13,'21_W1_含水率'!E13,'21_W1_含水率'!G13,'21_W1_含水率'!I13))</x:f>
        <x:v>35.9</x:v>
      </x:c>
      <x:c r="I609" s="90" t="n">
        <x:f>IF(E609=0,"",MAX('21_W1_含水率'!C13,'21_W1_含水率'!E13,'21_W1_含水率'!G13,'21_W1_含水率'!I13))</x:f>
        <x:v>40.4</x:v>
      </x:c>
      <x:c r="J609" s="32" t="str">
        <x:v>%</x:v>
      </x:c>
    </x:row>
    <x:row r="610">
      <x:c r="A610" s="72" t="n">
        <x:v>46240.83394675926</x:v>
      </x:c>
      <x:c r="B610" s="32" t="str">
        <x:v>土壤含水率</x:v>
      </x:c>
      <x:c r="C610" s="32" t="str">
        <x:v>W1</x:v>
      </x:c>
      <x:c r="D610" s="32" t="str">
        <x:v>V1</x:v>
      </x:c>
      <x:c r="E610" s="86" t="n">
        <x:f>COUNT('21_W1_含水率'!B14,'21_W1_含水率'!D14,'21_W1_含水率'!F14,'21_W1_含水率'!H14)</x:f>
        <x:v>4</x:v>
      </x:c>
      <x:c r="F610" s="90" t="n">
        <x:f>IF(E610=0,"",AVERAGE('21_W1_含水率'!B14,'21_W1_含水率'!D14,'21_W1_含水率'!F14,'21_W1_含水率'!H14))</x:f>
        <x:v>38</x:v>
      </x:c>
      <x:c r="G610" s="90" t="n">
        <x:f>IF(E610&lt;2,"",STDEV.S('21_W1_含水率'!B14,'21_W1_含水率'!D14,'21_W1_含水率'!F14,'21_W1_含水率'!H14))</x:f>
        <x:v>4.127145906474999</x:v>
      </x:c>
      <x:c r="H610" s="90" t="n">
        <x:f>IF(E610=0,"",MIN('21_W1_含水率'!B14,'21_W1_含水率'!D14,'21_W1_含水率'!F14,'21_W1_含水率'!H14))</x:f>
        <x:v>33.9</x:v>
      </x:c>
      <x:c r="I610" s="90" t="n">
        <x:f>IF(E610=0,"",MAX('21_W1_含水率'!B14,'21_W1_含水率'!D14,'21_W1_含水率'!F14,'21_W1_含水率'!H14))</x:f>
        <x:v>42.6</x:v>
      </x:c>
      <x:c r="J610" s="32" t="str">
        <x:v>%</x:v>
      </x:c>
    </x:row>
    <x:row r="611">
      <x:c r="A611" s="72" t="n">
        <x:v>46240.83394675926</x:v>
      </x:c>
      <x:c r="B611" s="32" t="str">
        <x:v>土壤含水率</x:v>
      </x:c>
      <x:c r="C611" s="32" t="str">
        <x:v>W1</x:v>
      </x:c>
      <x:c r="D611" s="32" t="str">
        <x:v>V2</x:v>
      </x:c>
      <x:c r="E611" s="86" t="n">
        <x:f>COUNT('21_W1_含水率'!C14,'21_W1_含水率'!E14,'21_W1_含水率'!G14,'21_W1_含水率'!I14)</x:f>
        <x:v>4</x:v>
      </x:c>
      <x:c r="F611" s="90" t="n">
        <x:f>IF(E611=0,"",AVERAGE('21_W1_含水率'!C14,'21_W1_含水率'!E14,'21_W1_含水率'!G14,'21_W1_含水率'!I14))</x:f>
        <x:v>37.075</x:v>
      </x:c>
      <x:c r="G611" s="90" t="n">
        <x:f>IF(E611&lt;2,"",STDEV.S('21_W1_含水率'!C14,'21_W1_含水率'!E14,'21_W1_含水率'!G14,'21_W1_含水率'!I14))</x:f>
        <x:v>2.566937215178171</x:v>
      </x:c>
      <x:c r="H611" s="90" t="n">
        <x:f>IF(E611=0,"",MIN('21_W1_含水率'!C14,'21_W1_含水率'!E14,'21_W1_含水率'!G14,'21_W1_含水率'!I14))</x:f>
        <x:v>35.4</x:v>
      </x:c>
      <x:c r="I611" s="90" t="n">
        <x:f>IF(E611=0,"",MAX('21_W1_含水率'!C14,'21_W1_含水率'!E14,'21_W1_含水率'!G14,'21_W1_含水率'!I14))</x:f>
        <x:v>40.9</x:v>
      </x:c>
      <x:c r="J611" s="32" t="str">
        <x:v>%</x:v>
      </x:c>
    </x:row>
    <x:row r="612">
      <x:c r="A612" s="72" t="n">
        <x:v>46240.83741898148</x:v>
      </x:c>
      <x:c r="B612" s="32" t="str">
        <x:v>土壤含水率</x:v>
      </x:c>
      <x:c r="C612" s="32" t="str">
        <x:v>W1</x:v>
      </x:c>
      <x:c r="D612" s="32" t="str">
        <x:v>V1</x:v>
      </x:c>
      <x:c r="E612" s="86" t="n">
        <x:f>COUNT('21_W1_含水率'!B15,'21_W1_含水率'!D15,'21_W1_含水率'!F15,'21_W1_含水率'!H15)</x:f>
        <x:v>4</x:v>
      </x:c>
      <x:c r="F612" s="90" t="n">
        <x:f>IF(E612=0,"",AVERAGE('21_W1_含水率'!B15,'21_W1_含水率'!D15,'21_W1_含水率'!F15,'21_W1_含水率'!H15))</x:f>
        <x:v>37.975</x:v>
      </x:c>
      <x:c r="G612" s="90" t="n">
        <x:f>IF(E612&lt;2,"",STDEV.S('21_W1_含水率'!B15,'21_W1_含水率'!D15,'21_W1_含水率'!F15,'21_W1_含水率'!H15))</x:f>
        <x:v>4.153211608703156</x:v>
      </x:c>
      <x:c r="H612" s="90" t="n">
        <x:f>IF(E612=0,"",MIN('21_W1_含水率'!B15,'21_W1_含水率'!D15,'21_W1_含水率'!F15,'21_W1_含水率'!H15))</x:f>
        <x:v>33.5</x:v>
      </x:c>
      <x:c r="I612" s="90" t="n">
        <x:f>IF(E612=0,"",MAX('21_W1_含水率'!B15,'21_W1_含水率'!D15,'21_W1_含水率'!F15,'21_W1_含水率'!H15))</x:f>
        <x:v>42.3</x:v>
      </x:c>
      <x:c r="J612" s="32" t="str">
        <x:v>%</x:v>
      </x:c>
    </x:row>
    <x:row r="613">
      <x:c r="A613" s="72" t="n">
        <x:v>46240.83741898148</x:v>
      </x:c>
      <x:c r="B613" s="32" t="str">
        <x:v>土壤含水率</x:v>
      </x:c>
      <x:c r="C613" s="32" t="str">
        <x:v>W1</x:v>
      </x:c>
      <x:c r="D613" s="32" t="str">
        <x:v>V2</x:v>
      </x:c>
      <x:c r="E613" s="86" t="n">
        <x:f>COUNT('21_W1_含水率'!C15,'21_W1_含水率'!E15,'21_W1_含水率'!G15,'21_W1_含水率'!I15)</x:f>
        <x:v>4</x:v>
      </x:c>
      <x:c r="F613" s="90" t="n">
        <x:f>IF(E613=0,"",AVERAGE('21_W1_含水率'!C15,'21_W1_含水率'!E15,'21_W1_含水率'!G15,'21_W1_含水率'!I15))</x:f>
        <x:v>37</x:v>
      </x:c>
      <x:c r="G613" s="90" t="n">
        <x:f>IF(E613&lt;2,"",STDEV.S('21_W1_含水率'!C15,'21_W1_含水率'!E15,'21_W1_含水率'!G15,'21_W1_含水率'!I15))</x:f>
        <x:v>2.9154759474226486</x:v>
      </x:c>
      <x:c r="H613" s="90" t="n">
        <x:f>IF(E613=0,"",MIN('21_W1_含水率'!C15,'21_W1_含水率'!E15,'21_W1_含水率'!G15,'21_W1_含水率'!I15))</x:f>
        <x:v>34.9</x:v>
      </x:c>
      <x:c r="I613" s="90" t="n">
        <x:f>IF(E613=0,"",MAX('21_W1_含水率'!C15,'21_W1_含水率'!E15,'21_W1_含水率'!G15,'21_W1_含水率'!I15))</x:f>
        <x:v>41.3</x:v>
      </x:c>
      <x:c r="J613" s="32" t="str">
        <x:v>%</x:v>
      </x:c>
    </x:row>
    <x:row r="614">
      <x:c r="A614" s="72" t="n">
        <x:v>46240.840891203705</x:v>
      </x:c>
      <x:c r="B614" s="32" t="str">
        <x:v>土壤含水率</x:v>
      </x:c>
      <x:c r="C614" s="32" t="str">
        <x:v>W1</x:v>
      </x:c>
      <x:c r="D614" s="32" t="str">
        <x:v>V1</x:v>
      </x:c>
      <x:c r="E614" s="86" t="n">
        <x:f>COUNT('21_W1_含水率'!B16,'21_W1_含水率'!D16,'21_W1_含水率'!F16,'21_W1_含水率'!H16)</x:f>
        <x:v>4</x:v>
      </x:c>
      <x:c r="F614" s="90" t="n">
        <x:f>IF(E614=0,"",AVERAGE('21_W1_含水率'!B16,'21_W1_含水率'!D16,'21_W1_含水率'!F16,'21_W1_含水率'!H16))</x:f>
        <x:v>37.949999999999996</x:v>
      </x:c>
      <x:c r="G614" s="90" t="n">
        <x:f>IF(E614&lt;2,"",STDEV.S('21_W1_含水率'!B16,'21_W1_含水率'!D16,'21_W1_含水率'!F16,'21_W1_含水率'!H16))</x:f>
        <x:v>4.094304987825567</x:v>
      </x:c>
      <x:c r="H614" s="90" t="n">
        <x:f>IF(E614=0,"",MIN('21_W1_含水率'!B16,'21_W1_含水率'!D16,'21_W1_含水率'!F16,'21_W1_含水率'!H16))</x:f>
        <x:v>33.2</x:v>
      </x:c>
      <x:c r="I614" s="90" t="n">
        <x:f>IF(E614=0,"",MAX('21_W1_含水率'!B16,'21_W1_含水率'!D16,'21_W1_含水率'!F16,'21_W1_含水率'!H16))</x:f>
        <x:v>41.8</x:v>
      </x:c>
      <x:c r="J614" s="32" t="str">
        <x:v>%</x:v>
      </x:c>
    </x:row>
    <x:row r="615">
      <x:c r="A615" s="72" t="n">
        <x:v>46240.840891203705</x:v>
      </x:c>
      <x:c r="B615" s="32" t="str">
        <x:v>土壤含水率</x:v>
      </x:c>
      <x:c r="C615" s="32" t="str">
        <x:v>W1</x:v>
      </x:c>
      <x:c r="D615" s="32" t="str">
        <x:v>V2</x:v>
      </x:c>
      <x:c r="E615" s="86" t="n">
        <x:f>COUNT('21_W1_含水率'!C16,'21_W1_含水率'!E16,'21_W1_含水率'!G16,'21_W1_含水率'!I16)</x:f>
        <x:v>4</x:v>
      </x:c>
      <x:c r="F615" s="90" t="n">
        <x:f>IF(E615=0,"",AVERAGE('21_W1_含水率'!C16,'21_W1_含水率'!E16,'21_W1_含水率'!G16,'21_W1_含水率'!I16))</x:f>
        <x:v>36.975</x:v>
      </x:c>
      <x:c r="G615" s="90" t="n">
        <x:f>IF(E615&lt;2,"",STDEV.S('21_W1_含水率'!C16,'21_W1_含水率'!E16,'21_W1_含水率'!G16,'21_W1_含水率'!I16))</x:f>
        <x:v>3.191002977121771</x:v>
      </x:c>
      <x:c r="H615" s="90" t="n">
        <x:f>IF(E615=0,"",MIN('21_W1_含水率'!C16,'21_W1_含水率'!E16,'21_W1_含水率'!G16,'21_W1_含水率'!I16))</x:f>
        <x:v>34.5</x:v>
      </x:c>
      <x:c r="I615" s="90" t="n">
        <x:f>IF(E615=0,"",MAX('21_W1_含水率'!C16,'21_W1_含水率'!E16,'21_W1_含水率'!G16,'21_W1_含水率'!I16))</x:f>
        <x:v>41.6</x:v>
      </x:c>
      <x:c r="J615" s="32" t="str">
        <x:v>%</x:v>
      </x:c>
    </x:row>
    <x:row r="616">
      <x:c r="A616" s="72" t="n">
        <x:v>46240.844363425924</x:v>
      </x:c>
      <x:c r="B616" s="32" t="str">
        <x:v>土壤含水率</x:v>
      </x:c>
      <x:c r="C616" s="32" t="str">
        <x:v>W1</x:v>
      </x:c>
      <x:c r="D616" s="32" t="str">
        <x:v>V1</x:v>
      </x:c>
      <x:c r="E616" s="86" t="n">
        <x:f>COUNT('21_W1_含水率'!B17,'21_W1_含水率'!D17,'21_W1_含水率'!F17,'21_W1_含水率'!H17)</x:f>
        <x:v>4</x:v>
      </x:c>
      <x:c r="F616" s="90" t="n">
        <x:f>IF(E616=0,"",AVERAGE('21_W1_含水率'!B17,'21_W1_含水率'!D17,'21_W1_含水率'!F17,'21_W1_含水率'!H17))</x:f>
        <x:v>37.975</x:v>
      </x:c>
      <x:c r="G616" s="90" t="n">
        <x:f>IF(E616&lt;2,"",STDEV.S('21_W1_含水率'!B17,'21_W1_含水率'!D17,'21_W1_含水率'!F17,'21_W1_含水率'!H17))</x:f>
        <x:v>3.963479111420503</x:v>
      </x:c>
      <x:c r="H616" s="90" t="n">
        <x:f>IF(E616=0,"",MIN('21_W1_含水率'!B17,'21_W1_含水率'!D17,'21_W1_含水率'!F17,'21_W1_含水率'!H17))</x:f>
        <x:v>33.1</x:v>
      </x:c>
      <x:c r="I616" s="90" t="n">
        <x:f>IF(E616=0,"",MAX('21_W1_含水率'!B17,'21_W1_含水率'!D17,'21_W1_含水率'!F17,'21_W1_含水率'!H17))</x:f>
        <x:v>41.4</x:v>
      </x:c>
      <x:c r="J616" s="32" t="str">
        <x:v>%</x:v>
      </x:c>
    </x:row>
    <x:row r="617">
      <x:c r="A617" s="72" t="n">
        <x:v>46240.844363425924</x:v>
      </x:c>
      <x:c r="B617" s="32" t="str">
        <x:v>土壤含水率</x:v>
      </x:c>
      <x:c r="C617" s="32" t="str">
        <x:v>W1</x:v>
      </x:c>
      <x:c r="D617" s="32" t="str">
        <x:v>V2</x:v>
      </x:c>
      <x:c r="E617" s="86" t="n">
        <x:f>COUNT('21_W1_含水率'!C17,'21_W1_含水率'!E17,'21_W1_含水率'!G17,'21_W1_含水率'!I17)</x:f>
        <x:v>4</x:v>
      </x:c>
      <x:c r="F617" s="90" t="n">
        <x:f>IF(E617=0,"",AVERAGE('21_W1_含水率'!C17,'21_W1_含水率'!E17,'21_W1_含水率'!G17,'21_W1_含水率'!I17))</x:f>
        <x:v>36.949999999999996</x:v>
      </x:c>
      <x:c r="G617" s="90" t="n">
        <x:f>IF(E617&lt;2,"",STDEV.S('21_W1_含水率'!C17,'21_W1_含水率'!E17,'21_W1_含水率'!G17,'21_W1_含水率'!I17))</x:f>
        <x:v>3.4971416900091414</x:v>
      </x:c>
      <x:c r="H617" s="90" t="n">
        <x:f>IF(E617=0,"",MIN('21_W1_含水率'!C17,'21_W1_含水率'!E17,'21_W1_含水率'!G17,'21_W1_含水率'!I17))</x:f>
        <x:v>34.2</x:v>
      </x:c>
      <x:c r="I617" s="90" t="n">
        <x:f>IF(E617=0,"",MAX('21_W1_含水率'!C17,'21_W1_含水率'!E17,'21_W1_含水率'!G17,'21_W1_含水率'!I17))</x:f>
        <x:v>41.9</x:v>
      </x:c>
      <x:c r="J617" s="32" t="str">
        <x:v>%</x:v>
      </x:c>
    </x:row>
    <x:row r="618">
      <x:c r="A618" s="72" t="n">
        <x:v>46240.84783564815</x:v>
      </x:c>
      <x:c r="B618" s="32" t="str">
        <x:v>土壤含水率</x:v>
      </x:c>
      <x:c r="C618" s="32" t="str">
        <x:v>W1</x:v>
      </x:c>
      <x:c r="D618" s="32" t="str">
        <x:v>V1</x:v>
      </x:c>
      <x:c r="E618" s="86" t="n">
        <x:f>COUNT('21_W1_含水率'!B18,'21_W1_含水率'!D18,'21_W1_含水率'!F18,'21_W1_含水率'!H18)</x:f>
        <x:v>4</x:v>
      </x:c>
      <x:c r="F618" s="90" t="n">
        <x:f>IF(E618=0,"",AVERAGE('21_W1_含水率'!B18,'21_W1_含水率'!D18,'21_W1_含水率'!F18,'21_W1_含水率'!H18))</x:f>
        <x:v>37.925</x:v>
      </x:c>
      <x:c r="G618" s="90" t="n">
        <x:f>IF(E618&lt;2,"",STDEV.S('21_W1_含水率'!B18,'21_W1_含水率'!D18,'21_W1_含水率'!F18,'21_W1_含水率'!H18))</x:f>
        <x:v>3.822193959843831</x:v>
      </x:c>
      <x:c r="H618" s="90" t="n">
        <x:f>IF(E618=0,"",MIN('21_W1_含水率'!B18,'21_W1_含水率'!D18,'21_W1_含水率'!F18,'21_W1_含水率'!H18))</x:f>
        <x:v>33</x:v>
      </x:c>
      <x:c r="I618" s="90" t="n">
        <x:f>IF(E618=0,"",MAX('21_W1_含水率'!B18,'21_W1_含水率'!D18,'21_W1_含水率'!F18,'21_W1_含水率'!H18))</x:f>
        <x:v>41</x:v>
      </x:c>
      <x:c r="J618" s="32" t="str">
        <x:v>%</x:v>
      </x:c>
    </x:row>
    <x:row r="619">
      <x:c r="A619" s="72" t="n">
        <x:v>46240.84783564815</x:v>
      </x:c>
      <x:c r="B619" s="32" t="str">
        <x:v>土壤含水率</x:v>
      </x:c>
      <x:c r="C619" s="32" t="str">
        <x:v>W1</x:v>
      </x:c>
      <x:c r="D619" s="32" t="str">
        <x:v>V2</x:v>
      </x:c>
      <x:c r="E619" s="86" t="n">
        <x:f>COUNT('21_W1_含水率'!C18,'21_W1_含水率'!E18,'21_W1_含水率'!G18,'21_W1_含水率'!I18)</x:f>
        <x:v>4</x:v>
      </x:c>
      <x:c r="F619" s="90" t="n">
        <x:f>IF(E619=0,"",AVERAGE('21_W1_含水率'!C18,'21_W1_含水率'!E18,'21_W1_含水率'!G18,'21_W1_含水率'!I18))</x:f>
        <x:v>36.975</x:v>
      </x:c>
      <x:c r="G619" s="90" t="n">
        <x:f>IF(E619&lt;2,"",STDEV.S('21_W1_含水率'!C18,'21_W1_含水率'!E18,'21_W1_含水率'!G18,'21_W1_含水率'!I18))</x:f>
        <x:v>3.666401505563732</x:v>
      </x:c>
      <x:c r="H619" s="90" t="n">
        <x:f>IF(E619=0,"",MIN('21_W1_含水率'!C18,'21_W1_含水率'!E18,'21_W1_含水率'!G18,'21_W1_含水率'!I18))</x:f>
        <x:v>34.1</x:v>
      </x:c>
      <x:c r="I619" s="90" t="n">
        <x:f>IF(E619=0,"",MAX('21_W1_含水率'!C18,'21_W1_含水率'!E18,'21_W1_含水率'!G18,'21_W1_含水率'!I18))</x:f>
        <x:v>42</x:v>
      </x:c>
      <x:c r="J619" s="32" t="str">
        <x:v>%</x:v>
      </x:c>
    </x:row>
    <x:row r="620">
      <x:c r="A620" s="72" t="n">
        <x:v>46240.85130787037</x:v>
      </x:c>
      <x:c r="B620" s="32" t="str">
        <x:v>土壤含水率</x:v>
      </x:c>
      <x:c r="C620" s="32" t="str">
        <x:v>W1</x:v>
      </x:c>
      <x:c r="D620" s="32" t="str">
        <x:v>V1</x:v>
      </x:c>
      <x:c r="E620" s="86" t="n">
        <x:f>COUNT('21_W1_含水率'!B19,'21_W1_含水率'!D19,'21_W1_含水率'!F19,'21_W1_含水率'!H19)</x:f>
        <x:v>4</x:v>
      </x:c>
      <x:c r="F620" s="90" t="n">
        <x:f>IF(E620=0,"",AVERAGE('21_W1_含水率'!B19,'21_W1_含水率'!D19,'21_W1_含水率'!F19,'21_W1_含水率'!H19))</x:f>
        <x:v>37.925000000000004</x:v>
      </x:c>
      <x:c r="G620" s="90" t="n">
        <x:f>IF(E620&lt;2,"",STDEV.S('21_W1_含水率'!B19,'21_W1_含水率'!D19,'21_W1_含水率'!F19,'21_W1_含水率'!H19))</x:f>
        <x:v>3.5892199709686214</x:v>
      </x:c>
      <x:c r="H620" s="90" t="n">
        <x:f>IF(E620=0,"",MIN('21_W1_含水率'!B19,'21_W1_含水率'!D19,'21_W1_含水率'!F19,'21_W1_含水率'!H19))</x:f>
        <x:v>33.1</x:v>
      </x:c>
      <x:c r="I620" s="90" t="n">
        <x:f>IF(E620=0,"",MAX('21_W1_含水率'!B19,'21_W1_含水率'!D19,'21_W1_含水率'!F19,'21_W1_含水率'!H19))</x:f>
        <x:v>40.9</x:v>
      </x:c>
      <x:c r="J620" s="32" t="str">
        <x:v>%</x:v>
      </x:c>
    </x:row>
    <x:row r="621">
      <x:c r="A621" s="72" t="n">
        <x:v>46240.85130787037</x:v>
      </x:c>
      <x:c r="B621" s="32" t="str">
        <x:v>土壤含水率</x:v>
      </x:c>
      <x:c r="C621" s="32" t="str">
        <x:v>W1</x:v>
      </x:c>
      <x:c r="D621" s="32" t="str">
        <x:v>V2</x:v>
      </x:c>
      <x:c r="E621" s="86" t="n">
        <x:f>COUNT('21_W1_含水率'!C19,'21_W1_含水率'!E19,'21_W1_含水率'!G19,'21_W1_含水率'!I19)</x:f>
        <x:v>4</x:v>
      </x:c>
      <x:c r="F621" s="90" t="n">
        <x:f>IF(E621=0,"",AVERAGE('21_W1_含水率'!C19,'21_W1_含水率'!E19,'21_W1_含水率'!G19,'21_W1_含水率'!I19))</x:f>
        <x:v>36.925</x:v>
      </x:c>
      <x:c r="G621" s="90" t="n">
        <x:f>IF(E621&lt;2,"",STDEV.S('21_W1_含水率'!C19,'21_W1_含水率'!E19,'21_W1_含水率'!G19,'21_W1_含水率'!I19))</x:f>
        <x:v>3.8395963329495983</x:v>
      </x:c>
      <x:c r="H621" s="90" t="n">
        <x:f>IF(E621=0,"",MIN('21_W1_含水率'!C19,'21_W1_含水率'!E19,'21_W1_含水率'!G19,'21_W1_含水率'!I19))</x:f>
        <x:v>33.9</x:v>
      </x:c>
      <x:c r="I621" s="90" t="n">
        <x:f>IF(E621=0,"",MAX('21_W1_含水率'!C19,'21_W1_含水率'!E19,'21_W1_含水率'!G19,'21_W1_含水率'!I19))</x:f>
        <x:v>42</x:v>
      </x:c>
      <x:c r="J621" s="32" t="str">
        <x:v>%</x:v>
      </x:c>
    </x:row>
    <x:row r="622">
      <x:c r="A622" s="72" t="n">
        <x:v>46240.854780092595</x:v>
      </x:c>
      <x:c r="B622" s="32" t="str">
        <x:v>土壤含水率</x:v>
      </x:c>
      <x:c r="C622" s="32" t="str">
        <x:v>W1</x:v>
      </x:c>
      <x:c r="D622" s="32" t="str">
        <x:v>V1</x:v>
      </x:c>
      <x:c r="E622" s="86" t="n">
        <x:f>COUNT('21_W1_含水率'!B20,'21_W1_含水率'!D20,'21_W1_含水率'!F20,'21_W1_含水率'!H20)</x:f>
        <x:v>4</x:v>
      </x:c>
      <x:c r="F622" s="90" t="n">
        <x:f>IF(E622=0,"",AVERAGE('21_W1_含水率'!B20,'21_W1_含水率'!D20,'21_W1_含水率'!F20,'21_W1_含水率'!H20))</x:f>
        <x:v>37.875</x:v>
      </x:c>
      <x:c r="G622" s="90" t="n">
        <x:f>IF(E622&lt;2,"",STDEV.S('21_W1_含水率'!B20,'21_W1_含水率'!D20,'21_W1_含水率'!F20,'21_W1_含水率'!H20))</x:f>
        <x:v>3.3360405672993036</x:v>
      </x:c>
      <x:c r="H622" s="90" t="n">
        <x:f>IF(E622=0,"",MIN('21_W1_含水率'!B20,'21_W1_含水率'!D20,'21_W1_含水率'!F20,'21_W1_含水率'!H20))</x:f>
        <x:v>33.2</x:v>
      </x:c>
      <x:c r="I622" s="90" t="n">
        <x:f>IF(E622=0,"",MAX('21_W1_含水率'!B20,'21_W1_含水率'!D20,'21_W1_含水率'!F20,'21_W1_含水率'!H20))</x:f>
        <x:v>40.6</x:v>
      </x:c>
      <x:c r="J622" s="32" t="str">
        <x:v>%</x:v>
      </x:c>
    </x:row>
    <x:row r="623">
      <x:c r="A623" s="72" t="n">
        <x:v>46240.854780092595</x:v>
      </x:c>
      <x:c r="B623" s="32" t="str">
        <x:v>土壤含水率</x:v>
      </x:c>
      <x:c r="C623" s="32" t="str">
        <x:v>W1</x:v>
      </x:c>
      <x:c r="D623" s="32" t="str">
        <x:v>V2</x:v>
      </x:c>
      <x:c r="E623" s="86" t="n">
        <x:f>COUNT('21_W1_含水率'!C20,'21_W1_含水率'!E20,'21_W1_含水率'!G20,'21_W1_含水率'!I20)</x:f>
        <x:v>4</x:v>
      </x:c>
      <x:c r="F623" s="90" t="n">
        <x:f>IF(E623=0,"",AVERAGE('21_W1_含水率'!C20,'21_W1_含水率'!E20,'21_W1_含水率'!G20,'21_W1_含水率'!I20))</x:f>
        <x:v>36.925000000000004</x:v>
      </x:c>
      <x:c r="G623" s="90" t="n">
        <x:f>IF(E623&lt;2,"",STDEV.S('21_W1_含水率'!C20,'21_W1_含水率'!E20,'21_W1_含水率'!G20,'21_W1_含水率'!I20))</x:f>
        <x:v>3.960113634733225</x:v>
      </x:c>
      <x:c r="H623" s="90" t="n">
        <x:f>IF(E623=0,"",MIN('21_W1_含水率'!C20,'21_W1_含水率'!E20,'21_W1_含水率'!G20,'21_W1_含水率'!I20))</x:f>
        <x:v>33.4</x:v>
      </x:c>
      <x:c r="I623" s="90" t="n">
        <x:f>IF(E623=0,"",MAX('21_W1_含水率'!C20,'21_W1_含水率'!E20,'21_W1_含水率'!G20,'21_W1_含水率'!I20))</x:f>
        <x:v>41.9</x:v>
      </x:c>
      <x:c r="J623" s="32" t="str">
        <x:v>%</x:v>
      </x:c>
    </x:row>
    <x:row r="624">
      <x:c r="A624" s="72" t="n">
        <x:v>46240.858252314814</x:v>
      </x:c>
      <x:c r="B624" s="32" t="str">
        <x:v>土壤含水率</x:v>
      </x:c>
      <x:c r="C624" s="32" t="str">
        <x:v>W1</x:v>
      </x:c>
      <x:c r="D624" s="32" t="str">
        <x:v>V1</x:v>
      </x:c>
      <x:c r="E624" s="86" t="n">
        <x:f>COUNT('21_W1_含水率'!B21,'21_W1_含水率'!D21,'21_W1_含水率'!F21,'21_W1_含水率'!H21)</x:f>
        <x:v>4</x:v>
      </x:c>
      <x:c r="F624" s="90" t="n">
        <x:f>IF(E624=0,"",AVERAGE('21_W1_含水率'!B21,'21_W1_含水率'!D21,'21_W1_含水率'!F21,'21_W1_含水率'!H21))</x:f>
        <x:v>37.875</x:v>
      </x:c>
      <x:c r="G624" s="90" t="n">
        <x:f>IF(E624&lt;2,"",STDEV.S('21_W1_含水率'!B21,'21_W1_含水率'!D21,'21_W1_含水率'!F21,'21_W1_含水率'!H21))</x:f>
        <x:v>3.042340108096616</x:v>
      </x:c>
      <x:c r="H624" s="90" t="n">
        <x:f>IF(E624=0,"",MIN('21_W1_含水率'!B21,'21_W1_含水率'!D21,'21_W1_含水率'!F21,'21_W1_含水率'!H21))</x:f>
        <x:v>33.5</x:v>
      </x:c>
      <x:c r="I624" s="90" t="n">
        <x:f>IF(E624=0,"",MAX('21_W1_含水率'!B21,'21_W1_含水率'!D21,'21_W1_含水率'!F21,'21_W1_含水率'!H21))</x:f>
        <x:v>40.3</x:v>
      </x:c>
      <x:c r="J624" s="32" t="str">
        <x:v>%</x:v>
      </x:c>
    </x:row>
    <x:row r="625">
      <x:c r="A625" s="72" t="n">
        <x:v>46240.858252314814</x:v>
      </x:c>
      <x:c r="B625" s="32" t="str">
        <x:v>土壤含水率</x:v>
      </x:c>
      <x:c r="C625" s="32" t="str">
        <x:v>W1</x:v>
      </x:c>
      <x:c r="D625" s="32" t="str">
        <x:v>V2</x:v>
      </x:c>
      <x:c r="E625" s="86" t="n">
        <x:f>COUNT('21_W1_含水率'!C21,'21_W1_含水率'!E21,'21_W1_含水率'!G21,'21_W1_含水率'!I21)</x:f>
        <x:v>4</x:v>
      </x:c>
      <x:c r="F625" s="90" t="n">
        <x:f>IF(E625=0,"",AVERAGE('21_W1_含水率'!C21,'21_W1_含水率'!E21,'21_W1_含水率'!G21,'21_W1_含水率'!I21))</x:f>
        <x:v>36.875</x:v>
      </x:c>
      <x:c r="G625" s="90" t="n">
        <x:f>IF(E625&lt;2,"",STDEV.S('21_W1_含水率'!C21,'21_W1_含水率'!E21,'21_W1_含水率'!G21,'21_W1_含水率'!I21))</x:f>
        <x:v>4.040936360135689</x:v>
      </x:c>
      <x:c r="H625" s="90" t="n">
        <x:f>IF(E625=0,"",MIN('21_W1_含水率'!C21,'21_W1_含水率'!E21,'21_W1_含水率'!G21,'21_W1_含水率'!I21))</x:f>
        <x:v>32.9</x:v>
      </x:c>
      <x:c r="I625" s="90" t="n">
        <x:f>IF(E625=0,"",MAX('21_W1_含水率'!C21,'21_W1_含水率'!E21,'21_W1_含水率'!G21,'21_W1_含水率'!I21))</x:f>
        <x:v>41.6</x:v>
      </x:c>
      <x:c r="J625" s="32" t="str">
        <x:v>%</x:v>
      </x:c>
    </x:row>
    <x:row r="626">
      <x:c r="A626" s="72" t="n">
        <x:v>46240.86172453704</x:v>
      </x:c>
      <x:c r="B626" s="32" t="str">
        <x:v>土壤含水率</x:v>
      </x:c>
      <x:c r="C626" s="32" t="str">
        <x:v>W1</x:v>
      </x:c>
      <x:c r="D626" s="32" t="str">
        <x:v>V1</x:v>
      </x:c>
      <x:c r="E626" s="86" t="n">
        <x:f>COUNT('21_W1_含水率'!B22,'21_W1_含水率'!D22,'21_W1_含水率'!F22,'21_W1_含水率'!H22)</x:f>
        <x:v>4</x:v>
      </x:c>
      <x:c r="F626" s="90" t="n">
        <x:f>IF(E626=0,"",AVERAGE('21_W1_含水率'!B22,'21_W1_含水率'!D22,'21_W1_含水率'!F22,'21_W1_含水率'!H22))</x:f>
        <x:v>37.875</x:v>
      </x:c>
      <x:c r="G626" s="90" t="n">
        <x:f>IF(E626&lt;2,"",STDEV.S('21_W1_含水率'!B22,'21_W1_含水率'!D22,'21_W1_含水率'!F22,'21_W1_含水率'!H22))</x:f>
        <x:v>2.6949025956423736</x:v>
      </x:c>
      <x:c r="H626" s="90" t="n">
        <x:f>IF(E626=0,"",MIN('21_W1_含水率'!B22,'21_W1_含水率'!D22,'21_W1_含水率'!F22,'21_W1_含水率'!H22))</x:f>
        <x:v>33.9</x:v>
      </x:c>
      <x:c r="I626" s="90" t="n">
        <x:f>IF(E626=0,"",MAX('21_W1_含水率'!B22,'21_W1_含水率'!D22,'21_W1_含水率'!F22,'21_W1_含水率'!H22))</x:f>
        <x:v>39.8</x:v>
      </x:c>
      <x:c r="J626" s="32" t="str">
        <x:v>%</x:v>
      </x:c>
    </x:row>
    <x:row r="627">
      <x:c r="A627" s="72" t="n">
        <x:v>46240.86172453704</x:v>
      </x:c>
      <x:c r="B627" s="32" t="str">
        <x:v>土壤含水率</x:v>
      </x:c>
      <x:c r="C627" s="32" t="str">
        <x:v>W1</x:v>
      </x:c>
      <x:c r="D627" s="32" t="str">
        <x:v>V2</x:v>
      </x:c>
      <x:c r="E627" s="86" t="n">
        <x:f>COUNT('21_W1_含水率'!C22,'21_W1_含水率'!E22,'21_W1_含水率'!G22,'21_W1_含水率'!I22)</x:f>
        <x:v>4</x:v>
      </x:c>
      <x:c r="F627" s="90" t="n">
        <x:f>IF(E627=0,"",AVERAGE('21_W1_含水率'!C22,'21_W1_含水率'!E22,'21_W1_含水率'!G22,'21_W1_含水率'!I22))</x:f>
        <x:v>36.875</x:v>
      </x:c>
      <x:c r="G627" s="90" t="n">
        <x:f>IF(E627&lt;2,"",STDEV.S('21_W1_含水率'!C22,'21_W1_含水率'!E22,'21_W1_含水率'!G22,'21_W1_含水率'!I22))</x:f>
        <x:v>4.072980071970235</x:v>
      </x:c>
      <x:c r="H627" s="90" t="n">
        <x:f>IF(E627=0,"",MIN('21_W1_含水率'!C22,'21_W1_含水率'!E22,'21_W1_含水率'!G22,'21_W1_含水率'!I22))</x:f>
        <x:v>32.5</x:v>
      </x:c>
      <x:c r="I627" s="90" t="n">
        <x:f>IF(E627=0,"",MAX('21_W1_含水率'!C22,'21_W1_含水率'!E22,'21_W1_含水率'!G22,'21_W1_含水率'!I22))</x:f>
        <x:v>41.3</x:v>
      </x:c>
      <x:c r="J627" s="32" t="str">
        <x:v>%</x:v>
      </x:c>
    </x:row>
    <x:row r="628">
      <x:c r="A628" s="72" t="n">
        <x:v>46240.86519675926</x:v>
      </x:c>
      <x:c r="B628" s="32" t="str">
        <x:v>土壤含水率</x:v>
      </x:c>
      <x:c r="C628" s="32" t="str">
        <x:v>W1</x:v>
      </x:c>
      <x:c r="D628" s="32" t="str">
        <x:v>V1</x:v>
      </x:c>
      <x:c r="E628" s="86" t="n">
        <x:f>COUNT('21_W1_含水率'!B23,'21_W1_含水率'!D23,'21_W1_含水率'!F23,'21_W1_含水率'!H23)</x:f>
        <x:v>4</x:v>
      </x:c>
      <x:c r="F628" s="90" t="n">
        <x:f>IF(E628=0,"",AVERAGE('21_W1_含水率'!B23,'21_W1_含水率'!D23,'21_W1_含水率'!F23,'21_W1_含水率'!H23))</x:f>
        <x:v>37.925</x:v>
      </x:c>
      <x:c r="G628" s="90" t="n">
        <x:f>IF(E628&lt;2,"",STDEV.S('21_W1_含水率'!B23,'21_W1_含水率'!D23,'21_W1_含水率'!F23,'21_W1_含水率'!H23))</x:f>
        <x:v>2.362731470142132</x:v>
      </x:c>
      <x:c r="H628" s="90" t="n">
        <x:f>IF(E628=0,"",MIN('21_W1_含水率'!B23,'21_W1_含水率'!D23,'21_W1_含水率'!F23,'21_W1_含水率'!H23))</x:f>
        <x:v>34.4</x:v>
      </x:c>
      <x:c r="I628" s="90" t="n">
        <x:f>IF(E628=0,"",MAX('21_W1_含水率'!B23,'21_W1_含水率'!D23,'21_W1_含水率'!F23,'21_W1_含水率'!H23))</x:f>
        <x:v>39.4</x:v>
      </x:c>
      <x:c r="J628" s="32" t="str">
        <x:v>%</x:v>
      </x:c>
    </x:row>
    <x:row r="629">
      <x:c r="A629" s="72" t="n">
        <x:v>46240.86519675926</x:v>
      </x:c>
      <x:c r="B629" s="32" t="str">
        <x:v>土壤含水率</x:v>
      </x:c>
      <x:c r="C629" s="32" t="str">
        <x:v>W1</x:v>
      </x:c>
      <x:c r="D629" s="32" t="str">
        <x:v>V2</x:v>
      </x:c>
      <x:c r="E629" s="86" t="n">
        <x:f>COUNT('21_W1_含水率'!C23,'21_W1_含水率'!E23,'21_W1_含水率'!G23,'21_W1_含水率'!I23)</x:f>
        <x:v>4</x:v>
      </x:c>
      <x:c r="F629" s="90" t="n">
        <x:f>IF(E629=0,"",AVERAGE('21_W1_含水率'!C23,'21_W1_含水率'!E23,'21_W1_含水率'!G23,'21_W1_含水率'!I23))</x:f>
        <x:v>36.875</x:v>
      </x:c>
      <x:c r="G629" s="90" t="n">
        <x:f>IF(E629&lt;2,"",STDEV.S('21_W1_含水率'!C23,'21_W1_含水率'!E23,'21_W1_含水率'!G23,'21_W1_含水率'!I23))</x:f>
        <x:v>4.024404717884786</x:v>
      </x:c>
      <x:c r="H629" s="90" t="n">
        <x:f>IF(E629=0,"",MIN('21_W1_含水率'!C23,'21_W1_含水率'!E23,'21_W1_含水率'!G23,'21_W1_含水率'!I23))</x:f>
        <x:v>32.2</x:v>
      </x:c>
      <x:c r="I629" s="90" t="n">
        <x:f>IF(E629=0,"",MAX('21_W1_含水率'!C23,'21_W1_含水率'!E23,'21_W1_含水率'!G23,'21_W1_含水率'!I23))</x:f>
        <x:v>40.8</x:v>
      </x:c>
      <x:c r="J629" s="32" t="str">
        <x:v>%</x:v>
      </x:c>
    </x:row>
    <x:row r="630">
      <x:c r="A630" s="72" t="n">
        <x:v>46240.86866898148</x:v>
      </x:c>
      <x:c r="B630" s="32" t="str">
        <x:v>土壤含水率</x:v>
      </x:c>
      <x:c r="C630" s="32" t="str">
        <x:v>W1</x:v>
      </x:c>
      <x:c r="D630" s="32" t="str">
        <x:v>V1</x:v>
      </x:c>
      <x:c r="E630" s="86" t="n">
        <x:f>COUNT('21_W1_含水率'!B24,'21_W1_含水率'!D24,'21_W1_含水率'!F24,'21_W1_含水率'!H24)</x:f>
        <x:v>4</x:v>
      </x:c>
      <x:c r="F630" s="90" t="n">
        <x:f>IF(E630=0,"",AVERAGE('21_W1_含水率'!B24,'21_W1_含水率'!D24,'21_W1_含水率'!F24,'21_W1_含水率'!H24))</x:f>
        <x:v>37.925</x:v>
      </x:c>
      <x:c r="G630" s="90" t="n">
        <x:f>IF(E630&lt;2,"",STDEV.S('21_W1_含水率'!B24,'21_W1_含水率'!D24,'21_W1_含水率'!F24,'21_W1_含水率'!H24))</x:f>
        <x:v>2.083866598417472</x:v>
      </x:c>
      <x:c r="H630" s="90" t="n">
        <x:f>IF(E630=0,"",MIN('21_W1_含水率'!B24,'21_W1_含水率'!D24,'21_W1_含水率'!F24,'21_W1_含水率'!H24))</x:f>
        <x:v>34.8</x:v>
      </x:c>
      <x:c r="I630" s="90" t="n">
        <x:f>IF(E630=0,"",MAX('21_W1_含水率'!B24,'21_W1_含水率'!D24,'21_W1_含水率'!F24,'21_W1_含水率'!H24))</x:f>
        <x:v>39</x:v>
      </x:c>
      <x:c r="J630" s="32" t="str">
        <x:v>%</x:v>
      </x:c>
    </x:row>
    <x:row r="631">
      <x:c r="A631" s="72" t="n">
        <x:v>46240.86866898148</x:v>
      </x:c>
      <x:c r="B631" s="32" t="str">
        <x:v>土壤含水率</x:v>
      </x:c>
      <x:c r="C631" s="32" t="str">
        <x:v>W1</x:v>
      </x:c>
      <x:c r="D631" s="32" t="str">
        <x:v>V2</x:v>
      </x:c>
      <x:c r="E631" s="86" t="n">
        <x:f>COUNT('21_W1_含水率'!C24,'21_W1_含水率'!E24,'21_W1_含水率'!G24,'21_W1_含水率'!I24)</x:f>
        <x:v>4</x:v>
      </x:c>
      <x:c r="F631" s="90" t="n">
        <x:f>IF(E631=0,"",AVERAGE('21_W1_含水率'!C24,'21_W1_含水率'!E24,'21_W1_含水率'!G24,'21_W1_含水率'!I24))</x:f>
        <x:v>36.925</x:v>
      </x:c>
      <x:c r="G631" s="90" t="n">
        <x:f>IF(E631&lt;2,"",STDEV.S('21_W1_含水率'!C24,'21_W1_含水率'!E24,'21_W1_含水率'!G24,'21_W1_含水率'!I24))</x:f>
        <x:v>3.9135448551579577</x:v>
      </x:c>
      <x:c r="H631" s="90" t="n">
        <x:f>IF(E631=0,"",MIN('21_W1_含水率'!C24,'21_W1_含水率'!E24,'21_W1_含水率'!G24,'21_W1_含水率'!I24))</x:f>
        <x:v>32.1</x:v>
      </x:c>
      <x:c r="I631" s="90" t="n">
        <x:f>IF(E631=0,"",MAX('21_W1_含水率'!C24,'21_W1_含水率'!E24,'21_W1_含水率'!G24,'21_W1_含水率'!I24))</x:f>
        <x:v>40.4</x:v>
      </x:c>
      <x:c r="J631" s="32" t="str">
        <x:v>%</x:v>
      </x:c>
    </x:row>
    <x:row r="632">
      <x:c r="A632" s="72" t="n">
        <x:v>46240.872141203705</x:v>
      </x:c>
      <x:c r="B632" s="32" t="str">
        <x:v>土壤含水率</x:v>
      </x:c>
      <x:c r="C632" s="32" t="str">
        <x:v>W1</x:v>
      </x:c>
      <x:c r="D632" s="32" t="str">
        <x:v>V1</x:v>
      </x:c>
      <x:c r="E632" s="86" t="n">
        <x:f>COUNT('21_W1_含水率'!B25,'21_W1_含水率'!D25,'21_W1_含水率'!F25,'21_W1_含水率'!H25)</x:f>
        <x:v>4</x:v>
      </x:c>
      <x:c r="F632" s="90" t="n">
        <x:f>IF(E632=0,"",AVERAGE('21_W1_含水率'!B25,'21_W1_含水率'!D25,'21_W1_含水率'!F25,'21_W1_含水率'!H25))</x:f>
        <x:v>37.95</x:v>
      </x:c>
      <x:c r="G632" s="90" t="n">
        <x:f>IF(E632&lt;2,"",STDEV.S('21_W1_含水率'!B25,'21_W1_含水率'!D25,'21_W1_含水率'!F25,'21_W1_含水率'!H25))</x:f>
        <x:v>1.7935068069752824</x:v>
      </x:c>
      <x:c r="H632" s="90" t="n">
        <x:f>IF(E632=0,"",MIN('21_W1_含水率'!B25,'21_W1_含水率'!D25,'21_W1_含水率'!F25,'21_W1_含水率'!H25))</x:f>
        <x:v>35.3</x:v>
      </x:c>
      <x:c r="I632" s="90" t="n">
        <x:f>IF(E632=0,"",MAX('21_W1_含水率'!B25,'21_W1_含水率'!D25,'21_W1_含水率'!F25,'21_W1_含水率'!H25))</x:f>
        <x:v>39.1</x:v>
      </x:c>
      <x:c r="J632" s="32" t="str">
        <x:v>%</x:v>
      </x:c>
    </x:row>
    <x:row r="633">
      <x:c r="A633" s="72" t="n">
        <x:v>46240.872141203705</x:v>
      </x:c>
      <x:c r="B633" s="32" t="str">
        <x:v>土壤含水率</x:v>
      </x:c>
      <x:c r="C633" s="32" t="str">
        <x:v>W1</x:v>
      </x:c>
      <x:c r="D633" s="32" t="str">
        <x:v>V2</x:v>
      </x:c>
      <x:c r="E633" s="86" t="n">
        <x:f>COUNT('21_W1_含水率'!C25,'21_W1_含水率'!E25,'21_W1_含水率'!G25,'21_W1_含水率'!I25)</x:f>
        <x:v>4</x:v>
      </x:c>
      <x:c r="F633" s="90" t="n">
        <x:f>IF(E633=0,"",AVERAGE('21_W1_含水率'!C25,'21_W1_含水率'!E25,'21_W1_含水率'!G25,'21_W1_含水率'!I25))</x:f>
        <x:v>36.925</x:v>
      </x:c>
      <x:c r="G633" s="90" t="n">
        <x:f>IF(E633&lt;2,"",STDEV.S('21_W1_含水率'!C25,'21_W1_含水率'!E25,'21_W1_含水率'!G25,'21_W1_含水率'!I25))</x:f>
        <x:v>3.822193959843831</x:v>
      </x:c>
      <x:c r="H633" s="90" t="n">
        <x:f>IF(E633=0,"",MIN('21_W1_含水率'!C25,'21_W1_含水率'!E25,'21_W1_含水率'!G25,'21_W1_含水率'!I25))</x:f>
        <x:v>32</x:v>
      </x:c>
      <x:c r="I633" s="90" t="n">
        <x:f>IF(E633=0,"",MAX('21_W1_含水率'!C25,'21_W1_含水率'!E25,'21_W1_含水率'!G25,'21_W1_含水率'!I25))</x:f>
        <x:v>40</x:v>
      </x:c>
      <x:c r="J633" s="32" t="str">
        <x:v>%</x:v>
      </x:c>
    </x:row>
    <x:row r="634">
      <x:c r="A634" s="72" t="n">
        <x:v>46240.875613425924</x:v>
      </x:c>
      <x:c r="B634" s="32" t="str">
        <x:v>土壤含水率</x:v>
      </x:c>
      <x:c r="C634" s="32" t="str">
        <x:v>W1</x:v>
      </x:c>
      <x:c r="D634" s="32" t="str">
        <x:v>V1</x:v>
      </x:c>
      <x:c r="E634" s="86" t="n">
        <x:f>COUNT('21_W1_含水率'!B26,'21_W1_含水率'!D26,'21_W1_含水率'!F26,'21_W1_含水率'!H26)</x:f>
        <x:v>4</x:v>
      </x:c>
      <x:c r="F634" s="90" t="n">
        <x:f>IF(E634=0,"",AVERAGE('21_W1_含水率'!B26,'21_W1_含水率'!D26,'21_W1_含水率'!F26,'21_W1_含水率'!H26))</x:f>
        <x:v>37.949999999999996</x:v>
      </x:c>
      <x:c r="G634" s="90" t="n">
        <x:f>IF(E634&lt;2,"",STDEV.S('21_W1_含水率'!B26,'21_W1_含水率'!D26,'21_W1_含水率'!F26,'21_W1_含水率'!H26))</x:f>
        <x:v>1.537313674346696</x:v>
      </x:c>
      <x:c r="H634" s="90" t="n">
        <x:f>IF(E634=0,"",MIN('21_W1_含水率'!B26,'21_W1_含水率'!D26,'21_W1_含水率'!F26,'21_W1_含水率'!H26))</x:f>
        <x:v>35.8</x:v>
      </x:c>
      <x:c r="I634" s="90" t="n">
        <x:f>IF(E634=0,"",MAX('21_W1_含水率'!B26,'21_W1_含水率'!D26,'21_W1_含水率'!F26,'21_W1_含水率'!H26))</x:f>
        <x:v>39.2</x:v>
      </x:c>
      <x:c r="J634" s="32" t="str">
        <x:v>%</x:v>
      </x:c>
    </x:row>
    <x:row r="635">
      <x:c r="A635" s="72" t="n">
        <x:v>46240.875613425924</x:v>
      </x:c>
      <x:c r="B635" s="32" t="str">
        <x:v>土壤含水率</x:v>
      </x:c>
      <x:c r="C635" s="32" t="str">
        <x:v>W1</x:v>
      </x:c>
      <x:c r="D635" s="32" t="str">
        <x:v>V2</x:v>
      </x:c>
      <x:c r="E635" s="86" t="n">
        <x:f>COUNT('21_W1_含水率'!C26,'21_W1_含水率'!E26,'21_W1_含水率'!G26,'21_W1_含水率'!I26)</x:f>
        <x:v>4</x:v>
      </x:c>
      <x:c r="F635" s="90" t="n">
        <x:f>IF(E635=0,"",AVERAGE('21_W1_含水率'!C26,'21_W1_含水率'!E26,'21_W1_含水率'!G26,'21_W1_含水率'!I26))</x:f>
        <x:v>36.95</x:v>
      </x:c>
      <x:c r="G635" s="90" t="n">
        <x:f>IF(E635&lt;2,"",STDEV.S('21_W1_含水率'!C26,'21_W1_含水率'!E26,'21_W1_含水率'!G26,'21_W1_含水率'!I26))</x:f>
        <x:v>3.6170890690351167</x:v>
      </x:c>
      <x:c r="H635" s="90" t="n">
        <x:f>IF(E635=0,"",MIN('21_W1_含水率'!C26,'21_W1_含水率'!E26,'21_W1_含水率'!G26,'21_W1_含水率'!I26))</x:f>
        <x:v>32.1</x:v>
      </x:c>
      <x:c r="I635" s="90" t="n">
        <x:f>IF(E635=0,"",MAX('21_W1_含水率'!C26,'21_W1_含水率'!E26,'21_W1_含水率'!G26,'21_W1_含水率'!I26))</x:f>
        <x:v>40</x:v>
      </x:c>
      <x:c r="J635" s="32" t="str">
        <x:v>%</x:v>
      </x:c>
    </x:row>
    <x:row r="636">
      <x:c r="A636" s="72" t="n">
        <x:v>46240.87908564815</x:v>
      </x:c>
      <x:c r="B636" s="32" t="str">
        <x:v>土壤含水率</x:v>
      </x:c>
      <x:c r="C636" s="32" t="str">
        <x:v>W1</x:v>
      </x:c>
      <x:c r="D636" s="32" t="str">
        <x:v>V1</x:v>
      </x:c>
      <x:c r="E636" s="86" t="n">
        <x:f>COUNT('21_W1_含水率'!B27,'21_W1_含水率'!D27,'21_W1_含水率'!F27,'21_W1_含水率'!H27)</x:f>
        <x:v>4</x:v>
      </x:c>
      <x:c r="F636" s="90" t="n">
        <x:f>IF(E636=0,"",AVERAGE('21_W1_含水率'!B27,'21_W1_含水率'!D27,'21_W1_含水率'!F27,'21_W1_含水率'!H27))</x:f>
        <x:v>37.95</x:v>
      </x:c>
      <x:c r="G636" s="90" t="n">
        <x:f>IF(E636&lt;2,"",STDEV.S('21_W1_含水率'!B27,'21_W1_含水率'!D27,'21_W1_含水率'!F27,'21_W1_含水率'!H27))</x:f>
        <x:v>1.4247806848774998</x:v>
      </x:c>
      <x:c r="H636" s="90" t="n">
        <x:f>IF(E636=0,"",MIN('21_W1_含水率'!B27,'21_W1_含水率'!D27,'21_W1_含水率'!F27,'21_W1_含水率'!H27))</x:f>
        <x:v>36.2</x:v>
      </x:c>
      <x:c r="I636" s="90" t="n">
        <x:f>IF(E636=0,"",MAX('21_W1_含水率'!B27,'21_W1_含水率'!D27,'21_W1_含水率'!F27,'21_W1_含水率'!H27))</x:f>
        <x:v>39.5</x:v>
      </x:c>
      <x:c r="J636" s="32" t="str">
        <x:v>%</x:v>
      </x:c>
    </x:row>
    <x:row r="637">
      <x:c r="A637" s="72" t="n">
        <x:v>46240.87908564815</x:v>
      </x:c>
      <x:c r="B637" s="32" t="str">
        <x:v>土壤含水率</x:v>
      </x:c>
      <x:c r="C637" s="32" t="str">
        <x:v>W1</x:v>
      </x:c>
      <x:c r="D637" s="32" t="str">
        <x:v>V2</x:v>
      </x:c>
      <x:c r="E637" s="86" t="n">
        <x:f>COUNT('21_W1_含水率'!C27,'21_W1_含水率'!E27,'21_W1_含水率'!G27,'21_W1_含水率'!I27)</x:f>
        <x:v>4</x:v>
      </x:c>
      <x:c r="F637" s="90" t="n">
        <x:f>IF(E637=0,"",AVERAGE('21_W1_含水率'!C27,'21_W1_含水率'!E27,'21_W1_含水率'!G27,'21_W1_含水率'!I27))</x:f>
        <x:v>36.949999999999996</x:v>
      </x:c>
      <x:c r="G637" s="90" t="n">
        <x:f>IF(E637&lt;2,"",STDEV.S('21_W1_含水率'!C27,'21_W1_含水率'!E27,'21_W1_含水率'!G27,'21_W1_含水率'!I27))</x:f>
        <x:v>3.4200389861325635</x:v>
      </x:c>
      <x:c r="H637" s="90" t="n">
        <x:f>IF(E637=0,"",MIN('21_W1_含水率'!C27,'21_W1_含水率'!E27,'21_W1_含水率'!G27,'21_W1_含水率'!I27))</x:f>
        <x:v>32.2</x:v>
      </x:c>
      <x:c r="I637" s="90" t="n">
        <x:f>IF(E637=0,"",MAX('21_W1_含水率'!C27,'21_W1_含水率'!E27,'21_W1_含水率'!G27,'21_W1_含水率'!I27))</x:f>
        <x:v>39.9</x:v>
      </x:c>
      <x:c r="J637" s="32" t="str">
        <x:v>%</x:v>
      </x:c>
    </x:row>
    <x:row r="638">
      <x:c r="A638" s="72" t="n">
        <x:v>46240.88255787037</x:v>
      </x:c>
      <x:c r="B638" s="32" t="str">
        <x:v>土壤含水率</x:v>
      </x:c>
      <x:c r="C638" s="32" t="str">
        <x:v>W1</x:v>
      </x:c>
      <x:c r="D638" s="32" t="str">
        <x:v>V1</x:v>
      </x:c>
      <x:c r="E638" s="86" t="n">
        <x:f>COUNT('21_W1_含水率'!B28,'21_W1_含水率'!D28,'21_W1_含水率'!F28,'21_W1_含水率'!H28)</x:f>
        <x:v>4</x:v>
      </x:c>
      <x:c r="F638" s="90" t="n">
        <x:f>IF(E638=0,"",AVERAGE('21_W1_含水率'!B28,'21_W1_含水率'!D28,'21_W1_含水率'!F28,'21_W1_含水率'!H28))</x:f>
        <x:v>38</x:v>
      </x:c>
      <x:c r="G638" s="90" t="n">
        <x:f>IF(E638&lt;2,"",STDEV.S('21_W1_含水率'!B28,'21_W1_含水率'!D28,'21_W1_含水率'!F28,'21_W1_含水率'!H28))</x:f>
        <x:v>1.449137674618942</x:v>
      </x:c>
      <x:c r="H638" s="90" t="n">
        <x:f>IF(E638=0,"",MIN('21_W1_含水率'!B28,'21_W1_含水率'!D28,'21_W1_含水率'!F28,'21_W1_含水率'!H28))</x:f>
        <x:v>36.6</x:v>
      </x:c>
      <x:c r="I638" s="90" t="n">
        <x:f>IF(E638=0,"",MAX('21_W1_含水率'!B28,'21_W1_含水率'!D28,'21_W1_含水率'!F28,'21_W1_含水率'!H28))</x:f>
        <x:v>39.9</x:v>
      </x:c>
      <x:c r="J638" s="32" t="str">
        <x:v>%</x:v>
      </x:c>
    </x:row>
    <x:row r="639">
      <x:c r="A639" s="72" t="n">
        <x:v>46240.88255787037</x:v>
      </x:c>
      <x:c r="B639" s="32" t="str">
        <x:v>土壤含水率</x:v>
      </x:c>
      <x:c r="C639" s="32" t="str">
        <x:v>W1</x:v>
      </x:c>
      <x:c r="D639" s="32" t="str">
        <x:v>V2</x:v>
      </x:c>
      <x:c r="E639" s="86" t="n">
        <x:f>COUNT('21_W1_含水率'!C28,'21_W1_含水率'!E28,'21_W1_含水率'!G28,'21_W1_含水率'!I28)</x:f>
        <x:v>4</x:v>
      </x:c>
      <x:c r="F639" s="90" t="n">
        <x:f>IF(E639=0,"",AVERAGE('21_W1_含水率'!C28,'21_W1_含水率'!E28,'21_W1_含水率'!G28,'21_W1_含水率'!I28))</x:f>
        <x:v>36.95</x:v>
      </x:c>
      <x:c r="G639" s="90" t="n">
        <x:f>IF(E639&lt;2,"",STDEV.S('21_W1_含水率'!C28,'21_W1_含水率'!E28,'21_W1_含水率'!G28,'21_W1_含水率'!I28))</x:f>
        <x:v>3.1246333118196983</x:v>
      </x:c>
      <x:c r="H639" s="90" t="n">
        <x:f>IF(E639=0,"",MIN('21_W1_含水率'!C28,'21_W1_含水率'!E28,'21_W1_含水率'!G28,'21_W1_含水率'!I28))</x:f>
        <x:v>32.5</x:v>
      </x:c>
      <x:c r="I639" s="90" t="n">
        <x:f>IF(E639=0,"",MAX('21_W1_含水率'!C28,'21_W1_含水率'!E28,'21_W1_含水率'!G28,'21_W1_含水率'!I28))</x:f>
        <x:v>39.6</x:v>
      </x:c>
      <x:c r="J639" s="32" t="str">
        <x:v>%</x:v>
      </x:c>
    </x:row>
    <x:row r="640">
      <x:c r="A640" s="72" t="n">
        <x:v>46240.886030092595</x:v>
      </x:c>
      <x:c r="B640" s="32" t="str">
        <x:v>土壤含水率</x:v>
      </x:c>
      <x:c r="C640" s="32" t="str">
        <x:v>W1</x:v>
      </x:c>
      <x:c r="D640" s="32" t="str">
        <x:v>V1</x:v>
      </x:c>
      <x:c r="E640" s="86" t="n">
        <x:f>COUNT('21_W1_含水率'!B29,'21_W1_含水率'!D29,'21_W1_含水率'!F29,'21_W1_含水率'!H29)</x:f>
        <x:v>4</x:v>
      </x:c>
      <x:c r="F640" s="90" t="n">
        <x:f>IF(E640=0,"",AVERAGE('21_W1_含水率'!B29,'21_W1_含水率'!D29,'21_W1_含水率'!F29,'21_W1_含水率'!H29))</x:f>
        <x:v>38.05</x:v>
      </x:c>
      <x:c r="G640" s="90" t="n">
        <x:f>IF(E640&lt;2,"",STDEV.S('21_W1_含水率'!B29,'21_W1_含水率'!D29,'21_W1_含水率'!F29,'21_W1_含水率'!H29))</x:f>
        <x:v>1.6340134638368191</x:v>
      </x:c>
      <x:c r="H640" s="90" t="n">
        <x:f>IF(E640=0,"",MIN('21_W1_含水率'!B29,'21_W1_含水率'!D29,'21_W1_含水率'!F29,'21_W1_含水率'!H29))</x:f>
        <x:v>36.8</x:v>
      </x:c>
      <x:c r="I640" s="90" t="n">
        <x:f>IF(E640=0,"",MAX('21_W1_含水率'!B29,'21_W1_含水率'!D29,'21_W1_含水率'!F29,'21_W1_含水率'!H29))</x:f>
        <x:v>40.4</x:v>
      </x:c>
      <x:c r="J640" s="32" t="str">
        <x:v>%</x:v>
      </x:c>
    </x:row>
    <x:row r="641">
      <x:c r="A641" s="72" t="n">
        <x:v>46240.886030092595</x:v>
      </x:c>
      <x:c r="B641" s="32" t="str">
        <x:v>土壤含水率</x:v>
      </x:c>
      <x:c r="C641" s="32" t="str">
        <x:v>W1</x:v>
      </x:c>
      <x:c r="D641" s="32" t="str">
        <x:v>V2</x:v>
      </x:c>
      <x:c r="E641" s="86" t="n">
        <x:f>COUNT('21_W1_含水率'!C29,'21_W1_含水率'!E29,'21_W1_含水率'!G29,'21_W1_含水率'!I29)</x:f>
        <x:v>4</x:v>
      </x:c>
      <x:c r="F641" s="90" t="n">
        <x:f>IF(E641=0,"",AVERAGE('21_W1_含水率'!C29,'21_W1_含水率'!E29,'21_W1_含水率'!G29,'21_W1_含水率'!I29))</x:f>
        <x:v>37</x:v>
      </x:c>
      <x:c r="G641" s="90" t="n">
        <x:f>IF(E641&lt;2,"",STDEV.S('21_W1_含水率'!C29,'21_W1_含水率'!E29,'21_W1_含水率'!G29,'21_W1_含水率'!I29))</x:f>
        <x:v>2.82252841733554</x:v>
      </x:c>
      <x:c r="H641" s="90" t="n">
        <x:f>IF(E641=0,"",MIN('21_W1_含水率'!C29,'21_W1_含水率'!E29,'21_W1_含水率'!G29,'21_W1_含水率'!I29))</x:f>
        <x:v>32.9</x:v>
      </x:c>
      <x:c r="I641" s="90" t="n">
        <x:f>IF(E641=0,"",MAX('21_W1_含水率'!C29,'21_W1_含水率'!E29,'21_W1_含水率'!G29,'21_W1_含水率'!I29))</x:f>
        <x:v>39.3</x:v>
      </x:c>
      <x:c r="J641" s="32" t="str">
        <x:v>%</x:v>
      </x:c>
    </x:row>
    <x:row r="642">
      <x:c r="A642" s="72" t="n">
        <x:v>46240.889502314814</x:v>
      </x:c>
      <x:c r="B642" s="32" t="str">
        <x:v>土壤含水率</x:v>
      </x:c>
      <x:c r="C642" s="32" t="str">
        <x:v>W1</x:v>
      </x:c>
      <x:c r="D642" s="32" t="str">
        <x:v>V1</x:v>
      </x:c>
      <x:c r="E642" s="86" t="n">
        <x:f>COUNT('21_W1_含水率'!B30,'21_W1_含水率'!D30,'21_W1_含水率'!F30,'21_W1_含水率'!H30)</x:f>
        <x:v>4</x:v>
      </x:c>
      <x:c r="F642" s="90" t="n">
        <x:f>IF(E642=0,"",AVERAGE('21_W1_含水率'!B30,'21_W1_含水率'!D30,'21_W1_含水率'!F30,'21_W1_含水率'!H30))</x:f>
        <x:v>38.05</x:v>
      </x:c>
      <x:c r="G642" s="90" t="n">
        <x:f>IF(E642&lt;2,"",STDEV.S('21_W1_含水率'!B30,'21_W1_含水率'!D30,'21_W1_含水率'!F30,'21_W1_含水率'!H30))</x:f>
        <x:v>1.8430047929038766</x:v>
      </x:c>
      <x:c r="H642" s="90" t="n">
        <x:f>IF(E642=0,"",MIN('21_W1_含水率'!B30,'21_W1_含水率'!D30,'21_W1_含水率'!F30,'21_W1_含水率'!H30))</x:f>
        <x:v>37</x:v>
      </x:c>
      <x:c r="I642" s="90" t="n">
        <x:f>IF(E642=0,"",MAX('21_W1_含水率'!B30,'21_W1_含水率'!D30,'21_W1_含水率'!F30,'21_W1_含水率'!H30))</x:f>
        <x:v>40.8</x:v>
      </x:c>
      <x:c r="J642" s="32" t="str">
        <x:v>%</x:v>
      </x:c>
    </x:row>
    <x:row r="643">
      <x:c r="A643" s="72" t="n">
        <x:v>46240.889502314814</x:v>
      </x:c>
      <x:c r="B643" s="32" t="str">
        <x:v>土壤含水率</x:v>
      </x:c>
      <x:c r="C643" s="32" t="str">
        <x:v>W1</x:v>
      </x:c>
      <x:c r="D643" s="32" t="str">
        <x:v>V2</x:v>
      </x:c>
      <x:c r="E643" s="86" t="n">
        <x:f>COUNT('21_W1_含水率'!C30,'21_W1_含水率'!E30,'21_W1_含水率'!G30,'21_W1_含水率'!I30)</x:f>
        <x:v>4</x:v>
      </x:c>
      <x:c r="F643" s="90" t="n">
        <x:f>IF(E643=0,"",AVERAGE('21_W1_含水率'!C30,'21_W1_含水率'!E30,'21_W1_含水率'!G30,'21_W1_含水率'!I30))</x:f>
        <x:v>37.05</x:v>
      </x:c>
      <x:c r="G643" s="90" t="n">
        <x:f>IF(E643&lt;2,"",STDEV.S('21_W1_含水率'!C30,'21_W1_含水率'!E30,'21_W1_含水率'!G30,'21_W1_含水率'!I30))</x:f>
        <x:v>2.477229635432829</x:v>
      </x:c>
      <x:c r="H643" s="90" t="n">
        <x:f>IF(E643=0,"",MIN('21_W1_含水率'!C30,'21_W1_含水率'!E30,'21_W1_含水率'!G30,'21_W1_含水率'!I30))</x:f>
        <x:v>33.4</x:v>
      </x:c>
      <x:c r="I643" s="90" t="n">
        <x:f>IF(E643=0,"",MAX('21_W1_含水率'!C30,'21_W1_含水率'!E30,'21_W1_含水率'!G30,'21_W1_含水率'!I30))</x:f>
        <x:v>38.9</x:v>
      </x:c>
      <x:c r="J643" s="32" t="str">
        <x:v>%</x:v>
      </x:c>
    </x:row>
    <x:row r="644">
      <x:c r="A644" s="72" t="n">
        <x:v>46240.89297453704</x:v>
      </x:c>
      <x:c r="B644" s="32" t="str">
        <x:v>土壤含水率</x:v>
      </x:c>
      <x:c r="C644" s="32" t="str">
        <x:v>W1</x:v>
      </x:c>
      <x:c r="D644" s="32" t="str">
        <x:v>V1</x:v>
      </x:c>
      <x:c r="E644" s="86" t="n">
        <x:f>COUNT('21_W1_含水率'!B31,'21_W1_含水率'!D31,'21_W1_含水率'!F31,'21_W1_含水率'!H31)</x:f>
        <x:v>4</x:v>
      </x:c>
      <x:c r="F644" s="90" t="n">
        <x:f>IF(E644=0,"",AVERAGE('21_W1_含水率'!B31,'21_W1_含水率'!D31,'21_W1_含水率'!F31,'21_W1_含水率'!H31))</x:f>
        <x:v>38.075</x:v>
      </x:c>
      <x:c r="G644" s="90" t="n">
        <x:f>IF(E644&lt;2,"",STDEV.S('21_W1_含水率'!B31,'21_W1_含水率'!D31,'21_W1_含水率'!F31,'21_W1_含水率'!H31))</x:f>
        <x:v>2.1515498289992405</x:v>
      </x:c>
      <x:c r="H644" s="90" t="n">
        <x:f>IF(E644=0,"",MIN('21_W1_含水率'!B31,'21_W1_含水率'!D31,'21_W1_含水率'!F31,'21_W1_含水率'!H31))</x:f>
        <x:v>36.9</x:v>
      </x:c>
      <x:c r="I644" s="90" t="n">
        <x:f>IF(E644=0,"",MAX('21_W1_含水率'!B31,'21_W1_含水率'!D31,'21_W1_含水率'!F31,'21_W1_含水率'!H31))</x:f>
        <x:v>41.3</x:v>
      </x:c>
      <x:c r="J644" s="32" t="str">
        <x:v>%</x:v>
      </x:c>
    </x:row>
    <x:row r="645">
      <x:c r="A645" s="72" t="n">
        <x:v>46240.89297453704</x:v>
      </x:c>
      <x:c r="B645" s="32" t="str">
        <x:v>土壤含水率</x:v>
      </x:c>
      <x:c r="C645" s="32" t="str">
        <x:v>W1</x:v>
      </x:c>
      <x:c r="D645" s="32" t="str">
        <x:v>V2</x:v>
      </x:c>
      <x:c r="E645" s="86" t="n">
        <x:f>COUNT('21_W1_含水率'!C31,'21_W1_含水率'!E31,'21_W1_含水率'!G31,'21_W1_含水率'!I31)</x:f>
        <x:v>4</x:v>
      </x:c>
      <x:c r="F645" s="90" t="n">
        <x:f>IF(E645=0,"",AVERAGE('21_W1_含水率'!C31,'21_W1_含水率'!E31,'21_W1_含水率'!G31,'21_W1_含水率'!I31))</x:f>
        <x:v>37.05</x:v>
      </x:c>
      <x:c r="G645" s="90" t="n">
        <x:f>IF(E645&lt;2,"",STDEV.S('21_W1_含水率'!C31,'21_W1_含水率'!E31,'21_W1_含水率'!G31,'21_W1_含水率'!I31))</x:f>
        <x:v>2.174856317093156</x:v>
      </x:c>
      <x:c r="H645" s="90" t="n">
        <x:f>IF(E645=0,"",MIN('21_W1_含水率'!C31,'21_W1_含水率'!E31,'21_W1_含水率'!G31,'21_W1_含水率'!I31))</x:f>
        <x:v>33.8</x:v>
      </x:c>
      <x:c r="I645" s="90" t="n">
        <x:f>IF(E645=0,"",MAX('21_W1_含水率'!C31,'21_W1_含水率'!E31,'21_W1_含水率'!G31,'21_W1_含水率'!I31))</x:f>
        <x:v>38.4</x:v>
      </x:c>
      <x:c r="J645" s="32" t="str">
        <x:v>%</x:v>
      </x:c>
    </x:row>
    <x:row r="646">
      <x:c r="A646" s="72" t="n">
        <x:v>46240.89644675926</x:v>
      </x:c>
      <x:c r="B646" s="32" t="str">
        <x:v>土壤含水率</x:v>
      </x:c>
      <x:c r="C646" s="32" t="str">
        <x:v>W1</x:v>
      </x:c>
      <x:c r="D646" s="32" t="str">
        <x:v>V1</x:v>
      </x:c>
      <x:c r="E646" s="86" t="n">
        <x:f>COUNT('21_W1_含水率'!B32,'21_W1_含水率'!D32,'21_W1_含水率'!F32,'21_W1_含水率'!H32)</x:f>
        <x:v>4</x:v>
      </x:c>
      <x:c r="F646" s="90" t="n">
        <x:f>IF(E646=0,"",AVERAGE('21_W1_含水率'!B32,'21_W1_含水率'!D32,'21_W1_含水率'!F32,'21_W1_含水率'!H32))</x:f>
        <x:v>38.075</x:v>
      </x:c>
      <x:c r="G646" s="90" t="n">
        <x:f>IF(E646&lt;2,"",STDEV.S('21_W1_含水率'!B32,'21_W1_含水率'!D32,'21_W1_含水率'!F32,'21_W1_含水率'!H32))</x:f>
        <x:v>2.5051613387830587</x:v>
      </x:c>
      <x:c r="H646" s="90" t="n">
        <x:f>IF(E646=0,"",MIN('21_W1_含水率'!B32,'21_W1_含水率'!D32,'21_W1_含水率'!F32,'21_W1_含水率'!H32))</x:f>
        <x:v>36.4</x:v>
      </x:c>
      <x:c r="I646" s="90" t="n">
        <x:f>IF(E646=0,"",MAX('21_W1_含水率'!B32,'21_W1_含水率'!D32,'21_W1_含水率'!F32,'21_W1_含水率'!H32))</x:f>
        <x:v>41.8</x:v>
      </x:c>
      <x:c r="J646" s="32" t="str">
        <x:v>%</x:v>
      </x:c>
    </x:row>
    <x:row r="647">
      <x:c r="A647" s="72" t="n">
        <x:v>46240.89644675926</x:v>
      </x:c>
      <x:c r="B647" s="32" t="str">
        <x:v>土壤含水率</x:v>
      </x:c>
      <x:c r="C647" s="32" t="str">
        <x:v>W1</x:v>
      </x:c>
      <x:c r="D647" s="32" t="str">
        <x:v>V2</x:v>
      </x:c>
      <x:c r="E647" s="86" t="n">
        <x:f>COUNT('21_W1_含水率'!C32,'21_W1_含水率'!E32,'21_W1_含水率'!G32,'21_W1_含水率'!I32)</x:f>
        <x:v>4</x:v>
      </x:c>
      <x:c r="F647" s="90" t="n">
        <x:f>IF(E647=0,"",AVERAGE('21_W1_含水率'!C32,'21_W1_含水率'!E32,'21_W1_含水率'!G32,'21_W1_含水率'!I32))</x:f>
        <x:v>37.075</x:v>
      </x:c>
      <x:c r="G647" s="90" t="n">
        <x:f>IF(E647&lt;2,"",STDEV.S('21_W1_含水率'!C32,'21_W1_含水率'!E32,'21_W1_含水率'!G32,'21_W1_含水率'!I32))</x:f>
        <x:v>1.8518009252256766</x:v>
      </x:c>
      <x:c r="H647" s="90" t="n">
        <x:f>IF(E647=0,"",MIN('21_W1_含水率'!C32,'21_W1_含水率'!E32,'21_W1_含水率'!G32,'21_W1_含水率'!I32))</x:f>
        <x:v>34.3</x:v>
      </x:c>
      <x:c r="I647" s="90" t="n">
        <x:f>IF(E647=0,"",MAX('21_W1_含水率'!C32,'21_W1_含水率'!E32,'21_W1_含水率'!G32,'21_W1_含水率'!I32))</x:f>
        <x:v>38.1</x:v>
      </x:c>
      <x:c r="J647" s="32" t="str">
        <x:v>%</x:v>
      </x:c>
    </x:row>
    <x:row r="648">
      <x:c r="A648" s="72" t="n">
        <x:v>46240.89991898148</x:v>
      </x:c>
      <x:c r="B648" s="32" t="str">
        <x:v>土壤含水率</x:v>
      </x:c>
      <x:c r="C648" s="32" t="str">
        <x:v>W1</x:v>
      </x:c>
      <x:c r="D648" s="32" t="str">
        <x:v>V1</x:v>
      </x:c>
      <x:c r="E648" s="86" t="n">
        <x:f>COUNT('21_W1_含水率'!B33,'21_W1_含水率'!D33,'21_W1_含水率'!F33,'21_W1_含水率'!H33)</x:f>
        <x:v>4</x:v>
      </x:c>
      <x:c r="F648" s="90" t="n">
        <x:f>IF(E648=0,"",AVERAGE('21_W1_含水率'!B33,'21_W1_含水率'!D33,'21_W1_含水率'!F33,'21_W1_含水率'!H33))</x:f>
        <x:v>38.075</x:v>
      </x:c>
      <x:c r="G648" s="90" t="n">
        <x:f>IF(E648&lt;2,"",STDEV.S('21_W1_含水率'!B33,'21_W1_含水率'!D33,'21_W1_含水率'!F33,'21_W1_含水率'!H33))</x:f>
        <x:v>2.8182441342083915</x:v>
      </x:c>
      <x:c r="H648" s="90" t="n">
        <x:f>IF(E648=0,"",MIN('21_W1_含水率'!B33,'21_W1_含水率'!D33,'21_W1_含水率'!F33,'21_W1_含水率'!H33))</x:f>
        <x:v>36</x:v>
      </x:c>
      <x:c r="I648" s="90" t="n">
        <x:f>IF(E648=0,"",MAX('21_W1_含水率'!B33,'21_W1_含水率'!D33,'21_W1_含水率'!F33,'21_W1_含水率'!H33))</x:f>
        <x:v>42.2</x:v>
      </x:c>
      <x:c r="J648" s="32" t="str">
        <x:v>%</x:v>
      </x:c>
    </x:row>
    <x:row r="649">
      <x:c r="A649" s="72" t="n">
        <x:v>46240.89991898148</x:v>
      </x:c>
      <x:c r="B649" s="32" t="str">
        <x:v>土壤含水率</x:v>
      </x:c>
      <x:c r="C649" s="32" t="str">
        <x:v>W1</x:v>
      </x:c>
      <x:c r="D649" s="32" t="str">
        <x:v>V2</x:v>
      </x:c>
      <x:c r="E649" s="86" t="n">
        <x:f>COUNT('21_W1_含水率'!C33,'21_W1_含水率'!E33,'21_W1_含水率'!G33,'21_W1_含水率'!I33)</x:f>
        <x:v>4</x:v>
      </x:c>
      <x:c r="F649" s="90" t="n">
        <x:f>IF(E649=0,"",AVERAGE('21_W1_含水率'!C33,'21_W1_含水率'!E33,'21_W1_含水率'!G33,'21_W1_含水率'!I33))</x:f>
        <x:v>37.075</x:v>
      </x:c>
      <x:c r="G649" s="90" t="n">
        <x:f>IF(E649&lt;2,"",STDEV.S('21_W1_含水率'!C33,'21_W1_含水率'!E33,'21_W1_含水率'!G33,'21_W1_含水率'!I33))</x:f>
        <x:v>1.5521490478258433</x:v>
      </x:c>
      <x:c r="H649" s="90" t="n">
        <x:f>IF(E649=0,"",MIN('21_W1_含水率'!C33,'21_W1_含水率'!E33,'21_W1_含水率'!G33,'21_W1_含水率'!I33))</x:f>
        <x:v>34.8</x:v>
      </x:c>
      <x:c r="I649" s="90" t="n">
        <x:f>IF(E649=0,"",MAX('21_W1_含水率'!C33,'21_W1_含水率'!E33,'21_W1_含水率'!G33,'21_W1_含水率'!I33))</x:f>
        <x:v>38.2</x:v>
      </x:c>
      <x:c r="J649" s="32" t="str">
        <x:v>%</x:v>
      </x:c>
    </x:row>
    <x:row r="650">
      <x:c r="A650" s="72" t="n">
        <x:v>46240.903391203705</x:v>
      </x:c>
      <x:c r="B650" s="32" t="str">
        <x:v>土壤含水率</x:v>
      </x:c>
      <x:c r="C650" s="32" t="str">
        <x:v>W1</x:v>
      </x:c>
      <x:c r="D650" s="32" t="str">
        <x:v>V1</x:v>
      </x:c>
      <x:c r="E650" s="86" t="n">
        <x:f>COUNT('21_W1_含水率'!B34,'21_W1_含水率'!D34,'21_W1_含水率'!F34,'21_W1_含水率'!H34)</x:f>
        <x:v>4</x:v>
      </x:c>
      <x:c r="F650" s="90" t="n">
        <x:f>IF(E650=0,"",AVERAGE('21_W1_含水率'!B34,'21_W1_含水率'!D34,'21_W1_含水率'!F34,'21_W1_含水率'!H34))</x:f>
        <x:v>38.1</x:v>
      </x:c>
      <x:c r="G650" s="90" t="n">
        <x:f>IF(E650&lt;2,"",STDEV.S('21_W1_含水率'!B34,'21_W1_含水率'!D34,'21_W1_含水率'!F34,'21_W1_含水率'!H34))</x:f>
        <x:v>3.1506613062445594</x:v>
      </x:c>
      <x:c r="H650" s="90" t="n">
        <x:f>IF(E650=0,"",MIN('21_W1_含水率'!B34,'21_W1_含水率'!D34,'21_W1_含水率'!F34,'21_W1_含水率'!H34))</x:f>
        <x:v>35.6</x:v>
      </x:c>
      <x:c r="I650" s="90" t="n">
        <x:f>IF(E650=0,"",MAX('21_W1_含水率'!B34,'21_W1_含水率'!D34,'21_W1_含水率'!F34,'21_W1_含水率'!H34))</x:f>
        <x:v>42.6</x:v>
      </x:c>
      <x:c r="J650" s="32" t="str">
        <x:v>%</x:v>
      </x:c>
    </x:row>
    <x:row r="651">
      <x:c r="A651" s="72" t="n">
        <x:v>46240.903391203705</x:v>
      </x:c>
      <x:c r="B651" s="32" t="str">
        <x:v>土壤含水率</x:v>
      </x:c>
      <x:c r="C651" s="32" t="str">
        <x:v>W1</x:v>
      </x:c>
      <x:c r="D651" s="32" t="str">
        <x:v>V2</x:v>
      </x:c>
      <x:c r="E651" s="86" t="n">
        <x:f>COUNT('21_W1_含水率'!C34,'21_W1_含水率'!E34,'21_W1_含水率'!G34,'21_W1_含水率'!I34)</x:f>
        <x:v>4</x:v>
      </x:c>
      <x:c r="F651" s="90" t="n">
        <x:f>IF(E651=0,"",AVERAGE('21_W1_含水率'!C34,'21_W1_含水率'!E34,'21_W1_含水率'!G34,'21_W1_含水率'!I34))</x:f>
        <x:v>37.075</x:v>
      </x:c>
      <x:c r="G651" s="90" t="n">
        <x:f>IF(E651&lt;2,"",STDEV.S('21_W1_含水率'!C34,'21_W1_含水率'!E34,'21_W1_含水率'!G34,'21_W1_含水率'!I34))</x:f>
        <x:v>1.3937359864766343</x:v>
      </x:c>
      <x:c r="H651" s="90" t="n">
        <x:f>IF(E651=0,"",MIN('21_W1_含水率'!C34,'21_W1_含水率'!E34,'21_W1_含水率'!G34,'21_W1_含水率'!I34))</x:f>
        <x:v>35.2</x:v>
      </x:c>
      <x:c r="I651" s="90" t="n">
        <x:f>IF(E651=0,"",MAX('21_W1_含水率'!C34,'21_W1_含水率'!E34,'21_W1_含水率'!G34,'21_W1_含水率'!I34))</x:f>
        <x:v>38.5</x:v>
      </x:c>
      <x:c r="J651" s="32" t="str">
        <x:v>%</x:v>
      </x:c>
    </x:row>
    <x:row r="652">
      <x:c r="A652" s="72" t="n">
        <x:v>46240.906863425924</x:v>
      </x:c>
      <x:c r="B652" s="32" t="str">
        <x:v>土壤含水率</x:v>
      </x:c>
      <x:c r="C652" s="32" t="str">
        <x:v>W1</x:v>
      </x:c>
      <x:c r="D652" s="32" t="str">
        <x:v>V1</x:v>
      </x:c>
      <x:c r="E652" s="86" t="n">
        <x:f>COUNT('21_W1_含水率'!B35,'21_W1_含水率'!D35,'21_W1_含水率'!F35,'21_W1_含水率'!H35)</x:f>
        <x:v>4</x:v>
      </x:c>
      <x:c r="F652" s="90" t="n">
        <x:f>IF(E652=0,"",AVERAGE('21_W1_含水率'!B35,'21_W1_含水率'!D35,'21_W1_含水率'!F35,'21_W1_含水率'!H35))</x:f>
        <x:v>38.099999999999994</x:v>
      </x:c>
      <x:c r="G652" s="90" t="n">
        <x:f>IF(E652&lt;2,"",STDEV.S('21_W1_含水率'!B35,'21_W1_含水率'!D35,'21_W1_含水率'!F35,'21_W1_含水率'!H35))</x:f>
        <x:v>3.408812109811862</x:v>
      </x:c>
      <x:c r="H652" s="90" t="n">
        <x:f>IF(E652=0,"",MIN('21_W1_含水率'!B35,'21_W1_含水率'!D35,'21_W1_含水率'!F35,'21_W1_含水率'!H35))</x:f>
        <x:v>35.3</x:v>
      </x:c>
      <x:c r="I652" s="90" t="n">
        <x:f>IF(E652=0,"",MAX('21_W1_含水率'!B35,'21_W1_含水率'!D35,'21_W1_含水率'!F35,'21_W1_含水率'!H35))</x:f>
        <x:v>42.8</x:v>
      </x:c>
      <x:c r="J652" s="32" t="str">
        <x:v>%</x:v>
      </x:c>
    </x:row>
    <x:row r="653">
      <x:c r="A653" s="72" t="n">
        <x:v>46240.906863425924</x:v>
      </x:c>
      <x:c r="B653" s="32" t="str">
        <x:v>土壤含水率</x:v>
      </x:c>
      <x:c r="C653" s="32" t="str">
        <x:v>W1</x:v>
      </x:c>
      <x:c r="D653" s="32" t="str">
        <x:v>V2</x:v>
      </x:c>
      <x:c r="E653" s="86" t="n">
        <x:f>COUNT('21_W1_含水率'!C35,'21_W1_含水率'!E35,'21_W1_含水率'!G35,'21_W1_含水率'!I35)</x:f>
        <x:v>4</x:v>
      </x:c>
      <x:c r="F653" s="90" t="n">
        <x:f>IF(E653=0,"",AVERAGE('21_W1_含水率'!C35,'21_W1_含水率'!E35,'21_W1_含水率'!G35,'21_W1_含水率'!I35))</x:f>
        <x:v>37.1</x:v>
      </x:c>
      <x:c r="G653" s="90" t="n">
        <x:f>IF(E653&lt;2,"",STDEV.S('21_W1_含水率'!C35,'21_W1_含水率'!E35,'21_W1_含水率'!G35,'21_W1_含水率'!I35))</x:f>
        <x:v>1.3880441875771328</x:v>
      </x:c>
      <x:c r="H653" s="90" t="n">
        <x:f>IF(E653=0,"",MIN('21_W1_含水率'!C35,'21_W1_含水率'!E35,'21_W1_含水率'!G35,'21_W1_含水率'!I35))</x:f>
        <x:v>35.6</x:v>
      </x:c>
      <x:c r="I653" s="90" t="n">
        <x:f>IF(E653=0,"",MAX('21_W1_含水率'!C35,'21_W1_含水率'!E35,'21_W1_含水率'!G35,'21_W1_含水率'!I35))</x:f>
        <x:v>38.9</x:v>
      </x:c>
      <x:c r="J653" s="32" t="str">
        <x:v>%</x:v>
      </x:c>
    </x:row>
    <x:row r="654">
      <x:c r="A654" s="72" t="n">
        <x:v>46240.91033564815</x:v>
      </x:c>
      <x:c r="B654" s="32" t="str">
        <x:v>土壤含水率</x:v>
      </x:c>
      <x:c r="C654" s="32" t="str">
        <x:v>W1</x:v>
      </x:c>
      <x:c r="D654" s="32" t="str">
        <x:v>V1</x:v>
      </x:c>
      <x:c r="E654" s="86" t="n">
        <x:f>COUNT('21_W1_含水率'!B36,'21_W1_含水率'!D36,'21_W1_含水率'!F36,'21_W1_含水率'!H36)</x:f>
        <x:v>4</x:v>
      </x:c>
      <x:c r="F654" s="90" t="n">
        <x:f>IF(E654=0,"",AVERAGE('21_W1_含水率'!B36,'21_W1_含水率'!D36,'21_W1_含水率'!F36,'21_W1_含水率'!H36))</x:f>
        <x:v>38.075</x:v>
      </x:c>
      <x:c r="G654" s="90" t="n">
        <x:f>IF(E654&lt;2,"",STDEV.S('21_W1_含水率'!B36,'21_W1_含水率'!D36,'21_W1_含水率'!F36,'21_W1_含水率'!H36))</x:f>
        <x:v>3.687252816574059</x:v>
      </x:c>
      <x:c r="H654" s="90" t="n">
        <x:f>IF(E654=0,"",MIN('21_W1_含水率'!B36,'21_W1_含水率'!D36,'21_W1_含水率'!F36,'21_W1_含水率'!H36))</x:f>
        <x:v>35.1</x:v>
      </x:c>
      <x:c r="I654" s="90" t="n">
        <x:f>IF(E654=0,"",MAX('21_W1_含水率'!B36,'21_W1_含水率'!D36,'21_W1_含水率'!F36,'21_W1_含水率'!H36))</x:f>
        <x:v>43</x:v>
      </x:c>
      <x:c r="J654" s="32" t="str">
        <x:v>%</x:v>
      </x:c>
    </x:row>
    <x:row r="655">
      <x:c r="A655" s="72" t="n">
        <x:v>46240.91033564815</x:v>
      </x:c>
      <x:c r="B655" s="32" t="str">
        <x:v>土壤含水率</x:v>
      </x:c>
      <x:c r="C655" s="32" t="str">
        <x:v>W1</x:v>
      </x:c>
      <x:c r="D655" s="32" t="str">
        <x:v>V2</x:v>
      </x:c>
      <x:c r="E655" s="86" t="n">
        <x:f>COUNT('21_W1_含水率'!C36,'21_W1_含水率'!E36,'21_W1_含水率'!G36,'21_W1_含水率'!I36)</x:f>
        <x:v>4</x:v>
      </x:c>
      <x:c r="F655" s="90" t="n">
        <x:f>IF(E655=0,"",AVERAGE('21_W1_含水率'!C36,'21_W1_含水率'!E36,'21_W1_含水率'!G36,'21_W1_含水率'!I36))</x:f>
        <x:v>37.099999999999994</x:v>
      </x:c>
      <x:c r="G655" s="90" t="n">
        <x:f>IF(E655&lt;2,"",STDEV.S('21_W1_含水率'!C36,'21_W1_含水率'!E36,'21_W1_含水率'!G36,'21_W1_含水率'!I36))</x:f>
        <x:v>1.5979153085609183</x:v>
      </x:c>
      <x:c r="H655" s="90" t="n">
        <x:f>IF(E655=0,"",MIN('21_W1_含水率'!C36,'21_W1_含水率'!E36,'21_W1_含水率'!G36,'21_W1_含水率'!I36))</x:f>
        <x:v>35.8</x:v>
      </x:c>
      <x:c r="I655" s="90" t="n">
        <x:f>IF(E655=0,"",MAX('21_W1_含水率'!C36,'21_W1_含水率'!E36,'21_W1_含水率'!G36,'21_W1_含水率'!I36))</x:f>
        <x:v>39.4</x:v>
      </x:c>
      <x:c r="J655" s="32" t="str">
        <x:v>%</x:v>
      </x:c>
    </x:row>
    <x:row r="656">
      <x:c r="A656" s="72" t="n">
        <x:v>46240.91380787037</x:v>
      </x:c>
      <x:c r="B656" s="32" t="str">
        <x:v>土壤含水率</x:v>
      </x:c>
      <x:c r="C656" s="32" t="str">
        <x:v>W1</x:v>
      </x:c>
      <x:c r="D656" s="32" t="str">
        <x:v>V1</x:v>
      </x:c>
      <x:c r="E656" s="86" t="n">
        <x:f>COUNT('21_W1_含水率'!B37,'21_W1_含水率'!D37,'21_W1_含水率'!F37,'21_W1_含水率'!H37)</x:f>
        <x:v>4</x:v>
      </x:c>
      <x:c r="F656" s="90" t="n">
        <x:f>IF(E656=0,"",AVERAGE('21_W1_含水率'!B37,'21_W1_含水率'!D37,'21_W1_含水率'!F37,'21_W1_含水率'!H37))</x:f>
        <x:v>38.05</x:v>
      </x:c>
      <x:c r="G656" s="90" t="n">
        <x:f>IF(E656&lt;2,"",STDEV.S('21_W1_含水率'!B37,'21_W1_含水率'!D37,'21_W1_含水率'!F37,'21_W1_含水率'!H37))</x:f>
        <x:v>3.885442917695056</x:v>
      </x:c>
      <x:c r="H656" s="90" t="n">
        <x:f>IF(E656=0,"",MIN('21_W1_含水率'!B37,'21_W1_含水率'!D37,'21_W1_含水率'!F37,'21_W1_含水率'!H37))</x:f>
        <x:v>34.9</x:v>
      </x:c>
      <x:c r="I656" s="90" t="n">
        <x:f>IF(E656=0,"",MAX('21_W1_含水率'!B37,'21_W1_含水率'!D37,'21_W1_含水率'!F37,'21_W1_含水率'!H37))</x:f>
        <x:v>43</x:v>
      </x:c>
      <x:c r="J656" s="32" t="str">
        <x:v>%</x:v>
      </x:c>
    </x:row>
    <x:row r="657">
      <x:c r="A657" s="72" t="n">
        <x:v>46240.91380787037</x:v>
      </x:c>
      <x:c r="B657" s="32" t="str">
        <x:v>土壤含水率</x:v>
      </x:c>
      <x:c r="C657" s="32" t="str">
        <x:v>W1</x:v>
      </x:c>
      <x:c r="D657" s="32" t="str">
        <x:v>V2</x:v>
      </x:c>
      <x:c r="E657" s="86" t="n">
        <x:f>COUNT('21_W1_含水率'!C37,'21_W1_含水率'!E37,'21_W1_含水率'!G37,'21_W1_含水率'!I37)</x:f>
        <x:v>4</x:v>
      </x:c>
      <x:c r="F657" s="90" t="n">
        <x:f>IF(E657=0,"",AVERAGE('21_W1_含水率'!C37,'21_W1_含水率'!E37,'21_W1_含水率'!G37,'21_W1_含水率'!I37))</x:f>
        <x:v>37.075</x:v>
      </x:c>
      <x:c r="G657" s="90" t="n">
        <x:f>IF(E657&lt;2,"",STDEV.S('21_W1_含水率'!C37,'21_W1_含水率'!E37,'21_W1_含水率'!G37,'21_W1_含水率'!I37))</x:f>
        <x:v>1.824600412875833</x:v>
      </x:c>
      <x:c r="H657" s="90" t="n">
        <x:f>IF(E657=0,"",MIN('21_W1_含水率'!C37,'21_W1_含水率'!E37,'21_W1_含水率'!G37,'21_W1_含水率'!I37))</x:f>
        <x:v>36</x:v>
      </x:c>
      <x:c r="I657" s="90" t="n">
        <x:f>IF(E657=0,"",MAX('21_W1_含水率'!C37,'21_W1_含水率'!E37,'21_W1_含水率'!G37,'21_W1_含水率'!I37))</x:f>
        <x:v>39.8</x:v>
      </x:c>
      <x:c r="J657" s="32" t="str">
        <x:v>%</x:v>
      </x:c>
    </x:row>
    <x:row r="658">
      <x:c r="A658" s="72" t="n">
        <x:v>46240.917280092595</x:v>
      </x:c>
      <x:c r="B658" s="32" t="str">
        <x:v>土壤含水率</x:v>
      </x:c>
      <x:c r="C658" s="32" t="str">
        <x:v>W1</x:v>
      </x:c>
      <x:c r="D658" s="32" t="str">
        <x:v>V1</x:v>
      </x:c>
      <x:c r="E658" s="86" t="n">
        <x:f>COUNT('21_W1_含水率'!B38,'21_W1_含水率'!D38,'21_W1_含水率'!F38,'21_W1_含水率'!H38)</x:f>
        <x:v>4</x:v>
      </x:c>
      <x:c r="F658" s="90" t="n">
        <x:f>IF(E658=0,"",AVERAGE('21_W1_含水率'!B38,'21_W1_含水率'!D38,'21_W1_含水率'!F38,'21_W1_含水率'!H38))</x:f>
        <x:v>38.025000000000006</x:v>
      </x:c>
      <x:c r="G658" s="90" t="n">
        <x:f>IF(E658&lt;2,"",STDEV.S('21_W1_含水率'!B38,'21_W1_含水率'!D38,'21_W1_含水率'!F38,'21_W1_含水率'!H38))</x:f>
        <x:v>4.05</x:v>
      </x:c>
      <x:c r="H658" s="90" t="n">
        <x:f>IF(E658=0,"",MIN('21_W1_含水率'!B38,'21_W1_含水率'!D38,'21_W1_含水率'!F38,'21_W1_含水率'!H38))</x:f>
        <x:v>34.4</x:v>
      </x:c>
      <x:c r="I658" s="90" t="n">
        <x:f>IF(E658=0,"",MAX('21_W1_含水率'!B38,'21_W1_含水率'!D38,'21_W1_含水率'!F38,'21_W1_含水率'!H38))</x:f>
        <x:v>42.9</x:v>
      </x:c>
      <x:c r="J658" s="32" t="str">
        <x:v>%</x:v>
      </x:c>
    </x:row>
    <x:row r="659">
      <x:c r="A659" s="72" t="n">
        <x:v>46240.917280092595</x:v>
      </x:c>
      <x:c r="B659" s="32" t="str">
        <x:v>土壤含水率</x:v>
      </x:c>
      <x:c r="C659" s="32" t="str">
        <x:v>W1</x:v>
      </x:c>
      <x:c r="D659" s="32" t="str">
        <x:v>V2</x:v>
      </x:c>
      <x:c r="E659" s="86" t="n">
        <x:f>COUNT('21_W1_含水率'!C38,'21_W1_含水率'!E38,'21_W1_含水率'!G38,'21_W1_含水率'!I38)</x:f>
        <x:v>4</x:v>
      </x:c>
      <x:c r="F659" s="90" t="n">
        <x:f>IF(E659=0,"",AVERAGE('21_W1_含水率'!C38,'21_W1_含水率'!E38,'21_W1_含水率'!G38,'21_W1_含水率'!I38))</x:f>
        <x:v>37.05</x:v>
      </x:c>
      <x:c r="G659" s="90" t="n">
        <x:f>IF(E659&lt;2,"",STDEV.S('21_W1_含水率'!C38,'21_W1_含水率'!E38,'21_W1_含水率'!G38,'21_W1_含水率'!I38))</x:f>
        <x:v>2.167179426505028</x:v>
      </x:c>
      <x:c r="H659" s="90" t="n">
        <x:f>IF(E659=0,"",MIN('21_W1_含水率'!C38,'21_W1_含水率'!E38,'21_W1_含水率'!G38,'21_W1_含水率'!I38))</x:f>
        <x:v>35.9</x:v>
      </x:c>
      <x:c r="I659" s="90" t="n">
        <x:f>IF(E659=0,"",MAX('21_W1_含水率'!C38,'21_W1_含水率'!E38,'21_W1_含水率'!G38,'21_W1_含水率'!I38))</x:f>
        <x:v>40.3</x:v>
      </x:c>
      <x:c r="J659" s="32" t="str">
        <x:v>%</x:v>
      </x:c>
    </x:row>
    <x:row r="660">
      <x:c r="A660" s="72" t="n">
        <x:v>46240.920752314814</x:v>
      </x:c>
      <x:c r="B660" s="32" t="str">
        <x:v>土壤含水率</x:v>
      </x:c>
      <x:c r="C660" s="32" t="str">
        <x:v>W1</x:v>
      </x:c>
      <x:c r="D660" s="32" t="str">
        <x:v>V1</x:v>
      </x:c>
      <x:c r="E660" s="86" t="n">
        <x:f>COUNT('21_W1_含水率'!B39,'21_W1_含水率'!D39,'21_W1_含水率'!F39,'21_W1_含水率'!H39)</x:f>
        <x:v>4</x:v>
      </x:c>
      <x:c r="F660" s="90" t="n">
        <x:f>IF(E660=0,"",AVERAGE('21_W1_含水率'!B39,'21_W1_含水率'!D39,'21_W1_含水率'!F39,'21_W1_含水率'!H39))</x:f>
        <x:v>38</x:v>
      </x:c>
      <x:c r="G660" s="90" t="n">
        <x:f>IF(E660&lt;2,"",STDEV.S('21_W1_含水率'!B39,'21_W1_含水率'!D39,'21_W1_含水率'!F39,'21_W1_含水率'!H39))</x:f>
        <x:v>4.075945698035406</x:v>
      </x:c>
      <x:c r="H660" s="90" t="n">
        <x:f>IF(E660=0,"",MIN('21_W1_含水率'!B39,'21_W1_含水率'!D39,'21_W1_含水率'!F39,'21_W1_含水率'!H39))</x:f>
        <x:v>34</x:v>
      </x:c>
      <x:c r="I660" s="90" t="n">
        <x:f>IF(E660=0,"",MAX('21_W1_含水率'!B39,'21_W1_含水率'!D39,'21_W1_含水率'!F39,'21_W1_含水率'!H39))</x:f>
        <x:v>42.6</x:v>
      </x:c>
      <x:c r="J660" s="32" t="str">
        <x:v>%</x:v>
      </x:c>
    </x:row>
    <x:row r="661">
      <x:c r="A661" s="72" t="n">
        <x:v>46240.920752314814</x:v>
      </x:c>
      <x:c r="B661" s="32" t="str">
        <x:v>土壤含水率</x:v>
      </x:c>
      <x:c r="C661" s="32" t="str">
        <x:v>W1</x:v>
      </x:c>
      <x:c r="D661" s="32" t="str">
        <x:v>V2</x:v>
      </x:c>
      <x:c r="E661" s="86" t="n">
        <x:f>COUNT('21_W1_含水率'!C39,'21_W1_含水率'!E39,'21_W1_含水率'!G39,'21_W1_含水率'!I39)</x:f>
        <x:v>4</x:v>
      </x:c>
      <x:c r="F661" s="90" t="n">
        <x:f>IF(E661=0,"",AVERAGE('21_W1_含水率'!C39,'21_W1_含水率'!E39,'21_W1_含水率'!G39,'21_W1_含水率'!I39))</x:f>
        <x:v>37.025000000000006</x:v>
      </x:c>
      <x:c r="G661" s="90" t="n">
        <x:f>IF(E661&lt;2,"",STDEV.S('21_W1_含水率'!C39,'21_W1_含水率'!E39,'21_W1_含水率'!G39,'21_W1_含水率'!I39))</x:f>
        <x:v>2.530316185775998</x:v>
      </x:c>
      <x:c r="H661" s="90" t="n">
        <x:f>IF(E661=0,"",MIN('21_W1_含水率'!C39,'21_W1_含水率'!E39,'21_W1_含水率'!G39,'21_W1_含水率'!I39))</x:f>
        <x:v>35.4</x:v>
      </x:c>
      <x:c r="I661" s="90" t="n">
        <x:f>IF(E661=0,"",MAX('21_W1_含水率'!C39,'21_W1_含水率'!E39,'21_W1_含水率'!G39,'21_W1_含水率'!I39))</x:f>
        <x:v>40.8</x:v>
      </x:c>
      <x:c r="J661" s="32" t="str">
        <x:v>%</x:v>
      </x:c>
    </x:row>
    <x:row r="662">
      <x:c r="A662" s="72" t="n">
        <x:v>46240.92422453704</x:v>
      </x:c>
      <x:c r="B662" s="32" t="str">
        <x:v>土壤含水率</x:v>
      </x:c>
      <x:c r="C662" s="32" t="str">
        <x:v>W1</x:v>
      </x:c>
      <x:c r="D662" s="32" t="str">
        <x:v>V1</x:v>
      </x:c>
      <x:c r="E662" s="86" t="n">
        <x:f>COUNT('21_W1_含水率'!B40,'21_W1_含水率'!D40,'21_W1_含水率'!F40,'21_W1_含水率'!H40)</x:f>
        <x:v>4</x:v>
      </x:c>
      <x:c r="F662" s="90" t="n">
        <x:f>IF(E662=0,"",AVERAGE('21_W1_含水率'!B40,'21_W1_含水率'!D40,'21_W1_含水率'!F40,'21_W1_含水率'!H40))</x:f>
        <x:v>38</x:v>
      </x:c>
      <x:c r="G662" s="90" t="n">
        <x:f>IF(E662&lt;2,"",STDEV.S('21_W1_含水率'!B40,'21_W1_含水率'!D40,'21_W1_含水率'!F40,'21_W1_含水率'!H40))</x:f>
        <x:v>4.11744257195329</x:v>
      </x:c>
      <x:c r="H662" s="90" t="n">
        <x:f>IF(E662=0,"",MIN('21_W1_含水率'!B40,'21_W1_含水率'!D40,'21_W1_含水率'!F40,'21_W1_含水率'!H40))</x:f>
        <x:v>33.6</x:v>
      </x:c>
      <x:c r="I662" s="90" t="n">
        <x:f>IF(E662=0,"",MAX('21_W1_含水率'!B40,'21_W1_含水率'!D40,'21_W1_含水率'!F40,'21_W1_含水率'!H40))</x:f>
        <x:v>42.3</x:v>
      </x:c>
      <x:c r="J662" s="32" t="str">
        <x:v>%</x:v>
      </x:c>
    </x:row>
    <x:row r="663">
      <x:c r="A663" s="72" t="n">
        <x:v>46240.92422453704</x:v>
      </x:c>
      <x:c r="B663" s="32" t="str">
        <x:v>土壤含水率</x:v>
      </x:c>
      <x:c r="C663" s="32" t="str">
        <x:v>W1</x:v>
      </x:c>
      <x:c r="D663" s="32" t="str">
        <x:v>V2</x:v>
      </x:c>
      <x:c r="E663" s="86" t="n">
        <x:f>COUNT('21_W1_含水率'!C40,'21_W1_含水率'!E40,'21_W1_含水率'!G40,'21_W1_含水率'!I40)</x:f>
        <x:v>4</x:v>
      </x:c>
      <x:c r="F663" s="90" t="n">
        <x:f>IF(E663=0,"",AVERAGE('21_W1_含水率'!C40,'21_W1_含水率'!E40,'21_W1_含水率'!G40,'21_W1_含水率'!I40))</x:f>
        <x:v>37</x:v>
      </x:c>
      <x:c r="G663" s="90" t="n">
        <x:f>IF(E663&lt;2,"",STDEV.S('21_W1_含水率'!C40,'21_W1_含水率'!E40,'21_W1_含水率'!G40,'21_W1_含水率'!I40))</x:f>
        <x:v>2.84253408071038</x:v>
      </x:c>
      <x:c r="H663" s="90" t="n">
        <x:f>IF(E663=0,"",MIN('21_W1_含水率'!C40,'21_W1_含水率'!E40,'21_W1_含水率'!G40,'21_W1_含水率'!I40))</x:f>
        <x:v>35</x:v>
      </x:c>
      <x:c r="I663" s="90" t="n">
        <x:f>IF(E663=0,"",MAX('21_W1_含水率'!C40,'21_W1_含水率'!E40,'21_W1_含水率'!G40,'21_W1_含水率'!I40))</x:f>
        <x:v>41.2</x:v>
      </x:c>
      <x:c r="J663" s="32" t="str">
        <x:v>%</x:v>
      </x:c>
    </x:row>
    <x:row r="664">
      <x:c r="A664" s="72" t="n">
        <x:v>46240.92769675926</x:v>
      </x:c>
      <x:c r="B664" s="32" t="str">
        <x:v>土壤含水率</x:v>
      </x:c>
      <x:c r="C664" s="32" t="str">
        <x:v>W1</x:v>
      </x:c>
      <x:c r="D664" s="32" t="str">
        <x:v>V1</x:v>
      </x:c>
      <x:c r="E664" s="86" t="n">
        <x:f>COUNT('21_W1_含水率'!B41,'21_W1_含水率'!D41,'21_W1_含水率'!F41,'21_W1_含水率'!H41)</x:f>
        <x:v>4</x:v>
      </x:c>
      <x:c r="F664" s="90" t="n">
        <x:f>IF(E664=0,"",AVERAGE('21_W1_含水率'!B41,'21_W1_含水率'!D41,'21_W1_含水率'!F41,'21_W1_含水率'!H41))</x:f>
        <x:v>37.974999999999994</x:v>
      </x:c>
      <x:c r="G664" s="90" t="n">
        <x:f>IF(E664&lt;2,"",STDEV.S('21_W1_含水率'!B41,'21_W1_含水率'!D41,'21_W1_含水率'!F41,'21_W1_含水率'!H41))</x:f>
        <x:v>4.0639676835985465</x:v>
      </x:c>
      <x:c r="H664" s="90" t="n">
        <x:f>IF(E664=0,"",MIN('21_W1_含水率'!B41,'21_W1_含水率'!D41,'21_W1_含水率'!F41,'21_W1_含水率'!H41))</x:f>
        <x:v>33.3</x:v>
      </x:c>
      <x:c r="I664" s="90" t="n">
        <x:f>IF(E664=0,"",MAX('21_W1_含水率'!B41,'21_W1_含水率'!D41,'21_W1_含水率'!F41,'21_W1_含水率'!H41))</x:f>
        <x:v>41.9</x:v>
      </x:c>
      <x:c r="J664" s="32" t="str">
        <x:v>%</x:v>
      </x:c>
    </x:row>
    <x:row r="665">
      <x:c r="A665" s="72" t="n">
        <x:v>46240.92769675926</x:v>
      </x:c>
      <x:c r="B665" s="32" t="str">
        <x:v>土壤含水率</x:v>
      </x:c>
      <x:c r="C665" s="32" t="str">
        <x:v>W1</x:v>
      </x:c>
      <x:c r="D665" s="32" t="str">
        <x:v>V2</x:v>
      </x:c>
      <x:c r="E665" s="86" t="n">
        <x:f>COUNT('21_W1_含水率'!C41,'21_W1_含水率'!E41,'21_W1_含水率'!G41,'21_W1_含水率'!I41)</x:f>
        <x:v>4</x:v>
      </x:c>
      <x:c r="F665" s="90" t="n">
        <x:f>IF(E665=0,"",AVERAGE('21_W1_含水率'!C41,'21_W1_含水率'!E41,'21_W1_含水率'!G41,'21_W1_含水率'!I41))</x:f>
        <x:v>37</x:v>
      </x:c>
      <x:c r="G665" s="90" t="n">
        <x:f>IF(E665&lt;2,"",STDEV.S('21_W1_含水率'!C41,'21_W1_含水率'!E41,'21_W1_含水率'!G41,'21_W1_含水率'!I41))</x:f>
        <x:v>3.1654383582688834</x:v>
      </x:c>
      <x:c r="H665" s="90" t="n">
        <x:f>IF(E665=0,"",MIN('21_W1_含水率'!C41,'21_W1_含水率'!E41,'21_W1_含水率'!G41,'21_W1_含水率'!I41))</x:f>
        <x:v>34.6</x:v>
      </x:c>
      <x:c r="I665" s="90" t="n">
        <x:f>IF(E665=0,"",MAX('21_W1_含水率'!C41,'21_W1_含水率'!E41,'21_W1_含水率'!G41,'21_W1_含水率'!I41))</x:f>
        <x:v>41.6</x:v>
      </x:c>
      <x:c r="J665" s="32" t="str">
        <x:v>%</x:v>
      </x:c>
    </x:row>
    <x:row r="666">
      <x:c r="A666" s="72" t="n">
        <x:v>46240.93116898148</x:v>
      </x:c>
      <x:c r="B666" s="32" t="str">
        <x:v>土壤含水率</x:v>
      </x:c>
      <x:c r="C666" s="32" t="str">
        <x:v>W1</x:v>
      </x:c>
      <x:c r="D666" s="32" t="str">
        <x:v>V1</x:v>
      </x:c>
      <x:c r="E666" s="86" t="n">
        <x:f>COUNT('21_W1_含水率'!B42,'21_W1_含水率'!D42,'21_W1_含水率'!F42,'21_W1_含水率'!H42)</x:f>
        <x:v>4</x:v>
      </x:c>
      <x:c r="F666" s="90" t="n">
        <x:f>IF(E666=0,"",AVERAGE('21_W1_含水率'!B42,'21_W1_含水率'!D42,'21_W1_含水率'!F42,'21_W1_含水率'!H42))</x:f>
        <x:v>37.95</x:v>
      </x:c>
      <x:c r="G666" s="90" t="n">
        <x:f>IF(E666&lt;2,"",STDEV.S('21_W1_含水率'!B42,'21_W1_含水率'!D42,'21_W1_含水率'!F42,'21_W1_含水率'!H42))</x:f>
        <x:v>3.977017307815829</x:v>
      </x:c>
      <x:c r="H666" s="90" t="n">
        <x:f>IF(E666=0,"",MIN('21_W1_含水率'!B42,'21_W1_含水率'!D42,'21_W1_含水率'!F42,'21_W1_含水率'!H42))</x:f>
        <x:v>33.1</x:v>
      </x:c>
      <x:c r="I666" s="90" t="n">
        <x:f>IF(E666=0,"",MAX('21_W1_含水率'!B42,'21_W1_含水率'!D42,'21_W1_含水率'!F42,'21_W1_含水率'!H42))</x:f>
        <x:v>41.4</x:v>
      </x:c>
      <x:c r="J666" s="32" t="str">
        <x:v>%</x:v>
      </x:c>
    </x:row>
    <x:row r="667">
      <x:c r="A667" s="72" t="n">
        <x:v>46240.93116898148</x:v>
      </x:c>
      <x:c r="B667" s="32" t="str">
        <x:v>土壤含水率</x:v>
      </x:c>
      <x:c r="C667" s="32" t="str">
        <x:v>W1</x:v>
      </x:c>
      <x:c r="D667" s="32" t="str">
        <x:v>V2</x:v>
      </x:c>
      <x:c r="E667" s="86" t="n">
        <x:f>COUNT('21_W1_含水率'!C42,'21_W1_含水率'!E42,'21_W1_含水率'!G42,'21_W1_含水率'!I42)</x:f>
        <x:v>4</x:v>
      </x:c>
      <x:c r="F667" s="90" t="n">
        <x:f>IF(E667=0,"",AVERAGE('21_W1_含水率'!C42,'21_W1_含水率'!E42,'21_W1_含水率'!G42,'21_W1_含水率'!I42))</x:f>
        <x:v>36.974999999999994</x:v>
      </x:c>
      <x:c r="G667" s="90" t="n">
        <x:f>IF(E667&lt;2,"",STDEV.S('21_W1_含水率'!C42,'21_W1_含水率'!E42,'21_W1_含水率'!G42,'21_W1_含水率'!I42))</x:f>
        <x:v>3.4033072150483266</x:v>
      </x:c>
      <x:c r="H667" s="90" t="n">
        <x:f>IF(E667=0,"",MIN('21_W1_含水率'!C42,'21_W1_含水率'!E42,'21_W1_含水率'!G42,'21_W1_含水率'!I42))</x:f>
        <x:v>34.3</x:v>
      </x:c>
      <x:c r="I667" s="90" t="n">
        <x:f>IF(E667=0,"",MAX('21_W1_含水率'!C42,'21_W1_含水率'!E42,'21_W1_含水率'!G42,'21_W1_含水率'!I42))</x:f>
        <x:v>41.8</x:v>
      </x:c>
      <x:c r="J667" s="32" t="str">
        <x:v>%</x:v>
      </x:c>
    </x:row>
    <x:row r="668">
      <x:c r="A668" s="72" t="n">
        <x:v>46240.934641203705</x:v>
      </x:c>
      <x:c r="B668" s="32" t="str">
        <x:v>土壤含水率</x:v>
      </x:c>
      <x:c r="C668" s="32" t="str">
        <x:v>W1</x:v>
      </x:c>
      <x:c r="D668" s="32" t="str">
        <x:v>V1</x:v>
      </x:c>
      <x:c r="E668" s="86" t="n">
        <x:f>COUNT('21_W1_含水率'!B43,'21_W1_含水率'!D43,'21_W1_含水率'!F43,'21_W1_含水率'!H43)</x:f>
        <x:v>4</x:v>
      </x:c>
      <x:c r="F668" s="90" t="n">
        <x:f>IF(E668=0,"",AVERAGE('21_W1_含水率'!B43,'21_W1_含水率'!D43,'21_W1_含水率'!F43,'21_W1_含水率'!H43))</x:f>
        <x:v>37.925</x:v>
      </x:c>
      <x:c r="G668" s="90" t="n">
        <x:f>IF(E668&lt;2,"",STDEV.S('21_W1_含水率'!B43,'21_W1_含水率'!D43,'21_W1_含水率'!F43,'21_W1_含水率'!H43))</x:f>
        <x:v>3.822193959843831</x:v>
      </x:c>
      <x:c r="H668" s="90" t="n">
        <x:f>IF(E668=0,"",MIN('21_W1_含水率'!B43,'21_W1_含水率'!D43,'21_W1_含水率'!F43,'21_W1_含水率'!H43))</x:f>
        <x:v>33</x:v>
      </x:c>
      <x:c r="I668" s="90" t="n">
        <x:f>IF(E668=0,"",MAX('21_W1_含水率'!B43,'21_W1_含水率'!D43,'21_W1_含水率'!F43,'21_W1_含水率'!H43))</x:f>
        <x:v>41</x:v>
      </x:c>
      <x:c r="J668" s="32" t="str">
        <x:v>%</x:v>
      </x:c>
    </x:row>
    <x:row r="669">
      <x:c r="A669" s="72" t="n">
        <x:v>46240.934641203705</x:v>
      </x:c>
      <x:c r="B669" s="32" t="str">
        <x:v>土壤含水率</x:v>
      </x:c>
      <x:c r="C669" s="32" t="str">
        <x:v>W1</x:v>
      </x:c>
      <x:c r="D669" s="32" t="str">
        <x:v>V2</x:v>
      </x:c>
      <x:c r="E669" s="86" t="n">
        <x:f>COUNT('21_W1_含水率'!C43,'21_W1_含水率'!E43,'21_W1_含水率'!G43,'21_W1_含水率'!I43)</x:f>
        <x:v>4</x:v>
      </x:c>
      <x:c r="F669" s="90" t="n">
        <x:f>IF(E669=0,"",AVERAGE('21_W1_含水率'!C43,'21_W1_含水率'!E43,'21_W1_含水率'!G43,'21_W1_含水率'!I43))</x:f>
        <x:v>36.95</x:v>
      </x:c>
      <x:c r="G669" s="90" t="n">
        <x:f>IF(E669&lt;2,"",STDEV.S('21_W1_含水率'!C43,'21_W1_含水率'!E43,'21_W1_含水率'!G43,'21_W1_含水率'!I43))</x:f>
        <x:v>3.662876829305985</x:v>
      </x:c>
      <x:c r="H669" s="90" t="n">
        <x:f>IF(E669=0,"",MIN('21_W1_含水率'!C43,'21_W1_含水率'!E43,'21_W1_含水率'!G43,'21_W1_含水率'!I43))</x:f>
        <x:v>34.1</x:v>
      </x:c>
      <x:c r="I669" s="90" t="n">
        <x:f>IF(E669=0,"",MAX('21_W1_含水率'!C43,'21_W1_含水率'!E43,'21_W1_含水率'!G43,'21_W1_含水率'!I43))</x:f>
        <x:v>42</x:v>
      </x:c>
      <x:c r="J669" s="32" t="str">
        <x:v>%</x:v>
      </x:c>
    </x:row>
    <x:row r="670">
      <x:c r="A670" s="72" t="n">
        <x:v>46240.938113425924</x:v>
      </x:c>
      <x:c r="B670" s="32" t="str">
        <x:v>土壤含水率</x:v>
      </x:c>
      <x:c r="C670" s="32" t="str">
        <x:v>W1</x:v>
      </x:c>
      <x:c r="D670" s="32" t="str">
        <x:v>V1</x:v>
      </x:c>
      <x:c r="E670" s="86" t="n">
        <x:f>COUNT('21_W1_含水率'!B44,'21_W1_含水率'!D44,'21_W1_含水率'!F44,'21_W1_含水率'!H44)</x:f>
        <x:v>4</x:v>
      </x:c>
      <x:c r="F670" s="90" t="n">
        <x:f>IF(E670=0,"",AVERAGE('21_W1_含水率'!B44,'21_W1_含水率'!D44,'21_W1_含水率'!F44,'21_W1_含水率'!H44))</x:f>
        <x:v>37.9</x:v>
      </x:c>
      <x:c r="G670" s="90" t="n">
        <x:f>IF(E670&lt;2,"",STDEV.S('21_W1_含水率'!B44,'21_W1_含水率'!D44,'21_W1_含水率'!F44,'21_W1_含水率'!H44))</x:f>
        <x:v>3.6340977789083584</x:v>
      </x:c>
      <x:c r="H670" s="90" t="n">
        <x:f>IF(E670=0,"",MIN('21_W1_含水率'!B44,'21_W1_含水率'!D44,'21_W1_含水率'!F44,'21_W1_含水率'!H44))</x:f>
        <x:v>33</x:v>
      </x:c>
      <x:c r="I670" s="90" t="n">
        <x:f>IF(E670=0,"",MAX('21_W1_含水率'!B44,'21_W1_含水率'!D44,'21_W1_含水率'!F44,'21_W1_含水率'!H44))</x:f>
        <x:v>40.9</x:v>
      </x:c>
      <x:c r="J670" s="32" t="str">
        <x:v>%</x:v>
      </x:c>
    </x:row>
    <x:row r="671">
      <x:c r="A671" s="72" t="n">
        <x:v>46240.938113425924</x:v>
      </x:c>
      <x:c r="B671" s="32" t="str">
        <x:v>土壤含水率</x:v>
      </x:c>
      <x:c r="C671" s="32" t="str">
        <x:v>W1</x:v>
      </x:c>
      <x:c r="D671" s="32" t="str">
        <x:v>V2</x:v>
      </x:c>
      <x:c r="E671" s="86" t="n">
        <x:f>COUNT('21_W1_含水率'!C44,'21_W1_含水率'!E44,'21_W1_含水率'!G44,'21_W1_含水率'!I44)</x:f>
        <x:v>4</x:v>
      </x:c>
      <x:c r="F671" s="90" t="n">
        <x:f>IF(E671=0,"",AVERAGE('21_W1_含水率'!C44,'21_W1_含水率'!E44,'21_W1_含水率'!G44,'21_W1_含水率'!I44))</x:f>
        <x:v>36.925</x:v>
      </x:c>
      <x:c r="G671" s="90" t="n">
        <x:f>IF(E671&lt;2,"",STDEV.S('21_W1_含水率'!C44,'21_W1_含水率'!E44,'21_W1_含水率'!G44,'21_W1_含水率'!I44))</x:f>
        <x:v>3.8395963329495983</x:v>
      </x:c>
      <x:c r="H671" s="90" t="n">
        <x:f>IF(E671=0,"",MIN('21_W1_含水率'!C44,'21_W1_含水率'!E44,'21_W1_含水率'!G44,'21_W1_含水率'!I44))</x:f>
        <x:v>33.9</x:v>
      </x:c>
      <x:c r="I671" s="90" t="n">
        <x:f>IF(E671=0,"",MAX('21_W1_含水率'!C44,'21_W1_含水率'!E44,'21_W1_含水率'!G44,'21_W1_含水率'!I44))</x:f>
        <x:v>42</x:v>
      </x:c>
      <x:c r="J671" s="32" t="str">
        <x:v>%</x:v>
      </x:c>
    </x:row>
    <x:row r="672">
      <x:c r="A672" s="72" t="n">
        <x:v>46240.94158564815</x:v>
      </x:c>
      <x:c r="B672" s="32" t="str">
        <x:v>土壤含水率</x:v>
      </x:c>
      <x:c r="C672" s="32" t="str">
        <x:v>W1</x:v>
      </x:c>
      <x:c r="D672" s="32" t="str">
        <x:v>V1</x:v>
      </x:c>
      <x:c r="E672" s="86" t="n">
        <x:f>COUNT('21_W1_含水率'!B45,'21_W1_含水率'!D45,'21_W1_含水率'!F45,'21_W1_含水率'!H45)</x:f>
        <x:v>4</x:v>
      </x:c>
      <x:c r="F672" s="90" t="n">
        <x:f>IF(E672=0,"",AVERAGE('21_W1_含水率'!B45,'21_W1_含水率'!D45,'21_W1_含水率'!F45,'21_W1_含水率'!H45))</x:f>
        <x:v>37.9</x:v>
      </x:c>
      <x:c r="G672" s="90" t="n">
        <x:f>IF(E672&lt;2,"",STDEV.S('21_W1_含水率'!B45,'21_W1_含水率'!D45,'21_W1_含水率'!F45,'21_W1_含水率'!H45))</x:f>
        <x:v>3.3565855667130937</x:v>
      </x:c>
      <x:c r="H672" s="90" t="n">
        <x:f>IF(E672=0,"",MIN('21_W1_含水率'!B45,'21_W1_含水率'!D45,'21_W1_含水率'!F45,'21_W1_含水率'!H45))</x:f>
        <x:v>33.2</x:v>
      </x:c>
      <x:c r="I672" s="90" t="n">
        <x:f>IF(E672=0,"",MAX('21_W1_含水率'!B45,'21_W1_含水率'!D45,'21_W1_含水率'!F45,'21_W1_含水率'!H45))</x:f>
        <x:v>40.6</x:v>
      </x:c>
      <x:c r="J672" s="32" t="str">
        <x:v>%</x:v>
      </x:c>
    </x:row>
    <x:row r="673">
      <x:c r="A673" s="72" t="n">
        <x:v>46240.94158564815</x:v>
      </x:c>
      <x:c r="B673" s="32" t="str">
        <x:v>土壤含水率</x:v>
      </x:c>
      <x:c r="C673" s="32" t="str">
        <x:v>W1</x:v>
      </x:c>
      <x:c r="D673" s="32" t="str">
        <x:v>V2</x:v>
      </x:c>
      <x:c r="E673" s="86" t="n">
        <x:f>COUNT('21_W1_含水率'!C45,'21_W1_含水率'!E45,'21_W1_含水率'!G45,'21_W1_含水率'!I45)</x:f>
        <x:v>4</x:v>
      </x:c>
      <x:c r="F673" s="90" t="n">
        <x:f>IF(E673=0,"",AVERAGE('21_W1_含水率'!C45,'21_W1_含水率'!E45,'21_W1_含水率'!G45,'21_W1_含水率'!I45))</x:f>
        <x:v>36.9</x:v>
      </x:c>
      <x:c r="G673" s="90" t="n">
        <x:f>IF(E673&lt;2,"",STDEV.S('21_W1_含水率'!C45,'21_W1_含水率'!E45,'21_W1_含水率'!G45,'21_W1_含水率'!I45))</x:f>
        <x:v>3.98413520520242</x:v>
      </x:c>
      <x:c r="H673" s="90" t="n">
        <x:f>IF(E673=0,"",MIN('21_W1_含水率'!C45,'21_W1_含水率'!E45,'21_W1_含水率'!G45,'21_W1_含水率'!I45))</x:f>
        <x:v>33.4</x:v>
      </x:c>
      <x:c r="I673" s="90" t="n">
        <x:f>IF(E673=0,"",MAX('21_W1_含水率'!C45,'21_W1_含水率'!E45,'21_W1_含水率'!G45,'21_W1_含水率'!I45))</x:f>
        <x:v>41.9</x:v>
      </x:c>
      <x:c r="J673" s="32" t="str">
        <x:v>%</x:v>
      </x:c>
    </x:row>
    <x:row r="674">
      <x:c r="A674" s="72" t="n">
        <x:v>46240.94505787037</x:v>
      </x:c>
      <x:c r="B674" s="32" t="str">
        <x:v>土壤含水率</x:v>
      </x:c>
      <x:c r="C674" s="32" t="str">
        <x:v>W1</x:v>
      </x:c>
      <x:c r="D674" s="32" t="str">
        <x:v>V1</x:v>
      </x:c>
      <x:c r="E674" s="86" t="n">
        <x:f>COUNT('21_W1_含水率'!B46,'21_W1_含水率'!D46,'21_W1_含水率'!F46,'21_W1_含水率'!H46)</x:f>
        <x:v>4</x:v>
      </x:c>
      <x:c r="F674" s="90" t="n">
        <x:f>IF(E674=0,"",AVERAGE('21_W1_含水率'!B46,'21_W1_含水率'!D46,'21_W1_含水率'!F46,'21_W1_含水率'!H46))</x:f>
        <x:v>37.900000000000006</x:v>
      </x:c>
      <x:c r="G674" s="90" t="n">
        <x:f>IF(E674&lt;2,"",STDEV.S('21_W1_含水率'!B46,'21_W1_含水率'!D46,'21_W1_含水率'!F46,'21_W1_含水率'!H46))</x:f>
        <x:v>3.0605010483034745</x:v>
      </x:c>
      <x:c r="H674" s="90" t="n">
        <x:f>IF(E674=0,"",MIN('21_W1_含水率'!B46,'21_W1_含水率'!D46,'21_W1_含水率'!F46,'21_W1_含水率'!H46))</x:f>
        <x:v>33.5</x:v>
      </x:c>
      <x:c r="I674" s="90" t="n">
        <x:f>IF(E674=0,"",MAX('21_W1_含水率'!B46,'21_W1_含水率'!D46,'21_W1_含水率'!F46,'21_W1_含水率'!H46))</x:f>
        <x:v>40.3</x:v>
      </x:c>
      <x:c r="J674" s="32" t="str">
        <x:v>%</x:v>
      </x:c>
    </x:row>
    <x:row r="675">
      <x:c r="A675" s="72" t="n">
        <x:v>46240.94505787037</x:v>
      </x:c>
      <x:c r="B675" s="32" t="str">
        <x:v>土壤含水率</x:v>
      </x:c>
      <x:c r="C675" s="32" t="str">
        <x:v>W1</x:v>
      </x:c>
      <x:c r="D675" s="32" t="str">
        <x:v>V2</x:v>
      </x:c>
      <x:c r="E675" s="86" t="n">
        <x:f>COUNT('21_W1_含水率'!C46,'21_W1_含水率'!E46,'21_W1_含水率'!G46,'21_W1_含水率'!I46)</x:f>
        <x:v>4</x:v>
      </x:c>
      <x:c r="F675" s="90" t="n">
        <x:f>IF(E675=0,"",AVERAGE('21_W1_含水率'!C46,'21_W1_含水率'!E46,'21_W1_含水率'!G46,'21_W1_含水率'!I46))</x:f>
        <x:v>36.9</x:v>
      </x:c>
      <x:c r="G675" s="90" t="n">
        <x:f>IF(E675&lt;2,"",STDEV.S('21_W1_含水率'!C46,'21_W1_含水率'!E46,'21_W1_含水率'!G46,'21_W1_含水率'!I46))</x:f>
        <x:v>4.00832467081531</x:v>
      </x:c>
      <x:c r="H675" s="90" t="n">
        <x:f>IF(E675=0,"",MIN('21_W1_含水率'!C46,'21_W1_含水率'!E46,'21_W1_含水率'!G46,'21_W1_含水率'!I46))</x:f>
        <x:v>33</x:v>
      </x:c>
      <x:c r="I675" s="90" t="n">
        <x:f>IF(E675=0,"",MAX('21_W1_含水率'!C46,'21_W1_含水率'!E46,'21_W1_含水率'!G46,'21_W1_含水率'!I46))</x:f>
        <x:v>41.6</x:v>
      </x:c>
      <x:c r="J675" s="32" t="str">
        <x:v>%</x:v>
      </x:c>
    </x:row>
    <x:row r="676">
      <x:c r="A676" s="72" t="n">
        <x:v>46240.948530092595</x:v>
      </x:c>
      <x:c r="B676" s="32" t="str">
        <x:v>土壤含水率</x:v>
      </x:c>
      <x:c r="C676" s="32" t="str">
        <x:v>W1</x:v>
      </x:c>
      <x:c r="D676" s="32" t="str">
        <x:v>V1</x:v>
      </x:c>
      <x:c r="E676" s="86" t="n">
        <x:f>COUNT('21_W1_含水率'!B47,'21_W1_含水率'!D47,'21_W1_含水率'!F47,'21_W1_含水率'!H47)</x:f>
        <x:v>4</x:v>
      </x:c>
      <x:c r="F676" s="90" t="n">
        <x:f>IF(E676=0,"",AVERAGE('21_W1_含水率'!B47,'21_W1_含水率'!D47,'21_W1_含水率'!F47,'21_W1_含水率'!H47))</x:f>
        <x:v>37.925</x:v>
      </x:c>
      <x:c r="G676" s="90" t="n">
        <x:f>IF(E676&lt;2,"",STDEV.S('21_W1_含水率'!B47,'21_W1_含水率'!D47,'21_W1_含水率'!F47,'21_W1_含水率'!H47))</x:f>
        <x:v>2.7354158733179856</x:v>
      </x:c>
      <x:c r="H676" s="90" t="n">
        <x:f>IF(E676=0,"",MIN('21_W1_含水率'!B47,'21_W1_含水率'!D47,'21_W1_含水率'!F47,'21_W1_含水率'!H47))</x:f>
        <x:v>33.9</x:v>
      </x:c>
      <x:c r="I676" s="90" t="n">
        <x:f>IF(E676=0,"",MAX('21_W1_含水率'!B47,'21_W1_含水率'!D47,'21_W1_含水率'!F47,'21_W1_含水率'!H47))</x:f>
        <x:v>39.9</x:v>
      </x:c>
      <x:c r="J676" s="32" t="str">
        <x:v>%</x:v>
      </x:c>
    </x:row>
    <x:row r="677">
      <x:c r="A677" s="72" t="n">
        <x:v>46240.948530092595</x:v>
      </x:c>
      <x:c r="B677" s="32" t="str">
        <x:v>土壤含水率</x:v>
      </x:c>
      <x:c r="C677" s="32" t="str">
        <x:v>W1</x:v>
      </x:c>
      <x:c r="D677" s="32" t="str">
        <x:v>V2</x:v>
      </x:c>
      <x:c r="E677" s="86" t="n">
        <x:f>COUNT('21_W1_含水率'!C47,'21_W1_含水率'!E47,'21_W1_含水率'!G47,'21_W1_含水率'!I47)</x:f>
        <x:v>4</x:v>
      </x:c>
      <x:c r="F677" s="90" t="n">
        <x:f>IF(E677=0,"",AVERAGE('21_W1_含水率'!C47,'21_W1_含水率'!E47,'21_W1_含水率'!G47,'21_W1_含水率'!I47))</x:f>
        <x:v>36.900000000000006</x:v>
      </x:c>
      <x:c r="G677" s="90" t="n">
        <x:f>IF(E677&lt;2,"",STDEV.S('21_W1_含水率'!C47,'21_W1_含水率'!E47,'21_W1_含水率'!G47,'21_W1_含水率'!I47))</x:f>
        <x:v>4.037325847637269</x:v>
      </x:c>
      <x:c r="H677" s="90" t="n">
        <x:f>IF(E677=0,"",MIN('21_W1_含水率'!C47,'21_W1_含水率'!E47,'21_W1_含水率'!G47,'21_W1_含水率'!I47))</x:f>
        <x:v>32.6</x:v>
      </x:c>
      <x:c r="I677" s="90" t="n">
        <x:f>IF(E677=0,"",MAX('21_W1_含水率'!C47,'21_W1_含水率'!E47,'21_W1_含水率'!G47,'21_W1_含水率'!I47))</x:f>
        <x:v>41.3</x:v>
      </x:c>
      <x:c r="J677" s="32" t="str">
        <x:v>%</x:v>
      </x:c>
    </x:row>
    <x:row r="678">
      <x:c r="A678" s="72" t="n">
        <x:v>46240.952002314814</x:v>
      </x:c>
      <x:c r="B678" s="32" t="str">
        <x:v>土壤含水率</x:v>
      </x:c>
      <x:c r="C678" s="32" t="str">
        <x:v>W1</x:v>
      </x:c>
      <x:c r="D678" s="32" t="str">
        <x:v>V1</x:v>
      </x:c>
      <x:c r="E678" s="86" t="n">
        <x:f>COUNT('21_W1_含水率'!B48,'21_W1_含水率'!D48,'21_W1_含水率'!F48,'21_W1_含水率'!H48)</x:f>
        <x:v>4</x:v>
      </x:c>
      <x:c r="F678" s="90" t="n">
        <x:f>IF(E678=0,"",AVERAGE('21_W1_含水率'!B48,'21_W1_含水率'!D48,'21_W1_含水率'!F48,'21_W1_含水率'!H48))</x:f>
        <x:v>37.9</x:v>
      </x:c>
      <x:c r="G678" s="90" t="n">
        <x:f>IF(E678&lt;2,"",STDEV.S('21_W1_含水率'!B48,'21_W1_含水率'!D48,'21_W1_含水率'!F48,'21_W1_含水率'!H48))</x:f>
        <x:v>2.4124676163629646</x:v>
      </x:c>
      <x:c r="H678" s="90" t="n">
        <x:f>IF(E678=0,"",MIN('21_W1_含水率'!B48,'21_W1_含水率'!D48,'21_W1_含水率'!F48,'21_W1_含水率'!H48))</x:f>
        <x:v>34.3</x:v>
      </x:c>
      <x:c r="I678" s="90" t="n">
        <x:f>IF(E678=0,"",MAX('21_W1_含水率'!B48,'21_W1_含水率'!D48,'21_W1_含水率'!F48,'21_W1_含水率'!H48))</x:f>
        <x:v>39.4</x:v>
      </x:c>
      <x:c r="J678" s="32" t="str">
        <x:v>%</x:v>
      </x:c>
    </x:row>
    <x:row r="679">
      <x:c r="A679" s="72" t="n">
        <x:v>46240.952002314814</x:v>
      </x:c>
      <x:c r="B679" s="32" t="str">
        <x:v>土壤含水率</x:v>
      </x:c>
      <x:c r="C679" s="32" t="str">
        <x:v>W1</x:v>
      </x:c>
      <x:c r="D679" s="32" t="str">
        <x:v>V2</x:v>
      </x:c>
      <x:c r="E679" s="86" t="n">
        <x:f>COUNT('21_W1_含水率'!C48,'21_W1_含水率'!E48,'21_W1_含水率'!G48,'21_W1_含水率'!I48)</x:f>
        <x:v>4</x:v>
      </x:c>
      <x:c r="F679" s="90" t="n">
        <x:f>IF(E679=0,"",AVERAGE('21_W1_含水率'!C48,'21_W1_含水率'!E48,'21_W1_含水率'!G48,'21_W1_含水率'!I48))</x:f>
        <x:v>36.925</x:v>
      </x:c>
      <x:c r="G679" s="90" t="n">
        <x:f>IF(E679&lt;2,"",STDEV.S('21_W1_含水率'!C48,'21_W1_含水率'!E48,'21_W1_含水率'!G48,'21_W1_含水率'!I48))</x:f>
        <x:v>4.018602576352466</x:v>
      </x:c>
      <x:c r="H679" s="90" t="n">
        <x:f>IF(E679=0,"",MIN('21_W1_含水率'!C48,'21_W1_含水率'!E48,'21_W1_含水率'!G48,'21_W1_含水率'!I48))</x:f>
        <x:v>32.3</x:v>
      </x:c>
      <x:c r="I679" s="90" t="n">
        <x:f>IF(E679=0,"",MAX('21_W1_含水率'!C48,'21_W1_含水率'!E48,'21_W1_含水率'!G48,'21_W1_含水率'!I48))</x:f>
        <x:v>40.9</x:v>
      </x:c>
      <x:c r="J679" s="32" t="str">
        <x:v>%</x:v>
      </x:c>
    </x:row>
    <x:row r="680">
      <x:c r="A680" s="72" t="n">
        <x:v>46240.95547453704</x:v>
      </x:c>
      <x:c r="B680" s="32" t="str">
        <x:v>土壤含水率</x:v>
      </x:c>
      <x:c r="C680" s="32" t="str">
        <x:v>W1</x:v>
      </x:c>
      <x:c r="D680" s="32" t="str">
        <x:v>V1</x:v>
      </x:c>
      <x:c r="E680" s="86" t="n">
        <x:f>COUNT('21_W1_含水率'!B49,'21_W1_含水率'!D49,'21_W1_含水率'!F49,'21_W1_含水率'!H49)</x:f>
        <x:v>4</x:v>
      </x:c>
      <x:c r="F680" s="90" t="n">
        <x:f>IF(E680=0,"",AVERAGE('21_W1_含水率'!B49,'21_W1_含水率'!D49,'21_W1_含水率'!F49,'21_W1_含水率'!H49))</x:f>
        <x:v>37.925</x:v>
      </x:c>
      <x:c r="G680" s="90" t="n">
        <x:f>IF(E680&lt;2,"",STDEV.S('21_W1_含水率'!B49,'21_W1_含水率'!D49,'21_W1_含水率'!F49,'21_W1_含水率'!H49))</x:f>
        <x:v>2.083866598417472</x:v>
      </x:c>
      <x:c r="H680" s="90" t="n">
        <x:f>IF(E680=0,"",MIN('21_W1_含水率'!B49,'21_W1_含水率'!D49,'21_W1_含水率'!F49,'21_W1_含水率'!H49))</x:f>
        <x:v>34.8</x:v>
      </x:c>
      <x:c r="I680" s="90" t="n">
        <x:f>IF(E680=0,"",MAX('21_W1_含水率'!B49,'21_W1_含水率'!D49,'21_W1_含水率'!F49,'21_W1_含水率'!H49))</x:f>
        <x:v>39</x:v>
      </x:c>
      <x:c r="J680" s="32" t="str">
        <x:v>%</x:v>
      </x:c>
    </x:row>
    <x:row r="681">
      <x:c r="A681" s="72" t="n">
        <x:v>46240.95547453704</x:v>
      </x:c>
      <x:c r="B681" s="32" t="str">
        <x:v>土壤含水率</x:v>
      </x:c>
      <x:c r="C681" s="32" t="str">
        <x:v>W1</x:v>
      </x:c>
      <x:c r="D681" s="32" t="str">
        <x:v>V2</x:v>
      </x:c>
      <x:c r="E681" s="86" t="n">
        <x:f>COUNT('21_W1_含水率'!C49,'21_W1_含水率'!E49,'21_W1_含水率'!G49,'21_W1_含水率'!I49)</x:f>
        <x:v>4</x:v>
      </x:c>
      <x:c r="F681" s="90" t="n">
        <x:f>IF(E681=0,"",AVERAGE('21_W1_含水率'!C49,'21_W1_含水率'!E49,'21_W1_含水率'!G49,'21_W1_含水率'!I49))</x:f>
        <x:v>36.9</x:v>
      </x:c>
      <x:c r="G681" s="90" t="n">
        <x:f>IF(E681&lt;2,"",STDEV.S('21_W1_含水率'!C49,'21_W1_含水率'!E49,'21_W1_含水率'!G49,'21_W1_含水率'!I49))</x:f>
        <x:v>3.926830783214371</x:v>
      </x:c>
      <x:c r="H681" s="90" t="n">
        <x:f>IF(E681=0,"",MIN('21_W1_含水率'!C49,'21_W1_含水率'!E49,'21_W1_含水率'!G49,'21_W1_含水率'!I49))</x:f>
        <x:v>32.1</x:v>
      </x:c>
      <x:c r="I681" s="90" t="n">
        <x:f>IF(E681=0,"",MAX('21_W1_含水率'!C49,'21_W1_含水率'!E49,'21_W1_含水率'!G49,'21_W1_含水率'!I49))</x:f>
        <x:v>40.4</x:v>
      </x:c>
      <x:c r="J681" s="32" t="str">
        <x:v>%</x:v>
      </x:c>
    </x:row>
    <x:row r="682">
      <x:c r="A682" s="72" t="n">
        <x:v>46240.95894675926</x:v>
      </x:c>
      <x:c r="B682" s="32" t="str">
        <x:v>土壤含水率</x:v>
      </x:c>
      <x:c r="C682" s="32" t="str">
        <x:v>W1</x:v>
      </x:c>
      <x:c r="D682" s="32" t="str">
        <x:v>V1</x:v>
      </x:c>
      <x:c r="E682" s="86" t="n">
        <x:f>COUNT('21_W1_含水率'!B50,'21_W1_含水率'!D50,'21_W1_含水率'!F50,'21_W1_含水率'!H50)</x:f>
        <x:v>4</x:v>
      </x:c>
      <x:c r="F682" s="90" t="n">
        <x:f>IF(E682=0,"",AVERAGE('21_W1_含水率'!B50,'21_W1_含水率'!D50,'21_W1_含水率'!F50,'21_W1_含水率'!H50))</x:f>
        <x:v>37.925</x:v>
      </x:c>
      <x:c r="G682" s="90" t="n">
        <x:f>IF(E682&lt;2,"",STDEV.S('21_W1_含水率'!B50,'21_W1_含水率'!D50,'21_W1_含水率'!F50,'21_W1_含水率'!H50))</x:f>
        <x:v>1.7727097901235849</x:v>
      </x:c>
      <x:c r="H682" s="90" t="n">
        <x:f>IF(E682=0,"",MIN('21_W1_含水率'!B50,'21_W1_含水率'!D50,'21_W1_含水率'!F50,'21_W1_含水率'!H50))</x:f>
        <x:v>35.3</x:v>
      </x:c>
      <x:c r="I682" s="90" t="n">
        <x:f>IF(E682=0,"",MAX('21_W1_含水率'!B50,'21_W1_含水率'!D50,'21_W1_含水率'!F50,'21_W1_含水率'!H50))</x:f>
        <x:v>39</x:v>
      </x:c>
      <x:c r="J682" s="32" t="str">
        <x:v>%</x:v>
      </x:c>
    </x:row>
    <x:row r="683">
      <x:c r="A683" s="72" t="n">
        <x:v>46240.95894675926</x:v>
      </x:c>
      <x:c r="B683" s="32" t="str">
        <x:v>土壤含水率</x:v>
      </x:c>
      <x:c r="C683" s="32" t="str">
        <x:v>W1</x:v>
      </x:c>
      <x:c r="D683" s="32" t="str">
        <x:v>V2</x:v>
      </x:c>
      <x:c r="E683" s="86" t="n">
        <x:f>COUNT('21_W1_含水率'!C50,'21_W1_含水率'!E50,'21_W1_含水率'!G50,'21_W1_含水率'!I50)</x:f>
        <x:v>4</x:v>
      </x:c>
      <x:c r="F683" s="90" t="n">
        <x:f>IF(E683=0,"",AVERAGE('21_W1_含水率'!C50,'21_W1_含水率'!E50,'21_W1_含水率'!G50,'21_W1_含水率'!I50))</x:f>
        <x:v>36.925</x:v>
      </x:c>
      <x:c r="G683" s="90" t="n">
        <x:f>IF(E683&lt;2,"",STDEV.S('21_W1_含水率'!C50,'21_W1_含水率'!E50,'21_W1_含水率'!G50,'21_W1_含水率'!I50))</x:f>
        <x:v>3.822193959843831</x:v>
      </x:c>
      <x:c r="H683" s="90" t="n">
        <x:f>IF(E683=0,"",MIN('21_W1_含水率'!C50,'21_W1_含水率'!E50,'21_W1_含水率'!G50,'21_W1_含水率'!I50))</x:f>
        <x:v>32</x:v>
      </x:c>
      <x:c r="I683" s="90" t="n">
        <x:f>IF(E683=0,"",MAX('21_W1_含水率'!C50,'21_W1_含水率'!E50,'21_W1_含水率'!G50,'21_W1_含水率'!I50))</x:f>
        <x:v>40</x:v>
      </x:c>
      <x:c r="J683" s="32" t="str">
        <x:v>%</x:v>
      </x:c>
    </x:row>
    <x:row r="684">
      <x:c r="A684" s="72" t="n">
        <x:v>46240.96241898148</x:v>
      </x:c>
      <x:c r="B684" s="32" t="str">
        <x:v>土壤含水率</x:v>
      </x:c>
      <x:c r="C684" s="32" t="str">
        <x:v>W1</x:v>
      </x:c>
      <x:c r="D684" s="32" t="str">
        <x:v>V1</x:v>
      </x:c>
      <x:c r="E684" s="86" t="n">
        <x:f>COUNT('21_W1_含水率'!B51,'21_W1_含水率'!D51,'21_W1_含水率'!F51,'21_W1_含水率'!H51)</x:f>
        <x:v>4</x:v>
      </x:c>
      <x:c r="F684" s="90" t="n">
        <x:f>IF(E684=0,"",AVERAGE('21_W1_含水率'!B51,'21_W1_含水率'!D51,'21_W1_含水率'!F51,'21_W1_含水率'!H51))</x:f>
        <x:v>37.974999999999994</x:v>
      </x:c>
      <x:c r="G684" s="90" t="n">
        <x:f>IF(E684&lt;2,"",STDEV.S('21_W1_含水率'!B51,'21_W1_含水率'!D51,'21_W1_含水率'!F51,'21_W1_含水率'!H51))</x:f>
        <x:v>1.5370426148939416</x:v>
      </x:c>
      <x:c r="H684" s="90" t="n">
        <x:f>IF(E684=0,"",MIN('21_W1_含水率'!B51,'21_W1_含水率'!D51,'21_W1_含水率'!F51,'21_W1_含水率'!H51))</x:f>
        <x:v>35.8</x:v>
      </x:c>
      <x:c r="I684" s="90" t="n">
        <x:f>IF(E684=0,"",MAX('21_W1_含水率'!B51,'21_W1_含水率'!D51,'21_W1_含水率'!F51,'21_W1_含水率'!H51))</x:f>
        <x:v>39.2</x:v>
      </x:c>
      <x:c r="J684" s="32" t="str">
        <x:v>%</x:v>
      </x:c>
    </x:row>
    <x:row r="685">
      <x:c r="A685" s="72" t="n">
        <x:v>46240.96241898148</x:v>
      </x:c>
      <x:c r="B685" s="32" t="str">
        <x:v>土壤含水率</x:v>
      </x:c>
      <x:c r="C685" s="32" t="str">
        <x:v>W1</x:v>
      </x:c>
      <x:c r="D685" s="32" t="str">
        <x:v>V2</x:v>
      </x:c>
      <x:c r="E685" s="86" t="n">
        <x:f>COUNT('21_W1_含水率'!C51,'21_W1_含水率'!E51,'21_W1_含水率'!G51,'21_W1_含水率'!I51)</x:f>
        <x:v>4</x:v>
      </x:c>
      <x:c r="F685" s="90" t="n">
        <x:f>IF(E685=0,"",AVERAGE('21_W1_含水率'!C51,'21_W1_含水率'!E51,'21_W1_含水率'!G51,'21_W1_含水率'!I51))</x:f>
        <x:v>36.925</x:v>
      </x:c>
      <x:c r="G685" s="90" t="n">
        <x:f>IF(E685&lt;2,"",STDEV.S('21_W1_含水率'!C51,'21_W1_含水率'!E51,'21_W1_含水率'!G51,'21_W1_含水率'!I51))</x:f>
        <x:v>3.6618529007411897</x:v>
      </x:c>
      <x:c r="H685" s="90" t="n">
        <x:f>IF(E685=0,"",MIN('21_W1_含水率'!C51,'21_W1_含水率'!E51,'21_W1_含水率'!G51,'21_W1_含水率'!I51))</x:f>
        <x:v>32</x:v>
      </x:c>
      <x:c r="I685" s="90" t="n">
        <x:f>IF(E685=0,"",MAX('21_W1_含水率'!C51,'21_W1_含水率'!E51,'21_W1_含水率'!G51,'21_W1_含水率'!I51))</x:f>
        <x:v>40</x:v>
      </x:c>
      <x:c r="J685" s="32" t="str">
        <x:v>%</x:v>
      </x:c>
    </x:row>
    <x:row r="686">
      <x:c r="A686" s="72" t="n">
        <x:v>46240.965891203705</x:v>
      </x:c>
      <x:c r="B686" s="32" t="str">
        <x:v>土壤含水率</x:v>
      </x:c>
      <x:c r="C686" s="32" t="str">
        <x:v>W1</x:v>
      </x:c>
      <x:c r="D686" s="32" t="str">
        <x:v>V1</x:v>
      </x:c>
      <x:c r="E686" s="86" t="n">
        <x:f>COUNT('21_W1_含水率'!B52,'21_W1_含水率'!D52,'21_W1_含水率'!F52,'21_W1_含水率'!H52)</x:f>
        <x:v>4</x:v>
      </x:c>
      <x:c r="F686" s="90" t="n">
        <x:f>IF(E686=0,"",AVERAGE('21_W1_含水率'!B52,'21_W1_含水率'!D52,'21_W1_含水率'!F52,'21_W1_含水率'!H52))</x:f>
        <x:v>38</x:v>
      </x:c>
      <x:c r="G686" s="90" t="n">
        <x:f>IF(E686&lt;2,"",STDEV.S('21_W1_含水率'!B52,'21_W1_含水率'!D52,'21_W1_含水率'!F52,'21_W1_含水率'!H52))</x:f>
        <x:v>1.430617582258328</x:v>
      </x:c>
      <x:c r="H686" s="90" t="n">
        <x:f>IF(E686=0,"",MIN('21_W1_含水率'!B52,'21_W1_含水率'!D52,'21_W1_含水率'!F52,'21_W1_含水率'!H52))</x:f>
        <x:v>36.2</x:v>
      </x:c>
      <x:c r="I686" s="90" t="n">
        <x:f>IF(E686=0,"",MAX('21_W1_含水率'!B52,'21_W1_含水率'!D52,'21_W1_含水率'!F52,'21_W1_含水率'!H52))</x:f>
        <x:v>39.5</x:v>
      </x:c>
      <x:c r="J686" s="32" t="str">
        <x:v>%</x:v>
      </x:c>
    </x:row>
    <x:row r="687">
      <x:c r="A687" s="72" t="n">
        <x:v>46240.965891203705</x:v>
      </x:c>
      <x:c r="B687" s="32" t="str">
        <x:v>土壤含水率</x:v>
      </x:c>
      <x:c r="C687" s="32" t="str">
        <x:v>W1</x:v>
      </x:c>
      <x:c r="D687" s="32" t="str">
        <x:v>V2</x:v>
      </x:c>
      <x:c r="E687" s="86" t="n">
        <x:f>COUNT('21_W1_含水率'!C52,'21_W1_含水率'!E52,'21_W1_含水率'!G52,'21_W1_含水率'!I52)</x:f>
        <x:v>4</x:v>
      </x:c>
      <x:c r="F687" s="90" t="n">
        <x:f>IF(E687=0,"",AVERAGE('21_W1_含水率'!C52,'21_W1_含水率'!E52,'21_W1_含水率'!G52,'21_W1_含水率'!I52))</x:f>
        <x:v>36.974999999999994</x:v>
      </x:c>
      <x:c r="G687" s="90" t="n">
        <x:f>IF(E687&lt;2,"",STDEV.S('21_W1_含水率'!C52,'21_W1_含水率'!E52,'21_W1_含水率'!G52,'21_W1_含水率'!I52))</x:f>
        <x:v>3.4393555597912027</x:v>
      </x:c>
      <x:c r="H687" s="90" t="n">
        <x:f>IF(E687=0,"",MIN('21_W1_含水率'!C52,'21_W1_含水率'!E52,'21_W1_含水率'!G52,'21_W1_含水率'!I52))</x:f>
        <x:v>32.2</x:v>
      </x:c>
      <x:c r="I687" s="90" t="n">
        <x:f>IF(E687=0,"",MAX('21_W1_含水率'!C52,'21_W1_含水率'!E52,'21_W1_含水率'!G52,'21_W1_含水率'!I52))</x:f>
        <x:v>39.9</x:v>
      </x:c>
      <x:c r="J687" s="32" t="str">
        <x:v>%</x:v>
      </x:c>
    </x:row>
    <x:row r="688">
      <x:c r="A688" s="72" t="n">
        <x:v>46240.969363425924</x:v>
      </x:c>
      <x:c r="B688" s="32" t="str">
        <x:v>土壤含水率</x:v>
      </x:c>
      <x:c r="C688" s="32" t="str">
        <x:v>W1</x:v>
      </x:c>
      <x:c r="D688" s="32" t="str">
        <x:v>V1</x:v>
      </x:c>
      <x:c r="E688" s="86" t="n">
        <x:f>COUNT('21_W1_含水率'!B53,'21_W1_含水率'!D53,'21_W1_含水率'!F53,'21_W1_含水率'!H53)</x:f>
        <x:v>4</x:v>
      </x:c>
      <x:c r="F688" s="90" t="n">
        <x:f>IF(E688=0,"",AVERAGE('21_W1_含水率'!B53,'21_W1_含水率'!D53,'21_W1_含水率'!F53,'21_W1_含水率'!H53))</x:f>
        <x:v>38.05</x:v>
      </x:c>
      <x:c r="G688" s="90" t="n">
        <x:f>IF(E688&lt;2,"",STDEV.S('21_W1_含水率'!B53,'21_W1_含水率'!D53,'21_W1_含水率'!F53,'21_W1_含水率'!H53))</x:f>
        <x:v>1.4387494569938153</x:v>
      </x:c>
      <x:c r="H688" s="90" t="n">
        <x:f>IF(E688=0,"",MIN('21_W1_含水率'!B53,'21_W1_含水率'!D53,'21_W1_含水率'!F53,'21_W1_含水率'!H53))</x:f>
        <x:v>36.6</x:v>
      </x:c>
      <x:c r="I688" s="90" t="n">
        <x:f>IF(E688=0,"",MAX('21_W1_含水率'!B53,'21_W1_含水率'!D53,'21_W1_含水率'!F53,'21_W1_含水率'!H53))</x:f>
        <x:v>39.9</x:v>
      </x:c>
      <x:c r="J688" s="32" t="str">
        <x:v>%</x:v>
      </x:c>
    </x:row>
    <x:row r="689">
      <x:c r="A689" s="72" t="n">
        <x:v>46240.969363425924</x:v>
      </x:c>
      <x:c r="B689" s="32" t="str">
        <x:v>土壤含水率</x:v>
      </x:c>
      <x:c r="C689" s="32" t="str">
        <x:v>W1</x:v>
      </x:c>
      <x:c r="D689" s="32" t="str">
        <x:v>V2</x:v>
      </x:c>
      <x:c r="E689" s="86" t="n">
        <x:f>COUNT('21_W1_含水率'!C53,'21_W1_含水率'!E53,'21_W1_含水率'!G53,'21_W1_含水率'!I53)</x:f>
        <x:v>4</x:v>
      </x:c>
      <x:c r="F689" s="90" t="n">
        <x:f>IF(E689=0,"",AVERAGE('21_W1_含水率'!C53,'21_W1_含水率'!E53,'21_W1_含水率'!G53,'21_W1_含水率'!I53))</x:f>
        <x:v>37</x:v>
      </x:c>
      <x:c r="G689" s="90" t="n">
        <x:f>IF(E689&lt;2,"",STDEV.S('21_W1_含水率'!C53,'21_W1_含水率'!E53,'21_W1_含水率'!G53,'21_W1_含水率'!I53))</x:f>
        <x:v>3.169647719647512</x:v>
      </x:c>
      <x:c r="H689" s="90" t="n">
        <x:f>IF(E689=0,"",MIN('21_W1_含水率'!C53,'21_W1_含水率'!E53,'21_W1_含水率'!G53,'21_W1_含水率'!I53))</x:f>
        <x:v>32.5</x:v>
      </x:c>
      <x:c r="I689" s="90" t="n">
        <x:f>IF(E689=0,"",MAX('21_W1_含水率'!C53,'21_W1_含水率'!E53,'21_W1_含水率'!G53,'21_W1_含水率'!I53))</x:f>
        <x:v>39.7</x:v>
      </x:c>
      <x:c r="J689" s="32" t="str">
        <x:v>%</x:v>
      </x:c>
    </x:row>
    <x:row r="690">
      <x:c r="A690" s="72" t="n">
        <x:v>46240.80269675926</x:v>
      </x:c>
      <x:c r="B690" s="32" t="str">
        <x:v>土壤温度</x:v>
      </x:c>
      <x:c r="C690" s="32" t="str">
        <x:v>W1</x:v>
      </x:c>
      <x:c r="D690" s="32" t="str">
        <x:v>V1</x:v>
      </x:c>
      <x:c r="E690" s="86" t="n">
        <x:f>COUNT('22_W1_温度'!B5,'22_W1_温度'!D5,'22_W1_温度'!F5,'22_W1_温度'!H5)</x:f>
        <x:v>4</x:v>
      </x:c>
      <x:c r="F690" s="90" t="n">
        <x:f>IF(E690=0,"",AVERAGE('22_W1_温度'!B5,'22_W1_温度'!D5,'22_W1_温度'!F5,'22_W1_温度'!H5))</x:f>
        <x:v>25.125</x:v>
      </x:c>
      <x:c r="G690" s="90" t="n">
        <x:f>IF(E690&lt;2,"",STDEV.S('22_W1_温度'!B5,'22_W1_温度'!D5,'22_W1_温度'!F5,'22_W1_温度'!H5))</x:f>
        <x:v>0.41129875597510207</x:v>
      </x:c>
      <x:c r="H690" s="90" t="n">
        <x:f>IF(E690=0,"",MIN('22_W1_温度'!B5,'22_W1_温度'!D5,'22_W1_温度'!F5,'22_W1_温度'!H5))</x:f>
        <x:v>24.6</x:v>
      </x:c>
      <x:c r="I690" s="90" t="n">
        <x:f>IF(E690=0,"",MAX('22_W1_温度'!B5,'22_W1_温度'!D5,'22_W1_温度'!F5,'22_W1_温度'!H5))</x:f>
        <x:v>25.6</x:v>
      </x:c>
      <x:c r="J690" s="32" t="str">
        <x:v>℃</x:v>
      </x:c>
    </x:row>
    <x:row r="691">
      <x:c r="A691" s="72" t="n">
        <x:v>46240.80269675926</x:v>
      </x:c>
      <x:c r="B691" s="32" t="str">
        <x:v>土壤温度</x:v>
      </x:c>
      <x:c r="C691" s="32" t="str">
        <x:v>W1</x:v>
      </x:c>
      <x:c r="D691" s="32" t="str">
        <x:v>V2</x:v>
      </x:c>
      <x:c r="E691" s="86" t="n">
        <x:f>COUNT('22_W1_温度'!C5,'22_W1_温度'!E5,'22_W1_温度'!G5,'22_W1_温度'!I5)</x:f>
        <x:v>4</x:v>
      </x:c>
      <x:c r="F691" s="90" t="n">
        <x:f>IF(E691=0,"",AVERAGE('22_W1_温度'!C5,'22_W1_温度'!E5,'22_W1_温度'!G5,'22_W1_温度'!I5))</x:f>
        <x:v>25.125</x:v>
      </x:c>
      <x:c r="G691" s="90" t="n">
        <x:f>IF(E691&lt;2,"",STDEV.S('22_W1_温度'!C5,'22_W1_温度'!E5,'22_W1_温度'!G5,'22_W1_温度'!I5))</x:f>
        <x:v>0.4272001872658766</x:v>
      </x:c>
      <x:c r="H691" s="90" t="n">
        <x:f>IF(E691=0,"",MIN('22_W1_温度'!C5,'22_W1_温度'!E5,'22_W1_温度'!G5,'22_W1_温度'!I5))</x:f>
        <x:v>24.6</x:v>
      </x:c>
      <x:c r="I691" s="90" t="n">
        <x:f>IF(E691=0,"",MAX('22_W1_温度'!C5,'22_W1_温度'!E5,'22_W1_温度'!G5,'22_W1_温度'!I5))</x:f>
        <x:v>25.6</x:v>
      </x:c>
      <x:c r="J691" s="32" t="str">
        <x:v>℃</x:v>
      </x:c>
    </x:row>
    <x:row r="692">
      <x:c r="A692" s="72" t="n">
        <x:v>46240.80616898148</x:v>
      </x:c>
      <x:c r="B692" s="32" t="str">
        <x:v>土壤温度</x:v>
      </x:c>
      <x:c r="C692" s="32" t="str">
        <x:v>W1</x:v>
      </x:c>
      <x:c r="D692" s="32" t="str">
        <x:v>V1</x:v>
      </x:c>
      <x:c r="E692" s="86" t="n">
        <x:f>COUNT('22_W1_温度'!B6,'22_W1_温度'!D6,'22_W1_温度'!F6,'22_W1_温度'!H6)</x:f>
        <x:v>4</x:v>
      </x:c>
      <x:c r="F692" s="90" t="n">
        <x:f>IF(E692=0,"",AVERAGE('22_W1_温度'!B6,'22_W1_温度'!D6,'22_W1_温度'!F6,'22_W1_温度'!H6))</x:f>
        <x:v>25.125</x:v>
      </x:c>
      <x:c r="G692" s="90" t="n">
        <x:f>IF(E692&lt;2,"",STDEV.S('22_W1_温度'!B6,'22_W1_温度'!D6,'22_W1_温度'!F6,'22_W1_温度'!H6))</x:f>
        <x:v>0.41129875597510207</x:v>
      </x:c>
      <x:c r="H692" s="90" t="n">
        <x:f>IF(E692=0,"",MIN('22_W1_温度'!B6,'22_W1_温度'!D6,'22_W1_温度'!F6,'22_W1_温度'!H6))</x:f>
        <x:v>24.6</x:v>
      </x:c>
      <x:c r="I692" s="90" t="n">
        <x:f>IF(E692=0,"",MAX('22_W1_温度'!B6,'22_W1_温度'!D6,'22_W1_温度'!F6,'22_W1_温度'!H6))</x:f>
        <x:v>25.6</x:v>
      </x:c>
      <x:c r="J692" s="32" t="str">
        <x:v>℃</x:v>
      </x:c>
    </x:row>
    <x:row r="693">
      <x:c r="A693" s="72" t="n">
        <x:v>46240.80616898148</x:v>
      </x:c>
      <x:c r="B693" s="32" t="str">
        <x:v>土壤温度</x:v>
      </x:c>
      <x:c r="C693" s="32" t="str">
        <x:v>W1</x:v>
      </x:c>
      <x:c r="D693" s="32" t="str">
        <x:v>V2</x:v>
      </x:c>
      <x:c r="E693" s="86" t="n">
        <x:f>COUNT('22_W1_温度'!C6,'22_W1_温度'!E6,'22_W1_温度'!G6,'22_W1_温度'!I6)</x:f>
        <x:v>4</x:v>
      </x:c>
      <x:c r="F693" s="90" t="n">
        <x:f>IF(E693=0,"",AVERAGE('22_W1_温度'!C6,'22_W1_温度'!E6,'22_W1_温度'!G6,'22_W1_温度'!I6))</x:f>
        <x:v>25.125</x:v>
      </x:c>
      <x:c r="G693" s="90" t="n">
        <x:f>IF(E693&lt;2,"",STDEV.S('22_W1_温度'!C6,'22_W1_温度'!E6,'22_W1_温度'!G6,'22_W1_温度'!I6))</x:f>
        <x:v>0.41129875597510207</x:v>
      </x:c>
      <x:c r="H693" s="90" t="n">
        <x:f>IF(E693=0,"",MIN('22_W1_温度'!C6,'22_W1_温度'!E6,'22_W1_温度'!G6,'22_W1_温度'!I6))</x:f>
        <x:v>24.6</x:v>
      </x:c>
      <x:c r="I693" s="90" t="n">
        <x:f>IF(E693=0,"",MAX('22_W1_温度'!C6,'22_W1_温度'!E6,'22_W1_温度'!G6,'22_W1_温度'!I6))</x:f>
        <x:v>25.6</x:v>
      </x:c>
      <x:c r="J693" s="32" t="str">
        <x:v>℃</x:v>
      </x:c>
    </x:row>
    <x:row r="694">
      <x:c r="A694" s="72" t="n">
        <x:v>46240.809641203705</x:v>
      </x:c>
      <x:c r="B694" s="32" t="str">
        <x:v>土壤温度</x:v>
      </x:c>
      <x:c r="C694" s="32" t="str">
        <x:v>W1</x:v>
      </x:c>
      <x:c r="D694" s="32" t="str">
        <x:v>V1</x:v>
      </x:c>
      <x:c r="E694" s="86" t="n">
        <x:f>COUNT('22_W1_温度'!B7,'22_W1_温度'!D7,'22_W1_温度'!F7,'22_W1_温度'!H7)</x:f>
        <x:v>4</x:v>
      </x:c>
      <x:c r="F694" s="90" t="n">
        <x:f>IF(E694=0,"",AVERAGE('22_W1_温度'!B7,'22_W1_温度'!D7,'22_W1_温度'!F7,'22_W1_温度'!H7))</x:f>
        <x:v>25.125</x:v>
      </x:c>
      <x:c r="G694" s="90" t="n">
        <x:f>IF(E694&lt;2,"",STDEV.S('22_W1_温度'!B7,'22_W1_温度'!D7,'22_W1_温度'!F7,'22_W1_温度'!H7))</x:f>
        <x:v>0.4031128874149287</x:v>
      </x:c>
      <x:c r="H694" s="90" t="n">
        <x:f>IF(E694=0,"",MIN('22_W1_温度'!B7,'22_W1_温度'!D7,'22_W1_温度'!F7,'22_W1_温度'!H7))</x:f>
        <x:v>24.7</x:v>
      </x:c>
      <x:c r="I694" s="90" t="n">
        <x:f>IF(E694=0,"",MAX('22_W1_温度'!B7,'22_W1_温度'!D7,'22_W1_温度'!F7,'22_W1_温度'!H7))</x:f>
        <x:v>25.6</x:v>
      </x:c>
      <x:c r="J694" s="32" t="str">
        <x:v>℃</x:v>
      </x:c>
    </x:row>
    <x:row r="695">
      <x:c r="A695" s="72" t="n">
        <x:v>46240.809641203705</x:v>
      </x:c>
      <x:c r="B695" s="32" t="str">
        <x:v>土壤温度</x:v>
      </x:c>
      <x:c r="C695" s="32" t="str">
        <x:v>W1</x:v>
      </x:c>
      <x:c r="D695" s="32" t="str">
        <x:v>V2</x:v>
      </x:c>
      <x:c r="E695" s="86" t="n">
        <x:f>COUNT('22_W1_温度'!C7,'22_W1_温度'!E7,'22_W1_温度'!G7,'22_W1_温度'!I7)</x:f>
        <x:v>4</x:v>
      </x:c>
      <x:c r="F695" s="90" t="n">
        <x:f>IF(E695=0,"",AVERAGE('22_W1_温度'!C7,'22_W1_温度'!E7,'22_W1_温度'!G7,'22_W1_温度'!I7))</x:f>
        <x:v>25.125</x:v>
      </x:c>
      <x:c r="G695" s="90" t="n">
        <x:f>IF(E695&lt;2,"",STDEV.S('22_W1_温度'!C7,'22_W1_温度'!E7,'22_W1_温度'!G7,'22_W1_温度'!I7))</x:f>
        <x:v>0.41129875597510207</x:v>
      </x:c>
      <x:c r="H695" s="90" t="n">
        <x:f>IF(E695=0,"",MIN('22_W1_温度'!C7,'22_W1_温度'!E7,'22_W1_温度'!G7,'22_W1_温度'!I7))</x:f>
        <x:v>24.6</x:v>
      </x:c>
      <x:c r="I695" s="90" t="n">
        <x:f>IF(E695=0,"",MAX('22_W1_温度'!C7,'22_W1_温度'!E7,'22_W1_温度'!G7,'22_W1_温度'!I7))</x:f>
        <x:v>25.6</x:v>
      </x:c>
      <x:c r="J695" s="32" t="str">
        <x:v>℃</x:v>
      </x:c>
    </x:row>
    <x:row r="696">
      <x:c r="A696" s="72" t="n">
        <x:v>46240.813113425924</x:v>
      </x:c>
      <x:c r="B696" s="32" t="str">
        <x:v>土壤温度</x:v>
      </x:c>
      <x:c r="C696" s="32" t="str">
        <x:v>W1</x:v>
      </x:c>
      <x:c r="D696" s="32" t="str">
        <x:v>V1</x:v>
      </x:c>
      <x:c r="E696" s="86" t="n">
        <x:f>COUNT('22_W1_温度'!B8,'22_W1_温度'!D8,'22_W1_温度'!F8,'22_W1_温度'!H8)</x:f>
        <x:v>4</x:v>
      </x:c>
      <x:c r="F696" s="90" t="n">
        <x:f>IF(E696=0,"",AVERAGE('22_W1_温度'!B8,'22_W1_温度'!D8,'22_W1_温度'!F8,'22_W1_温度'!H8))</x:f>
        <x:v>25.099999999999998</x:v>
      </x:c>
      <x:c r="G696" s="90" t="n">
        <x:f>IF(E696&lt;2,"",STDEV.S('22_W1_温度'!B8,'22_W1_温度'!D8,'22_W1_温度'!F8,'22_W1_温度'!H8))</x:f>
        <x:v>0.40824829046386274</x:v>
      </x:c>
      <x:c r="H696" s="90" t="n">
        <x:f>IF(E696=0,"",MIN('22_W1_温度'!B8,'22_W1_温度'!D8,'22_W1_温度'!F8,'22_W1_温度'!H8))</x:f>
        <x:v>24.7</x:v>
      </x:c>
      <x:c r="I696" s="90" t="n">
        <x:f>IF(E696=0,"",MAX('22_W1_温度'!B8,'22_W1_温度'!D8,'22_W1_温度'!F8,'22_W1_温度'!H8))</x:f>
        <x:v>25.5</x:v>
      </x:c>
      <x:c r="J696" s="32" t="str">
        <x:v>℃</x:v>
      </x:c>
    </x:row>
    <x:row r="697">
      <x:c r="A697" s="72" t="n">
        <x:v>46240.813113425924</x:v>
      </x:c>
      <x:c r="B697" s="32" t="str">
        <x:v>土壤温度</x:v>
      </x:c>
      <x:c r="C697" s="32" t="str">
        <x:v>W1</x:v>
      </x:c>
      <x:c r="D697" s="32" t="str">
        <x:v>V2</x:v>
      </x:c>
      <x:c r="E697" s="86" t="n">
        <x:f>COUNT('22_W1_温度'!C8,'22_W1_温度'!E8,'22_W1_温度'!G8,'22_W1_温度'!I8)</x:f>
        <x:v>4</x:v>
      </x:c>
      <x:c r="F697" s="90" t="n">
        <x:f>IF(E697=0,"",AVERAGE('22_W1_温度'!C8,'22_W1_温度'!E8,'22_W1_温度'!G8,'22_W1_温度'!I8))</x:f>
        <x:v>25.125</x:v>
      </x:c>
      <x:c r="G697" s="90" t="n">
        <x:f>IF(E697&lt;2,"",STDEV.S('22_W1_温度'!C8,'22_W1_温度'!E8,'22_W1_温度'!G8,'22_W1_温度'!I8))</x:f>
        <x:v>0.4031128874149287</x:v>
      </x:c>
      <x:c r="H697" s="90" t="n">
        <x:f>IF(E697=0,"",MIN('22_W1_温度'!C8,'22_W1_温度'!E8,'22_W1_温度'!G8,'22_W1_温度'!I8))</x:f>
        <x:v>24.7</x:v>
      </x:c>
      <x:c r="I697" s="90" t="n">
        <x:f>IF(E697=0,"",MAX('22_W1_温度'!C8,'22_W1_温度'!E8,'22_W1_温度'!G8,'22_W1_温度'!I8))</x:f>
        <x:v>25.6</x:v>
      </x:c>
      <x:c r="J697" s="32" t="str">
        <x:v>℃</x:v>
      </x:c>
    </x:row>
    <x:row r="698">
      <x:c r="A698" s="72" t="n">
        <x:v>46240.81658564815</x:v>
      </x:c>
      <x:c r="B698" s="32" t="str">
        <x:v>土壤温度</x:v>
      </x:c>
      <x:c r="C698" s="32" t="str">
        <x:v>W1</x:v>
      </x:c>
      <x:c r="D698" s="32" t="str">
        <x:v>V1</x:v>
      </x:c>
      <x:c r="E698" s="86" t="n">
        <x:f>COUNT('22_W1_温度'!B9,'22_W1_温度'!D9,'22_W1_温度'!F9,'22_W1_温度'!H9)</x:f>
        <x:v>4</x:v>
      </x:c>
      <x:c r="F698" s="90" t="n">
        <x:f>IF(E698=0,"",AVERAGE('22_W1_温度'!B9,'22_W1_温度'!D9,'22_W1_温度'!F9,'22_W1_温度'!H9))</x:f>
        <x:v>25.099999999999998</x:v>
      </x:c>
      <x:c r="G698" s="90" t="n">
        <x:f>IF(E698&lt;2,"",STDEV.S('22_W1_温度'!B9,'22_W1_温度'!D9,'22_W1_温度'!F9,'22_W1_温度'!H9))</x:f>
        <x:v>0.40824829046386274</x:v>
      </x:c>
      <x:c r="H698" s="90" t="n">
        <x:f>IF(E698=0,"",MIN('22_W1_温度'!B9,'22_W1_温度'!D9,'22_W1_温度'!F9,'22_W1_温度'!H9))</x:f>
        <x:v>24.7</x:v>
      </x:c>
      <x:c r="I698" s="90" t="n">
        <x:f>IF(E698=0,"",MAX('22_W1_温度'!B9,'22_W1_温度'!D9,'22_W1_温度'!F9,'22_W1_温度'!H9))</x:f>
        <x:v>25.5</x:v>
      </x:c>
      <x:c r="J698" s="32" t="str">
        <x:v>℃</x:v>
      </x:c>
    </x:row>
    <x:row r="699">
      <x:c r="A699" s="72" t="n">
        <x:v>46240.81658564815</x:v>
      </x:c>
      <x:c r="B699" s="32" t="str">
        <x:v>土壤温度</x:v>
      </x:c>
      <x:c r="C699" s="32" t="str">
        <x:v>W1</x:v>
      </x:c>
      <x:c r="D699" s="32" t="str">
        <x:v>V2</x:v>
      </x:c>
      <x:c r="E699" s="86" t="n">
        <x:f>COUNT('22_W1_温度'!C9,'22_W1_温度'!E9,'22_W1_温度'!G9,'22_W1_温度'!I9)</x:f>
        <x:v>4</x:v>
      </x:c>
      <x:c r="F699" s="90" t="n">
        <x:f>IF(E699=0,"",AVERAGE('22_W1_温度'!C9,'22_W1_温度'!E9,'22_W1_温度'!G9,'22_W1_温度'!I9))</x:f>
        <x:v>25.099999999999998</x:v>
      </x:c>
      <x:c r="G699" s="90" t="n">
        <x:f>IF(E699&lt;2,"",STDEV.S('22_W1_温度'!C9,'22_W1_温度'!E9,'22_W1_温度'!G9,'22_W1_温度'!I9))</x:f>
        <x:v>0.40824829046386274</x:v>
      </x:c>
      <x:c r="H699" s="90" t="n">
        <x:f>IF(E699=0,"",MIN('22_W1_温度'!C9,'22_W1_温度'!E9,'22_W1_温度'!G9,'22_W1_温度'!I9))</x:f>
        <x:v>24.7</x:v>
      </x:c>
      <x:c r="I699" s="90" t="n">
        <x:f>IF(E699=0,"",MAX('22_W1_温度'!C9,'22_W1_温度'!E9,'22_W1_温度'!G9,'22_W1_温度'!I9))</x:f>
        <x:v>25.5</x:v>
      </x:c>
      <x:c r="J699" s="32" t="str">
        <x:v>℃</x:v>
      </x:c>
    </x:row>
    <x:row r="700">
      <x:c r="A700" s="72" t="n">
        <x:v>46240.82005787037</x:v>
      </x:c>
      <x:c r="B700" s="32" t="str">
        <x:v>土壤温度</x:v>
      </x:c>
      <x:c r="C700" s="32" t="str">
        <x:v>W1</x:v>
      </x:c>
      <x:c r="D700" s="32" t="str">
        <x:v>V1</x:v>
      </x:c>
      <x:c r="E700" s="86" t="n">
        <x:f>COUNT('22_W1_温度'!B10,'22_W1_温度'!D10,'22_W1_温度'!F10,'22_W1_温度'!H10)</x:f>
        <x:v>4</x:v>
      </x:c>
      <x:c r="F700" s="90" t="n">
        <x:f>IF(E700=0,"",AVERAGE('22_W1_温度'!B10,'22_W1_温度'!D10,'22_W1_温度'!F10,'22_W1_温度'!H10))</x:f>
        <x:v>25.15</x:v>
      </x:c>
      <x:c r="G700" s="90" t="n">
        <x:f>IF(E700&lt;2,"",STDEV.S('22_W1_温度'!B10,'22_W1_温度'!D10,'22_W1_温度'!F10,'22_W1_温度'!H10))</x:f>
        <x:v>0.3872983346207426</x:v>
      </x:c>
      <x:c r="H700" s="90" t="n">
        <x:f>IF(E700=0,"",MIN('22_W1_温度'!B10,'22_W1_温度'!D10,'22_W1_温度'!F10,'22_W1_温度'!H10))</x:f>
        <x:v>24.7</x:v>
      </x:c>
      <x:c r="I700" s="90" t="n">
        <x:f>IF(E700=0,"",MAX('22_W1_温度'!B10,'22_W1_温度'!D10,'22_W1_温度'!F10,'22_W1_温度'!H10))</x:f>
        <x:v>25.6</x:v>
      </x:c>
      <x:c r="J700" s="32" t="str">
        <x:v>℃</x:v>
      </x:c>
    </x:row>
    <x:row r="701">
      <x:c r="A701" s="72" t="n">
        <x:v>46240.82005787037</x:v>
      </x:c>
      <x:c r="B701" s="32" t="str">
        <x:v>土壤温度</x:v>
      </x:c>
      <x:c r="C701" s="32" t="str">
        <x:v>W1</x:v>
      </x:c>
      <x:c r="D701" s="32" t="str">
        <x:v>V2</x:v>
      </x:c>
      <x:c r="E701" s="86" t="n">
        <x:f>COUNT('22_W1_温度'!C10,'22_W1_温度'!E10,'22_W1_温度'!G10,'22_W1_温度'!I10)</x:f>
        <x:v>4</x:v>
      </x:c>
      <x:c r="F701" s="90" t="n">
        <x:f>IF(E701=0,"",AVERAGE('22_W1_温度'!C10,'22_W1_温度'!E10,'22_W1_温度'!G10,'22_W1_温度'!I10))</x:f>
        <x:v>25.099999999999998</x:v>
      </x:c>
      <x:c r="G701" s="90" t="n">
        <x:f>IF(E701&lt;2,"",STDEV.S('22_W1_温度'!C10,'22_W1_温度'!E10,'22_W1_温度'!G10,'22_W1_温度'!I10))</x:f>
        <x:v>0.40824829046386274</x:v>
      </x:c>
      <x:c r="H701" s="90" t="n">
        <x:f>IF(E701=0,"",MIN('22_W1_温度'!C10,'22_W1_温度'!E10,'22_W1_温度'!G10,'22_W1_温度'!I10))</x:f>
        <x:v>24.7</x:v>
      </x:c>
      <x:c r="I701" s="90" t="n">
        <x:f>IF(E701=0,"",MAX('22_W1_温度'!C10,'22_W1_温度'!E10,'22_W1_温度'!G10,'22_W1_温度'!I10))</x:f>
        <x:v>25.5</x:v>
      </x:c>
      <x:c r="J701" s="32" t="str">
        <x:v>℃</x:v>
      </x:c>
    </x:row>
    <x:row r="702">
      <x:c r="A702" s="72" t="n">
        <x:v>46240.823530092595</x:v>
      </x:c>
      <x:c r="B702" s="32" t="str">
        <x:v>土壤温度</x:v>
      </x:c>
      <x:c r="C702" s="32" t="str">
        <x:v>W1</x:v>
      </x:c>
      <x:c r="D702" s="32" t="str">
        <x:v>V1</x:v>
      </x:c>
      <x:c r="E702" s="86" t="n">
        <x:f>COUNT('22_W1_温度'!B11,'22_W1_温度'!D11,'22_W1_温度'!F11,'22_W1_温度'!H11)</x:f>
        <x:v>4</x:v>
      </x:c>
      <x:c r="F702" s="90" t="n">
        <x:f>IF(E702=0,"",AVERAGE('22_W1_温度'!B11,'22_W1_温度'!D11,'22_W1_温度'!F11,'22_W1_温度'!H11))</x:f>
        <x:v>25.125</x:v>
      </x:c>
      <x:c r="G702" s="90" t="n">
        <x:f>IF(E702&lt;2,"",STDEV.S('22_W1_温度'!B11,'22_W1_温度'!D11,'22_W1_温度'!F11,'22_W1_温度'!H11))</x:f>
        <x:v>0.41129875597510207</x:v>
      </x:c>
      <x:c r="H702" s="90" t="n">
        <x:f>IF(E702=0,"",MIN('22_W1_温度'!B11,'22_W1_温度'!D11,'22_W1_温度'!F11,'22_W1_温度'!H11))</x:f>
        <x:v>24.6</x:v>
      </x:c>
      <x:c r="I702" s="90" t="n">
        <x:f>IF(E702=0,"",MAX('22_W1_温度'!B11,'22_W1_温度'!D11,'22_W1_温度'!F11,'22_W1_温度'!H11))</x:f>
        <x:v>25.6</x:v>
      </x:c>
      <x:c r="J702" s="32" t="str">
        <x:v>℃</x:v>
      </x:c>
    </x:row>
    <x:row r="703">
      <x:c r="A703" s="72" t="n">
        <x:v>46240.823530092595</x:v>
      </x:c>
      <x:c r="B703" s="32" t="str">
        <x:v>土壤温度</x:v>
      </x:c>
      <x:c r="C703" s="32" t="str">
        <x:v>W1</x:v>
      </x:c>
      <x:c r="D703" s="32" t="str">
        <x:v>V2</x:v>
      </x:c>
      <x:c r="E703" s="86" t="n">
        <x:f>COUNT('22_W1_温度'!C11,'22_W1_温度'!E11,'22_W1_温度'!G11,'22_W1_温度'!I11)</x:f>
        <x:v>4</x:v>
      </x:c>
      <x:c r="F703" s="90" t="n">
        <x:f>IF(E703=0,"",AVERAGE('22_W1_温度'!C11,'22_W1_温度'!E11,'22_W1_温度'!G11,'22_W1_温度'!I11))</x:f>
        <x:v>25.15</x:v>
      </x:c>
      <x:c r="G703" s="90" t="n">
        <x:f>IF(E703&lt;2,"",STDEV.S('22_W1_温度'!C11,'22_W1_温度'!E11,'22_W1_温度'!G11,'22_W1_温度'!I11))</x:f>
        <x:v>0.3872983346207426</x:v>
      </x:c>
      <x:c r="H703" s="90" t="n">
        <x:f>IF(E703=0,"",MIN('22_W1_温度'!C11,'22_W1_温度'!E11,'22_W1_温度'!G11,'22_W1_温度'!I11))</x:f>
        <x:v>24.7</x:v>
      </x:c>
      <x:c r="I703" s="90" t="n">
        <x:f>IF(E703=0,"",MAX('22_W1_温度'!C11,'22_W1_温度'!E11,'22_W1_温度'!G11,'22_W1_温度'!I11))</x:f>
        <x:v>25.6</x:v>
      </x:c>
      <x:c r="J703" s="32" t="str">
        <x:v>℃</x:v>
      </x:c>
    </x:row>
    <x:row r="704">
      <x:c r="A704" s="72" t="n">
        <x:v>46240.827002314814</x:v>
      </x:c>
      <x:c r="B704" s="32" t="str">
        <x:v>土壤温度</x:v>
      </x:c>
      <x:c r="C704" s="32" t="str">
        <x:v>W1</x:v>
      </x:c>
      <x:c r="D704" s="32" t="str">
        <x:v>V1</x:v>
      </x:c>
      <x:c r="E704" s="86" t="n">
        <x:f>COUNT('22_W1_温度'!B12,'22_W1_温度'!D12,'22_W1_温度'!F12,'22_W1_温度'!H12)</x:f>
        <x:v>4</x:v>
      </x:c>
      <x:c r="F704" s="90" t="n">
        <x:f>IF(E704=0,"",AVERAGE('22_W1_温度'!B12,'22_W1_温度'!D12,'22_W1_温度'!F12,'22_W1_温度'!H12))</x:f>
        <x:v>25.125000000000004</x:v>
      </x:c>
      <x:c r="G704" s="90" t="n">
        <x:f>IF(E704&lt;2,"",STDEV.S('22_W1_温度'!B12,'22_W1_温度'!D12,'22_W1_温度'!F12,'22_W1_温度'!H12))</x:f>
        <x:v>0.41129875597510207</x:v>
      </x:c>
      <x:c r="H704" s="90" t="n">
        <x:f>IF(E704=0,"",MIN('22_W1_温度'!B12,'22_W1_温度'!D12,'22_W1_温度'!F12,'22_W1_温度'!H12))</x:f>
        <x:v>24.6</x:v>
      </x:c>
      <x:c r="I704" s="90" t="n">
        <x:f>IF(E704=0,"",MAX('22_W1_温度'!B12,'22_W1_温度'!D12,'22_W1_温度'!F12,'22_W1_温度'!H12))</x:f>
        <x:v>25.6</x:v>
      </x:c>
      <x:c r="J704" s="32" t="str">
        <x:v>℃</x:v>
      </x:c>
    </x:row>
    <x:row r="705">
      <x:c r="A705" s="72" t="n">
        <x:v>46240.827002314814</x:v>
      </x:c>
      <x:c r="B705" s="32" t="str">
        <x:v>土壤温度</x:v>
      </x:c>
      <x:c r="C705" s="32" t="str">
        <x:v>W1</x:v>
      </x:c>
      <x:c r="D705" s="32" t="str">
        <x:v>V2</x:v>
      </x:c>
      <x:c r="E705" s="86" t="n">
        <x:f>COUNT('22_W1_温度'!C12,'22_W1_温度'!E12,'22_W1_温度'!G12,'22_W1_温度'!I12)</x:f>
        <x:v>4</x:v>
      </x:c>
      <x:c r="F705" s="90" t="n">
        <x:f>IF(E705=0,"",AVERAGE('22_W1_温度'!C12,'22_W1_温度'!E12,'22_W1_温度'!G12,'22_W1_温度'!I12))</x:f>
        <x:v>25.125</x:v>
      </x:c>
      <x:c r="G705" s="90" t="n">
        <x:f>IF(E705&lt;2,"",STDEV.S('22_W1_温度'!C12,'22_W1_温度'!E12,'22_W1_温度'!G12,'22_W1_温度'!I12))</x:f>
        <x:v>0.41129875597510207</x:v>
      </x:c>
      <x:c r="H705" s="90" t="n">
        <x:f>IF(E705=0,"",MIN('22_W1_温度'!C12,'22_W1_温度'!E12,'22_W1_温度'!G12,'22_W1_温度'!I12))</x:f>
        <x:v>24.6</x:v>
      </x:c>
      <x:c r="I705" s="90" t="n">
        <x:f>IF(E705=0,"",MAX('22_W1_温度'!C12,'22_W1_温度'!E12,'22_W1_温度'!G12,'22_W1_温度'!I12))</x:f>
        <x:v>25.6</x:v>
      </x:c>
      <x:c r="J705" s="32" t="str">
        <x:v>℃</x:v>
      </x:c>
    </x:row>
    <x:row r="706">
      <x:c r="A706" s="72" t="n">
        <x:v>46240.83047453704</x:v>
      </x:c>
      <x:c r="B706" s="32" t="str">
        <x:v>土壤温度</x:v>
      </x:c>
      <x:c r="C706" s="32" t="str">
        <x:v>W1</x:v>
      </x:c>
      <x:c r="D706" s="32" t="str">
        <x:v>V1</x:v>
      </x:c>
      <x:c r="E706" s="86" t="n">
        <x:f>COUNT('22_W1_温度'!B13,'22_W1_温度'!D13,'22_W1_温度'!F13,'22_W1_温度'!H13)</x:f>
        <x:v>4</x:v>
      </x:c>
      <x:c r="F706" s="90" t="n">
        <x:f>IF(E706=0,"",AVERAGE('22_W1_温度'!B13,'22_W1_温度'!D13,'22_W1_温度'!F13,'22_W1_温度'!H13))</x:f>
        <x:v>25.099999999999998</x:v>
      </x:c>
      <x:c r="G706" s="90" t="n">
        <x:f>IF(E706&lt;2,"",STDEV.S('22_W1_温度'!B13,'22_W1_温度'!D13,'22_W1_温度'!F13,'22_W1_温度'!H13))</x:f>
        <x:v>0.4396968652757643</x:v>
      </x:c>
      <x:c r="H706" s="90" t="n">
        <x:f>IF(E706=0,"",MIN('22_W1_温度'!B13,'22_W1_温度'!D13,'22_W1_温度'!F13,'22_W1_温度'!H13))</x:f>
        <x:v>24.6</x:v>
      </x:c>
      <x:c r="I706" s="90" t="n">
        <x:f>IF(E706=0,"",MAX('22_W1_温度'!B13,'22_W1_温度'!D13,'22_W1_温度'!F13,'22_W1_温度'!H13))</x:f>
        <x:v>25.6</x:v>
      </x:c>
      <x:c r="J706" s="32" t="str">
        <x:v>℃</x:v>
      </x:c>
    </x:row>
    <x:row r="707">
      <x:c r="A707" s="72" t="n">
        <x:v>46240.83047453704</x:v>
      </x:c>
      <x:c r="B707" s="32" t="str">
        <x:v>土壤温度</x:v>
      </x:c>
      <x:c r="C707" s="32" t="str">
        <x:v>W1</x:v>
      </x:c>
      <x:c r="D707" s="32" t="str">
        <x:v>V2</x:v>
      </x:c>
      <x:c r="E707" s="86" t="n">
        <x:f>COUNT('22_W1_温度'!C13,'22_W1_温度'!E13,'22_W1_温度'!G13,'22_W1_温度'!I13)</x:f>
        <x:v>4</x:v>
      </x:c>
      <x:c r="F707" s="90" t="n">
        <x:f>IF(E707=0,"",AVERAGE('22_W1_温度'!C13,'22_W1_温度'!E13,'22_W1_温度'!G13,'22_W1_温度'!I13))</x:f>
        <x:v>25.125000000000004</x:v>
      </x:c>
      <x:c r="G707" s="90" t="n">
        <x:f>IF(E707&lt;2,"",STDEV.S('22_W1_温度'!C13,'22_W1_温度'!E13,'22_W1_温度'!G13,'22_W1_温度'!I13))</x:f>
        <x:v>0.41129875597510207</x:v>
      </x:c>
      <x:c r="H707" s="90" t="n">
        <x:f>IF(E707=0,"",MIN('22_W1_温度'!C13,'22_W1_温度'!E13,'22_W1_温度'!G13,'22_W1_温度'!I13))</x:f>
        <x:v>24.6</x:v>
      </x:c>
      <x:c r="I707" s="90" t="n">
        <x:f>IF(E707=0,"",MAX('22_W1_温度'!C13,'22_W1_温度'!E13,'22_W1_温度'!G13,'22_W1_温度'!I13))</x:f>
        <x:v>25.6</x:v>
      </x:c>
      <x:c r="J707" s="32" t="str">
        <x:v>℃</x:v>
      </x:c>
    </x:row>
    <x:row r="708">
      <x:c r="A708" s="72" t="n">
        <x:v>46240.83394675926</x:v>
      </x:c>
      <x:c r="B708" s="32" t="str">
        <x:v>土壤温度</x:v>
      </x:c>
      <x:c r="C708" s="32" t="str">
        <x:v>W1</x:v>
      </x:c>
      <x:c r="D708" s="32" t="str">
        <x:v>V1</x:v>
      </x:c>
      <x:c r="E708" s="86" t="n">
        <x:f>COUNT('22_W1_温度'!B14,'22_W1_温度'!D14,'22_W1_温度'!F14,'22_W1_温度'!H14)</x:f>
        <x:v>4</x:v>
      </x:c>
      <x:c r="F708" s="90" t="n">
        <x:f>IF(E708=0,"",AVERAGE('22_W1_温度'!B14,'22_W1_温度'!D14,'22_W1_温度'!F14,'22_W1_温度'!H14))</x:f>
        <x:v>25.1</x:v>
      </x:c>
      <x:c r="G708" s="90" t="n">
        <x:f>IF(E708&lt;2,"",STDEV.S('22_W1_温度'!B14,'22_W1_温度'!D14,'22_W1_温度'!F14,'22_W1_温度'!H14))</x:f>
        <x:v>0.40824829046386274</x:v>
      </x:c>
      <x:c r="H708" s="90" t="n">
        <x:f>IF(E708=0,"",MIN('22_W1_温度'!B14,'22_W1_温度'!D14,'22_W1_温度'!F14,'22_W1_温度'!H14))</x:f>
        <x:v>24.7</x:v>
      </x:c>
      <x:c r="I708" s="90" t="n">
        <x:f>IF(E708=0,"",MAX('22_W1_温度'!B14,'22_W1_温度'!D14,'22_W1_温度'!F14,'22_W1_温度'!H14))</x:f>
        <x:v>25.5</x:v>
      </x:c>
      <x:c r="J708" s="32" t="str">
        <x:v>℃</x:v>
      </x:c>
    </x:row>
    <x:row r="709">
      <x:c r="A709" s="72" t="n">
        <x:v>46240.83394675926</x:v>
      </x:c>
      <x:c r="B709" s="32" t="str">
        <x:v>土壤温度</x:v>
      </x:c>
      <x:c r="C709" s="32" t="str">
        <x:v>W1</x:v>
      </x:c>
      <x:c r="D709" s="32" t="str">
        <x:v>V2</x:v>
      </x:c>
      <x:c r="E709" s="86" t="n">
        <x:f>COUNT('22_W1_温度'!C14,'22_W1_温度'!E14,'22_W1_温度'!G14,'22_W1_温度'!I14)</x:f>
        <x:v>4</x:v>
      </x:c>
      <x:c r="F709" s="90" t="n">
        <x:f>IF(E709=0,"",AVERAGE('22_W1_温度'!C14,'22_W1_温度'!E14,'22_W1_温度'!G14,'22_W1_温度'!I14))</x:f>
        <x:v>25.099999999999998</x:v>
      </x:c>
      <x:c r="G709" s="90" t="n">
        <x:f>IF(E709&lt;2,"",STDEV.S('22_W1_温度'!C14,'22_W1_温度'!E14,'22_W1_温度'!G14,'22_W1_温度'!I14))</x:f>
        <x:v>0.4396968652757643</x:v>
      </x:c>
      <x:c r="H709" s="90" t="n">
        <x:f>IF(E709=0,"",MIN('22_W1_温度'!C14,'22_W1_温度'!E14,'22_W1_温度'!G14,'22_W1_温度'!I14))</x:f>
        <x:v>24.6</x:v>
      </x:c>
      <x:c r="I709" s="90" t="n">
        <x:f>IF(E709=0,"",MAX('22_W1_温度'!C14,'22_W1_温度'!E14,'22_W1_温度'!G14,'22_W1_温度'!I14))</x:f>
        <x:v>25.6</x:v>
      </x:c>
      <x:c r="J709" s="32" t="str">
        <x:v>℃</x:v>
      </x:c>
    </x:row>
    <x:row r="710">
      <x:c r="A710" s="72" t="n">
        <x:v>46240.83741898148</x:v>
      </x:c>
      <x:c r="B710" s="32" t="str">
        <x:v>土壤温度</x:v>
      </x:c>
      <x:c r="C710" s="32" t="str">
        <x:v>W1</x:v>
      </x:c>
      <x:c r="D710" s="32" t="str">
        <x:v>V1</x:v>
      </x:c>
      <x:c r="E710" s="86" t="n">
        <x:f>COUNT('22_W1_温度'!B15,'22_W1_温度'!D15,'22_W1_温度'!F15,'22_W1_温度'!H15)</x:f>
        <x:v>4</x:v>
      </x:c>
      <x:c r="F710" s="90" t="n">
        <x:f>IF(E710=0,"",AVERAGE('22_W1_温度'!B15,'22_W1_温度'!D15,'22_W1_温度'!F15,'22_W1_温度'!H15))</x:f>
        <x:v>25.075</x:v>
      </x:c>
      <x:c r="G710" s="90" t="n">
        <x:f>IF(E710&lt;2,"",STDEV.S('22_W1_温度'!B15,'22_W1_温度'!D15,'22_W1_温度'!F15,'22_W1_温度'!H15))</x:f>
        <x:v>0.4349329450233297</x:v>
      </x:c>
      <x:c r="H710" s="90" t="n">
        <x:f>IF(E710=0,"",MIN('22_W1_温度'!B15,'22_W1_温度'!D15,'22_W1_温度'!F15,'22_W1_温度'!H15))</x:f>
        <x:v>24.7</x:v>
      </x:c>
      <x:c r="I710" s="90" t="n">
        <x:f>IF(E710=0,"",MAX('22_W1_温度'!B15,'22_W1_温度'!D15,'22_W1_温度'!F15,'22_W1_温度'!H15))</x:f>
        <x:v>25.5</x:v>
      </x:c>
      <x:c r="J710" s="32" t="str">
        <x:v>℃</x:v>
      </x:c>
    </x:row>
    <x:row r="711">
      <x:c r="A711" s="72" t="n">
        <x:v>46240.83741898148</x:v>
      </x:c>
      <x:c r="B711" s="32" t="str">
        <x:v>土壤温度</x:v>
      </x:c>
      <x:c r="C711" s="32" t="str">
        <x:v>W1</x:v>
      </x:c>
      <x:c r="D711" s="32" t="str">
        <x:v>V2</x:v>
      </x:c>
      <x:c r="E711" s="86" t="n">
        <x:f>COUNT('22_W1_温度'!C15,'22_W1_温度'!E15,'22_W1_温度'!G15,'22_W1_温度'!I15)</x:f>
        <x:v>4</x:v>
      </x:c>
      <x:c r="F711" s="90" t="n">
        <x:f>IF(E711=0,"",AVERAGE('22_W1_温度'!C15,'22_W1_温度'!E15,'22_W1_温度'!G15,'22_W1_温度'!I15))</x:f>
        <x:v>25.1</x:v>
      </x:c>
      <x:c r="G711" s="90" t="n">
        <x:f>IF(E711&lt;2,"",STDEV.S('22_W1_温度'!C15,'22_W1_温度'!E15,'22_W1_温度'!G15,'22_W1_温度'!I15))</x:f>
        <x:v>0.40824829046386274</x:v>
      </x:c>
      <x:c r="H711" s="90" t="n">
        <x:f>IF(E711=0,"",MIN('22_W1_温度'!C15,'22_W1_温度'!E15,'22_W1_温度'!G15,'22_W1_温度'!I15))</x:f>
        <x:v>24.7</x:v>
      </x:c>
      <x:c r="I711" s="90" t="n">
        <x:f>IF(E711=0,"",MAX('22_W1_温度'!C15,'22_W1_温度'!E15,'22_W1_温度'!G15,'22_W1_温度'!I15))</x:f>
        <x:v>25.5</x:v>
      </x:c>
      <x:c r="J711" s="32" t="str">
        <x:v>℃</x:v>
      </x:c>
    </x:row>
    <x:row r="712">
      <x:c r="A712" s="72" t="n">
        <x:v>46240.840891203705</x:v>
      </x:c>
      <x:c r="B712" s="32" t="str">
        <x:v>土壤温度</x:v>
      </x:c>
      <x:c r="C712" s="32" t="str">
        <x:v>W1</x:v>
      </x:c>
      <x:c r="D712" s="32" t="str">
        <x:v>V1</x:v>
      </x:c>
      <x:c r="E712" s="86" t="n">
        <x:f>COUNT('22_W1_温度'!B16,'22_W1_温度'!D16,'22_W1_温度'!F16,'22_W1_温度'!H16)</x:f>
        <x:v>4</x:v>
      </x:c>
      <x:c r="F712" s="90" t="n">
        <x:f>IF(E712=0,"",AVERAGE('22_W1_温度'!B16,'22_W1_温度'!D16,'22_W1_温度'!F16,'22_W1_温度'!H16))</x:f>
        <x:v>25.1</x:v>
      </x:c>
      <x:c r="G712" s="90" t="n">
        <x:f>IF(E712&lt;2,"",STDEV.S('22_W1_温度'!B16,'22_W1_温度'!D16,'22_W1_温度'!F16,'22_W1_温度'!H16))</x:f>
        <x:v>0.42426406871192923</x:v>
      </x:c>
      <x:c r="H712" s="90" t="n">
        <x:f>IF(E712=0,"",MIN('22_W1_温度'!B16,'22_W1_温度'!D16,'22_W1_温度'!F16,'22_W1_温度'!H16))</x:f>
        <x:v>24.7</x:v>
      </x:c>
      <x:c r="I712" s="90" t="n">
        <x:f>IF(E712=0,"",MAX('22_W1_温度'!B16,'22_W1_温度'!D16,'22_W1_温度'!F16,'22_W1_温度'!H16))</x:f>
        <x:v>25.6</x:v>
      </x:c>
      <x:c r="J712" s="32" t="str">
        <x:v>℃</x:v>
      </x:c>
    </x:row>
    <x:row r="713">
      <x:c r="A713" s="72" t="n">
        <x:v>46240.840891203705</x:v>
      </x:c>
      <x:c r="B713" s="32" t="str">
        <x:v>土壤温度</x:v>
      </x:c>
      <x:c r="C713" s="32" t="str">
        <x:v>W1</x:v>
      </x:c>
      <x:c r="D713" s="32" t="str">
        <x:v>V2</x:v>
      </x:c>
      <x:c r="E713" s="86" t="n">
        <x:f>COUNT('22_W1_温度'!C16,'22_W1_温度'!E16,'22_W1_温度'!G16,'22_W1_温度'!I16)</x:f>
        <x:v>4</x:v>
      </x:c>
      <x:c r="F713" s="90" t="n">
        <x:f>IF(E713=0,"",AVERAGE('22_W1_温度'!C16,'22_W1_温度'!E16,'22_W1_温度'!G16,'22_W1_温度'!I16))</x:f>
        <x:v>25.075</x:v>
      </x:c>
      <x:c r="G713" s="90" t="n">
        <x:f>IF(E713&lt;2,"",STDEV.S('22_W1_温度'!C16,'22_W1_温度'!E16,'22_W1_温度'!G16,'22_W1_温度'!I16))</x:f>
        <x:v>0.4349329450233297</x:v>
      </x:c>
      <x:c r="H713" s="90" t="n">
        <x:f>IF(E713=0,"",MIN('22_W1_温度'!C16,'22_W1_温度'!E16,'22_W1_温度'!G16,'22_W1_温度'!I16))</x:f>
        <x:v>24.7</x:v>
      </x:c>
      <x:c r="I713" s="90" t="n">
        <x:f>IF(E713=0,"",MAX('22_W1_温度'!C16,'22_W1_温度'!E16,'22_W1_温度'!G16,'22_W1_温度'!I16))</x:f>
        <x:v>25.5</x:v>
      </x:c>
      <x:c r="J713" s="32" t="str">
        <x:v>℃</x:v>
      </x:c>
    </x:row>
    <x:row r="714">
      <x:c r="A714" s="72" t="n">
        <x:v>46240.844363425924</x:v>
      </x:c>
      <x:c r="B714" s="32" t="str">
        <x:v>土壤温度</x:v>
      </x:c>
      <x:c r="C714" s="32" t="str">
        <x:v>W1</x:v>
      </x:c>
      <x:c r="D714" s="32" t="str">
        <x:v>V1</x:v>
      </x:c>
      <x:c r="E714" s="86" t="n">
        <x:f>COUNT('22_W1_温度'!B17,'22_W1_温度'!D17,'22_W1_温度'!F17,'22_W1_温度'!H17)</x:f>
        <x:v>4</x:v>
      </x:c>
      <x:c r="F714" s="90" t="n">
        <x:f>IF(E714=0,"",AVERAGE('22_W1_温度'!B17,'22_W1_温度'!D17,'22_W1_温度'!F17,'22_W1_温度'!H17))</x:f>
        <x:v>25.075000000000003</x:v>
      </x:c>
      <x:c r="G714" s="90" t="n">
        <x:f>IF(E714&lt;2,"",STDEV.S('22_W1_温度'!B17,'22_W1_温度'!D17,'22_W1_温度'!F17,'22_W1_温度'!H17))</x:f>
        <x:v>0.4272001872658768</x:v>
      </x:c>
      <x:c r="H714" s="90" t="n">
        <x:f>IF(E714=0,"",MIN('22_W1_温度'!B17,'22_W1_温度'!D17,'22_W1_温度'!F17,'22_W1_温度'!H17))</x:f>
        <x:v>24.6</x:v>
      </x:c>
      <x:c r="I714" s="90" t="n">
        <x:f>IF(E714=0,"",MAX('22_W1_温度'!B17,'22_W1_温度'!D17,'22_W1_温度'!F17,'22_W1_温度'!H17))</x:f>
        <x:v>25.6</x:v>
      </x:c>
      <x:c r="J714" s="32" t="str">
        <x:v>℃</x:v>
      </x:c>
    </x:row>
    <x:row r="715">
      <x:c r="A715" s="72" t="n">
        <x:v>46240.844363425924</x:v>
      </x:c>
      <x:c r="B715" s="32" t="str">
        <x:v>土壤温度</x:v>
      </x:c>
      <x:c r="C715" s="32" t="str">
        <x:v>W1</x:v>
      </x:c>
      <x:c r="D715" s="32" t="str">
        <x:v>V2</x:v>
      </x:c>
      <x:c r="E715" s="86" t="n">
        <x:f>COUNT('22_W1_温度'!C17,'22_W1_温度'!E17,'22_W1_温度'!G17,'22_W1_温度'!I17)</x:f>
        <x:v>4</x:v>
      </x:c>
      <x:c r="F715" s="90" t="n">
        <x:f>IF(E715=0,"",AVERAGE('22_W1_温度'!C17,'22_W1_温度'!E17,'22_W1_温度'!G17,'22_W1_温度'!I17))</x:f>
        <x:v>25.1</x:v>
      </x:c>
      <x:c r="G715" s="90" t="n">
        <x:f>IF(E715&lt;2,"",STDEV.S('22_W1_温度'!C17,'22_W1_温度'!E17,'22_W1_温度'!G17,'22_W1_温度'!I17))</x:f>
        <x:v>0.42426406871192923</x:v>
      </x:c>
      <x:c r="H715" s="90" t="n">
        <x:f>IF(E715=0,"",MIN('22_W1_温度'!C17,'22_W1_温度'!E17,'22_W1_温度'!G17,'22_W1_温度'!I17))</x:f>
        <x:v>24.7</x:v>
      </x:c>
      <x:c r="I715" s="90" t="n">
        <x:f>IF(E715=0,"",MAX('22_W1_温度'!C17,'22_W1_温度'!E17,'22_W1_温度'!G17,'22_W1_温度'!I17))</x:f>
        <x:v>25.6</x:v>
      </x:c>
      <x:c r="J715" s="32" t="str">
        <x:v>℃</x:v>
      </x:c>
    </x:row>
    <x:row r="716">
      <x:c r="A716" s="72" t="n">
        <x:v>46240.84783564815</x:v>
      </x:c>
      <x:c r="B716" s="32" t="str">
        <x:v>土壤温度</x:v>
      </x:c>
      <x:c r="C716" s="32" t="str">
        <x:v>W1</x:v>
      </x:c>
      <x:c r="D716" s="32" t="str">
        <x:v>V1</x:v>
      </x:c>
      <x:c r="E716" s="86" t="n">
        <x:f>COUNT('22_W1_温度'!B18,'22_W1_温度'!D18,'22_W1_温度'!F18,'22_W1_温度'!H18)</x:f>
        <x:v>4</x:v>
      </x:c>
      <x:c r="F716" s="90" t="n">
        <x:f>IF(E716=0,"",AVERAGE('22_W1_温度'!B18,'22_W1_温度'!D18,'22_W1_温度'!F18,'22_W1_温度'!H18))</x:f>
        <x:v>25.1</x:v>
      </x:c>
      <x:c r="G716" s="90" t="n">
        <x:f>IF(E716&lt;2,"",STDEV.S('22_W1_温度'!B18,'22_W1_温度'!D18,'22_W1_温度'!F18,'22_W1_温度'!H18))</x:f>
        <x:v>0.408248290463863</x:v>
      </x:c>
      <x:c r="H716" s="90" t="n">
        <x:f>IF(E716=0,"",MIN('22_W1_温度'!B18,'22_W1_温度'!D18,'22_W1_温度'!F18,'22_W1_温度'!H18))</x:f>
        <x:v>24.6</x:v>
      </x:c>
      <x:c r="I716" s="90" t="n">
        <x:f>IF(E716=0,"",MAX('22_W1_温度'!B18,'22_W1_温度'!D18,'22_W1_温度'!F18,'22_W1_温度'!H18))</x:f>
        <x:v>25.6</x:v>
      </x:c>
      <x:c r="J716" s="32" t="str">
        <x:v>℃</x:v>
      </x:c>
    </x:row>
    <x:row r="717">
      <x:c r="A717" s="72" t="n">
        <x:v>46240.84783564815</x:v>
      </x:c>
      <x:c r="B717" s="32" t="str">
        <x:v>土壤温度</x:v>
      </x:c>
      <x:c r="C717" s="32" t="str">
        <x:v>W1</x:v>
      </x:c>
      <x:c r="D717" s="32" t="str">
        <x:v>V2</x:v>
      </x:c>
      <x:c r="E717" s="86" t="n">
        <x:f>COUNT('22_W1_温度'!C18,'22_W1_温度'!E18,'22_W1_温度'!G18,'22_W1_温度'!I18)</x:f>
        <x:v>4</x:v>
      </x:c>
      <x:c r="F717" s="90" t="n">
        <x:f>IF(E717=0,"",AVERAGE('22_W1_温度'!C18,'22_W1_温度'!E18,'22_W1_温度'!G18,'22_W1_温度'!I18))</x:f>
        <x:v>25.075000000000003</x:v>
      </x:c>
      <x:c r="G717" s="90" t="n">
        <x:f>IF(E717&lt;2,"",STDEV.S('22_W1_温度'!C18,'22_W1_温度'!E18,'22_W1_温度'!G18,'22_W1_温度'!I18))</x:f>
        <x:v>0.4272001872658768</x:v>
      </x:c>
      <x:c r="H717" s="90" t="n">
        <x:f>IF(E717=0,"",MIN('22_W1_温度'!C18,'22_W1_温度'!E18,'22_W1_温度'!G18,'22_W1_温度'!I18))</x:f>
        <x:v>24.6</x:v>
      </x:c>
      <x:c r="I717" s="90" t="n">
        <x:f>IF(E717=0,"",MAX('22_W1_温度'!C18,'22_W1_温度'!E18,'22_W1_温度'!G18,'22_W1_温度'!I18))</x:f>
        <x:v>25.6</x:v>
      </x:c>
      <x:c r="J717" s="32" t="str">
        <x:v>℃</x:v>
      </x:c>
    </x:row>
    <x:row r="718">
      <x:c r="A718" s="72" t="n">
        <x:v>46240.85130787037</x:v>
      </x:c>
      <x:c r="B718" s="32" t="str">
        <x:v>土壤温度</x:v>
      </x:c>
      <x:c r="C718" s="32" t="str">
        <x:v>W1</x:v>
      </x:c>
      <x:c r="D718" s="32" t="str">
        <x:v>V1</x:v>
      </x:c>
      <x:c r="E718" s="86" t="n">
        <x:f>COUNT('22_W1_温度'!B19,'22_W1_温度'!D19,'22_W1_温度'!F19,'22_W1_温度'!H19)</x:f>
        <x:v>4</x:v>
      </x:c>
      <x:c r="F718" s="90" t="n">
        <x:f>IF(E718=0,"",AVERAGE('22_W1_温度'!B19,'22_W1_温度'!D19,'22_W1_温度'!F19,'22_W1_温度'!H19))</x:f>
        <x:v>25.074999999999996</x:v>
      </x:c>
      <x:c r="G718" s="90" t="n">
        <x:f>IF(E718&lt;2,"",STDEV.S('22_W1_温度'!B19,'22_W1_温度'!D19,'22_W1_温度'!F19,'22_W1_温度'!H19))</x:f>
        <x:v>0.4272001872658767</x:v>
      </x:c>
      <x:c r="H718" s="90" t="n">
        <x:f>IF(E718=0,"",MIN('22_W1_温度'!B19,'22_W1_温度'!D19,'22_W1_温度'!F19,'22_W1_温度'!H19))</x:f>
        <x:v>24.6</x:v>
      </x:c>
      <x:c r="I718" s="90" t="n">
        <x:f>IF(E718=0,"",MAX('22_W1_温度'!B19,'22_W1_温度'!D19,'22_W1_温度'!F19,'22_W1_温度'!H19))</x:f>
        <x:v>25.6</x:v>
      </x:c>
      <x:c r="J718" s="32" t="str">
        <x:v>℃</x:v>
      </x:c>
    </x:row>
    <x:row r="719">
      <x:c r="A719" s="72" t="n">
        <x:v>46240.85130787037</x:v>
      </x:c>
      <x:c r="B719" s="32" t="str">
        <x:v>土壤温度</x:v>
      </x:c>
      <x:c r="C719" s="32" t="str">
        <x:v>W1</x:v>
      </x:c>
      <x:c r="D719" s="32" t="str">
        <x:v>V2</x:v>
      </x:c>
      <x:c r="E719" s="86" t="n">
        <x:f>COUNT('22_W1_温度'!C19,'22_W1_温度'!E19,'22_W1_温度'!G19,'22_W1_温度'!I19)</x:f>
        <x:v>4</x:v>
      </x:c>
      <x:c r="F719" s="90" t="n">
        <x:f>IF(E719=0,"",AVERAGE('22_W1_温度'!C19,'22_W1_温度'!E19,'22_W1_温度'!G19,'22_W1_温度'!I19))</x:f>
        <x:v>25.1</x:v>
      </x:c>
      <x:c r="G719" s="90" t="n">
        <x:f>IF(E719&lt;2,"",STDEV.S('22_W1_温度'!C19,'22_W1_温度'!E19,'22_W1_温度'!G19,'22_W1_温度'!I19))</x:f>
        <x:v>0.408248290463863</x:v>
      </x:c>
      <x:c r="H719" s="90" t="n">
        <x:f>IF(E719=0,"",MIN('22_W1_温度'!C19,'22_W1_温度'!E19,'22_W1_温度'!G19,'22_W1_温度'!I19))</x:f>
        <x:v>24.6</x:v>
      </x:c>
      <x:c r="I719" s="90" t="n">
        <x:f>IF(E719=0,"",MAX('22_W1_温度'!C19,'22_W1_温度'!E19,'22_W1_温度'!G19,'22_W1_温度'!I19))</x:f>
        <x:v>25.6</x:v>
      </x:c>
      <x:c r="J719" s="32" t="str">
        <x:v>℃</x:v>
      </x:c>
    </x:row>
    <x:row r="720">
      <x:c r="A720" s="72" t="n">
        <x:v>46240.854780092595</x:v>
      </x:c>
      <x:c r="B720" s="32" t="str">
        <x:v>土壤温度</x:v>
      </x:c>
      <x:c r="C720" s="32" t="str">
        <x:v>W1</x:v>
      </x:c>
      <x:c r="D720" s="32" t="str">
        <x:v>V1</x:v>
      </x:c>
      <x:c r="E720" s="86" t="n">
        <x:f>COUNT('22_W1_温度'!B20,'22_W1_温度'!D20,'22_W1_温度'!F20,'22_W1_温度'!H20)</x:f>
        <x:v>4</x:v>
      </x:c>
      <x:c r="F720" s="90" t="n">
        <x:f>IF(E720=0,"",AVERAGE('22_W1_温度'!B20,'22_W1_温度'!D20,'22_W1_温度'!F20,'22_W1_温度'!H20))</x:f>
        <x:v>25.075</x:v>
      </x:c>
      <x:c r="G720" s="90" t="n">
        <x:f>IF(E720&lt;2,"",STDEV.S('22_W1_温度'!B20,'22_W1_温度'!D20,'22_W1_温度'!F20,'22_W1_温度'!H20))</x:f>
        <x:v>0.38622100754188243</x:v>
      </x:c>
      <x:c r="H720" s="90" t="n">
        <x:f>IF(E720=0,"",MIN('22_W1_温度'!B20,'22_W1_温度'!D20,'22_W1_温度'!F20,'22_W1_温度'!H20))</x:f>
        <x:v>24.7</x:v>
      </x:c>
      <x:c r="I720" s="90" t="n">
        <x:f>IF(E720=0,"",MAX('22_W1_温度'!B20,'22_W1_温度'!D20,'22_W1_温度'!F20,'22_W1_温度'!H20))</x:f>
        <x:v>25.5</x:v>
      </x:c>
      <x:c r="J720" s="32" t="str">
        <x:v>℃</x:v>
      </x:c>
    </x:row>
    <x:row r="721">
      <x:c r="A721" s="72" t="n">
        <x:v>46240.854780092595</x:v>
      </x:c>
      <x:c r="B721" s="32" t="str">
        <x:v>土壤温度</x:v>
      </x:c>
      <x:c r="C721" s="32" t="str">
        <x:v>W1</x:v>
      </x:c>
      <x:c r="D721" s="32" t="str">
        <x:v>V2</x:v>
      </x:c>
      <x:c r="E721" s="86" t="n">
        <x:f>COUNT('22_W1_温度'!C20,'22_W1_温度'!E20,'22_W1_温度'!G20,'22_W1_温度'!I20)</x:f>
        <x:v>4</x:v>
      </x:c>
      <x:c r="F721" s="90" t="n">
        <x:f>IF(E721=0,"",AVERAGE('22_W1_温度'!C20,'22_W1_温度'!E20,'22_W1_温度'!G20,'22_W1_温度'!I20))</x:f>
        <x:v>25.074999999999996</x:v>
      </x:c>
      <x:c r="G721" s="90" t="n">
        <x:f>IF(E721&lt;2,"",STDEV.S('22_W1_温度'!C20,'22_W1_温度'!E20,'22_W1_温度'!G20,'22_W1_温度'!I20))</x:f>
        <x:v>0.4272001872658767</x:v>
      </x:c>
      <x:c r="H721" s="90" t="n">
        <x:f>IF(E721=0,"",MIN('22_W1_温度'!C20,'22_W1_温度'!E20,'22_W1_温度'!G20,'22_W1_温度'!I20))</x:f>
        <x:v>24.6</x:v>
      </x:c>
      <x:c r="I721" s="90" t="n">
        <x:f>IF(E721=0,"",MAX('22_W1_温度'!C20,'22_W1_温度'!E20,'22_W1_温度'!G20,'22_W1_温度'!I20))</x:f>
        <x:v>25.6</x:v>
      </x:c>
      <x:c r="J721" s="32" t="str">
        <x:v>℃</x:v>
      </x:c>
    </x:row>
    <x:row r="722">
      <x:c r="A722" s="72" t="n">
        <x:v>46240.858252314814</x:v>
      </x:c>
      <x:c r="B722" s="32" t="str">
        <x:v>土壤温度</x:v>
      </x:c>
      <x:c r="C722" s="32" t="str">
        <x:v>W1</x:v>
      </x:c>
      <x:c r="D722" s="32" t="str">
        <x:v>V1</x:v>
      </x:c>
      <x:c r="E722" s="86" t="n">
        <x:f>COUNT('22_W1_温度'!B21,'22_W1_温度'!D21,'22_W1_温度'!F21,'22_W1_温度'!H21)</x:f>
        <x:v>4</x:v>
      </x:c>
      <x:c r="F722" s="90" t="n">
        <x:f>IF(E722=0,"",AVERAGE('22_W1_温度'!B21,'22_W1_温度'!D21,'22_W1_温度'!F21,'22_W1_温度'!H21))</x:f>
        <x:v>25.049999999999997</x:v>
      </x:c>
      <x:c r="G722" s="90" t="n">
        <x:f>IF(E722&lt;2,"",STDEV.S('22_W1_温度'!B21,'22_W1_温度'!D21,'22_W1_温度'!F21,'22_W1_温度'!H21))</x:f>
        <x:v>0.4041451884327376</x:v>
      </x:c>
      <x:c r="H722" s="90" t="n">
        <x:f>IF(E722=0,"",MIN('22_W1_温度'!B21,'22_W1_温度'!D21,'22_W1_温度'!F21,'22_W1_温度'!H21))</x:f>
        <x:v>24.7</x:v>
      </x:c>
      <x:c r="I722" s="90" t="n">
        <x:f>IF(E722=0,"",MAX('22_W1_温度'!B21,'22_W1_温度'!D21,'22_W1_温度'!F21,'22_W1_温度'!H21))</x:f>
        <x:v>25.4</x:v>
      </x:c>
      <x:c r="J722" s="32" t="str">
        <x:v>℃</x:v>
      </x:c>
    </x:row>
    <x:row r="723">
      <x:c r="A723" s="72" t="n">
        <x:v>46240.858252314814</x:v>
      </x:c>
      <x:c r="B723" s="32" t="str">
        <x:v>土壤温度</x:v>
      </x:c>
      <x:c r="C723" s="32" t="str">
        <x:v>W1</x:v>
      </x:c>
      <x:c r="D723" s="32" t="str">
        <x:v>V2</x:v>
      </x:c>
      <x:c r="E723" s="86" t="n">
        <x:f>COUNT('22_W1_温度'!C21,'22_W1_温度'!E21,'22_W1_温度'!G21,'22_W1_温度'!I21)</x:f>
        <x:v>4</x:v>
      </x:c>
      <x:c r="F723" s="90" t="n">
        <x:f>IF(E723=0,"",AVERAGE('22_W1_温度'!C21,'22_W1_温度'!E21,'22_W1_温度'!G21,'22_W1_温度'!I21))</x:f>
        <x:v>25.075</x:v>
      </x:c>
      <x:c r="G723" s="90" t="n">
        <x:f>IF(E723&lt;2,"",STDEV.S('22_W1_温度'!C21,'22_W1_温度'!E21,'22_W1_温度'!G21,'22_W1_温度'!I21))</x:f>
        <x:v>0.38622100754188243</x:v>
      </x:c>
      <x:c r="H723" s="90" t="n">
        <x:f>IF(E723=0,"",MIN('22_W1_温度'!C21,'22_W1_温度'!E21,'22_W1_温度'!G21,'22_W1_温度'!I21))</x:f>
        <x:v>24.7</x:v>
      </x:c>
      <x:c r="I723" s="90" t="n">
        <x:f>IF(E723=0,"",MAX('22_W1_温度'!C21,'22_W1_温度'!E21,'22_W1_温度'!G21,'22_W1_温度'!I21))</x:f>
        <x:v>25.5</x:v>
      </x:c>
      <x:c r="J723" s="32" t="str">
        <x:v>℃</x:v>
      </x:c>
    </x:row>
    <x:row r="724">
      <x:c r="A724" s="72" t="n">
        <x:v>46240.86172453704</x:v>
      </x:c>
      <x:c r="B724" s="32" t="str">
        <x:v>土壤温度</x:v>
      </x:c>
      <x:c r="C724" s="32" t="str">
        <x:v>W1</x:v>
      </x:c>
      <x:c r="D724" s="32" t="str">
        <x:v>V1</x:v>
      </x:c>
      <x:c r="E724" s="86" t="n">
        <x:f>COUNT('22_W1_温度'!B22,'22_W1_温度'!D22,'22_W1_温度'!F22,'22_W1_温度'!H22)</x:f>
        <x:v>4</x:v>
      </x:c>
      <x:c r="F724" s="90" t="n">
        <x:f>IF(E724=0,"",AVERAGE('22_W1_温度'!B22,'22_W1_温度'!D22,'22_W1_温度'!F22,'22_W1_温度'!H22))</x:f>
        <x:v>25.075</x:v>
      </x:c>
      <x:c r="G724" s="90" t="n">
        <x:f>IF(E724&lt;2,"",STDEV.S('22_W1_温度'!B22,'22_W1_温度'!D22,'22_W1_温度'!F22,'22_W1_温度'!H22))</x:f>
        <x:v>0.38622100754188243</x:v>
      </x:c>
      <x:c r="H724" s="90" t="n">
        <x:f>IF(E724=0,"",MIN('22_W1_温度'!B22,'22_W1_温度'!D22,'22_W1_温度'!F22,'22_W1_温度'!H22))</x:f>
        <x:v>24.7</x:v>
      </x:c>
      <x:c r="I724" s="90" t="n">
        <x:f>IF(E724=0,"",MAX('22_W1_温度'!B22,'22_W1_温度'!D22,'22_W1_温度'!F22,'22_W1_温度'!H22))</x:f>
        <x:v>25.5</x:v>
      </x:c>
      <x:c r="J724" s="32" t="str">
        <x:v>℃</x:v>
      </x:c>
    </x:row>
    <x:row r="725">
      <x:c r="A725" s="72" t="n">
        <x:v>46240.86172453704</x:v>
      </x:c>
      <x:c r="B725" s="32" t="str">
        <x:v>土壤温度</x:v>
      </x:c>
      <x:c r="C725" s="32" t="str">
        <x:v>W1</x:v>
      </x:c>
      <x:c r="D725" s="32" t="str">
        <x:v>V2</x:v>
      </x:c>
      <x:c r="E725" s="86" t="n">
        <x:f>COUNT('22_W1_温度'!C22,'22_W1_温度'!E22,'22_W1_温度'!G22,'22_W1_温度'!I22)</x:f>
        <x:v>4</x:v>
      </x:c>
      <x:c r="F725" s="90" t="n">
        <x:f>IF(E725=0,"",AVERAGE('22_W1_温度'!C22,'22_W1_温度'!E22,'22_W1_温度'!G22,'22_W1_温度'!I22))</x:f>
        <x:v>25.049999999999997</x:v>
      </x:c>
      <x:c r="G725" s="90" t="n">
        <x:f>IF(E725&lt;2,"",STDEV.S('22_W1_温度'!C22,'22_W1_温度'!E22,'22_W1_温度'!G22,'22_W1_温度'!I22))</x:f>
        <x:v>0.4041451884327376</x:v>
      </x:c>
      <x:c r="H725" s="90" t="n">
        <x:f>IF(E725=0,"",MIN('22_W1_温度'!C22,'22_W1_温度'!E22,'22_W1_温度'!G22,'22_W1_温度'!I22))</x:f>
        <x:v>24.7</x:v>
      </x:c>
      <x:c r="I725" s="90" t="n">
        <x:f>IF(E725=0,"",MAX('22_W1_温度'!C22,'22_W1_温度'!E22,'22_W1_温度'!G22,'22_W1_温度'!I22))</x:f>
        <x:v>25.4</x:v>
      </x:c>
      <x:c r="J725" s="32" t="str">
        <x:v>℃</x:v>
      </x:c>
    </x:row>
    <x:row r="726">
      <x:c r="A726" s="72" t="n">
        <x:v>46240.86519675926</x:v>
      </x:c>
      <x:c r="B726" s="32" t="str">
        <x:v>土壤温度</x:v>
      </x:c>
      <x:c r="C726" s="32" t="str">
        <x:v>W1</x:v>
      </x:c>
      <x:c r="D726" s="32" t="str">
        <x:v>V1</x:v>
      </x:c>
      <x:c r="E726" s="86" t="n">
        <x:f>COUNT('22_W1_温度'!B23,'22_W1_温度'!D23,'22_W1_温度'!F23,'22_W1_温度'!H23)</x:f>
        <x:v>4</x:v>
      </x:c>
      <x:c r="F726" s="90" t="n">
        <x:f>IF(E726=0,"",AVERAGE('22_W1_温度'!B23,'22_W1_温度'!D23,'22_W1_温度'!F23,'22_W1_温度'!H23))</x:f>
        <x:v>25.075</x:v>
      </x:c>
      <x:c r="G726" s="90" t="n">
        <x:f>IF(E726&lt;2,"",STDEV.S('22_W1_温度'!B23,'22_W1_温度'!D23,'22_W1_温度'!F23,'22_W1_温度'!H23))</x:f>
        <x:v>0.4272001872658767</x:v>
      </x:c>
      <x:c r="H726" s="90" t="n">
        <x:f>IF(E726=0,"",MIN('22_W1_温度'!B23,'22_W1_温度'!D23,'22_W1_温度'!F23,'22_W1_温度'!H23))</x:f>
        <x:v>24.6</x:v>
      </x:c>
      <x:c r="I726" s="90" t="n">
        <x:f>IF(E726=0,"",MAX('22_W1_温度'!B23,'22_W1_温度'!D23,'22_W1_温度'!F23,'22_W1_温度'!H23))</x:f>
        <x:v>25.6</x:v>
      </x:c>
      <x:c r="J726" s="32" t="str">
        <x:v>℃</x:v>
      </x:c>
    </x:row>
    <x:row r="727">
      <x:c r="A727" s="72" t="n">
        <x:v>46240.86519675926</x:v>
      </x:c>
      <x:c r="B727" s="32" t="str">
        <x:v>土壤温度</x:v>
      </x:c>
      <x:c r="C727" s="32" t="str">
        <x:v>W1</x:v>
      </x:c>
      <x:c r="D727" s="32" t="str">
        <x:v>V2</x:v>
      </x:c>
      <x:c r="E727" s="86" t="n">
        <x:f>COUNT('22_W1_温度'!C23,'22_W1_温度'!E23,'22_W1_温度'!G23,'22_W1_温度'!I23)</x:f>
        <x:v>4</x:v>
      </x:c>
      <x:c r="F727" s="90" t="n">
        <x:f>IF(E727=0,"",AVERAGE('22_W1_温度'!C23,'22_W1_温度'!E23,'22_W1_温度'!G23,'22_W1_温度'!I23))</x:f>
        <x:v>25.075</x:v>
      </x:c>
      <x:c r="G727" s="90" t="n">
        <x:f>IF(E727&lt;2,"",STDEV.S('22_W1_温度'!C23,'22_W1_温度'!E23,'22_W1_温度'!G23,'22_W1_温度'!I23))</x:f>
        <x:v>0.38622100754188243</x:v>
      </x:c>
      <x:c r="H727" s="90" t="n">
        <x:f>IF(E727=0,"",MIN('22_W1_温度'!C23,'22_W1_温度'!E23,'22_W1_温度'!G23,'22_W1_温度'!I23))</x:f>
        <x:v>24.7</x:v>
      </x:c>
      <x:c r="I727" s="90" t="n">
        <x:f>IF(E727=0,"",MAX('22_W1_温度'!C23,'22_W1_温度'!E23,'22_W1_温度'!G23,'22_W1_温度'!I23))</x:f>
        <x:v>25.5</x:v>
      </x:c>
      <x:c r="J727" s="32" t="str">
        <x:v>℃</x:v>
      </x:c>
    </x:row>
    <x:row r="728">
      <x:c r="A728" s="72" t="n">
        <x:v>46240.86866898148</x:v>
      </x:c>
      <x:c r="B728" s="32" t="str">
        <x:v>土壤温度</x:v>
      </x:c>
      <x:c r="C728" s="32" t="str">
        <x:v>W1</x:v>
      </x:c>
      <x:c r="D728" s="32" t="str">
        <x:v>V1</x:v>
      </x:c>
      <x:c r="E728" s="86" t="n">
        <x:f>COUNT('22_W1_温度'!B24,'22_W1_温度'!D24,'22_W1_温度'!F24,'22_W1_温度'!H24)</x:f>
        <x:v>4</x:v>
      </x:c>
      <x:c r="F728" s="90" t="n">
        <x:f>IF(E728=0,"",AVERAGE('22_W1_温度'!B24,'22_W1_温度'!D24,'22_W1_温度'!F24,'22_W1_温度'!H24))</x:f>
        <x:v>25.1</x:v>
      </x:c>
      <x:c r="G728" s="90" t="n">
        <x:f>IF(E728&lt;2,"",STDEV.S('22_W1_温度'!B24,'22_W1_温度'!D24,'22_W1_温度'!F24,'22_W1_温度'!H24))</x:f>
        <x:v>0.408248290463863</x:v>
      </x:c>
      <x:c r="H728" s="90" t="n">
        <x:f>IF(E728=0,"",MIN('22_W1_温度'!B24,'22_W1_温度'!D24,'22_W1_温度'!F24,'22_W1_温度'!H24))</x:f>
        <x:v>24.6</x:v>
      </x:c>
      <x:c r="I728" s="90" t="n">
        <x:f>IF(E728=0,"",MAX('22_W1_温度'!B24,'22_W1_温度'!D24,'22_W1_温度'!F24,'22_W1_温度'!H24))</x:f>
        <x:v>25.6</x:v>
      </x:c>
      <x:c r="J728" s="32" t="str">
        <x:v>℃</x:v>
      </x:c>
    </x:row>
    <x:row r="729">
      <x:c r="A729" s="72" t="n">
        <x:v>46240.86866898148</x:v>
      </x:c>
      <x:c r="B729" s="32" t="str">
        <x:v>土壤温度</x:v>
      </x:c>
      <x:c r="C729" s="32" t="str">
        <x:v>W1</x:v>
      </x:c>
      <x:c r="D729" s="32" t="str">
        <x:v>V2</x:v>
      </x:c>
      <x:c r="E729" s="86" t="n">
        <x:f>COUNT('22_W1_温度'!C24,'22_W1_温度'!E24,'22_W1_温度'!G24,'22_W1_温度'!I24)</x:f>
        <x:v>4</x:v>
      </x:c>
      <x:c r="F729" s="90" t="n">
        <x:f>IF(E729=0,"",AVERAGE('22_W1_温度'!C24,'22_W1_温度'!E24,'22_W1_温度'!G24,'22_W1_温度'!I24))</x:f>
        <x:v>25.075</x:v>
      </x:c>
      <x:c r="G729" s="90" t="n">
        <x:f>IF(E729&lt;2,"",STDEV.S('22_W1_温度'!C24,'22_W1_温度'!E24,'22_W1_温度'!G24,'22_W1_温度'!I24))</x:f>
        <x:v>0.4272001872658767</x:v>
      </x:c>
      <x:c r="H729" s="90" t="n">
        <x:f>IF(E729=0,"",MIN('22_W1_温度'!C24,'22_W1_温度'!E24,'22_W1_温度'!G24,'22_W1_温度'!I24))</x:f>
        <x:v>24.6</x:v>
      </x:c>
      <x:c r="I729" s="90" t="n">
        <x:f>IF(E729=0,"",MAX('22_W1_温度'!C24,'22_W1_温度'!E24,'22_W1_温度'!G24,'22_W1_温度'!I24))</x:f>
        <x:v>25.6</x:v>
      </x:c>
      <x:c r="J729" s="32" t="str">
        <x:v>℃</x:v>
      </x:c>
    </x:row>
    <x:row r="730">
      <x:c r="A730" s="72" t="n">
        <x:v>46240.872141203705</x:v>
      </x:c>
      <x:c r="B730" s="32" t="str">
        <x:v>土壤温度</x:v>
      </x:c>
      <x:c r="C730" s="32" t="str">
        <x:v>W1</x:v>
      </x:c>
      <x:c r="D730" s="32" t="str">
        <x:v>V1</x:v>
      </x:c>
      <x:c r="E730" s="86" t="n">
        <x:f>COUNT('22_W1_温度'!B25,'22_W1_温度'!D25,'22_W1_温度'!F25,'22_W1_温度'!H25)</x:f>
        <x:v>4</x:v>
      </x:c>
      <x:c r="F730" s="90" t="n">
        <x:f>IF(E730=0,"",AVERAGE('22_W1_温度'!B25,'22_W1_温度'!D25,'22_W1_温度'!F25,'22_W1_温度'!H25))</x:f>
        <x:v>25.075000000000003</x:v>
      </x:c>
      <x:c r="G730" s="90" t="n">
        <x:f>IF(E730&lt;2,"",STDEV.S('22_W1_温度'!B25,'22_W1_温度'!D25,'22_W1_温度'!F25,'22_W1_温度'!H25))</x:f>
        <x:v>0.4272001872658767</x:v>
      </x:c>
      <x:c r="H730" s="90" t="n">
        <x:f>IF(E730=0,"",MIN('22_W1_温度'!B25,'22_W1_温度'!D25,'22_W1_温度'!F25,'22_W1_温度'!H25))</x:f>
        <x:v>24.6</x:v>
      </x:c>
      <x:c r="I730" s="90" t="n">
        <x:f>IF(E730=0,"",MAX('22_W1_温度'!B25,'22_W1_温度'!D25,'22_W1_温度'!F25,'22_W1_温度'!H25))</x:f>
        <x:v>25.6</x:v>
      </x:c>
      <x:c r="J730" s="32" t="str">
        <x:v>℃</x:v>
      </x:c>
    </x:row>
    <x:row r="731">
      <x:c r="A731" s="72" t="n">
        <x:v>46240.872141203705</x:v>
      </x:c>
      <x:c r="B731" s="32" t="str">
        <x:v>土壤温度</x:v>
      </x:c>
      <x:c r="C731" s="32" t="str">
        <x:v>W1</x:v>
      </x:c>
      <x:c r="D731" s="32" t="str">
        <x:v>V2</x:v>
      </x:c>
      <x:c r="E731" s="86" t="n">
        <x:f>COUNT('22_W1_温度'!C25,'22_W1_温度'!E25,'22_W1_温度'!G25,'22_W1_温度'!I25)</x:f>
        <x:v>4</x:v>
      </x:c>
      <x:c r="F731" s="90" t="n">
        <x:f>IF(E731=0,"",AVERAGE('22_W1_温度'!C25,'22_W1_温度'!E25,'22_W1_温度'!G25,'22_W1_温度'!I25))</x:f>
        <x:v>25.1</x:v>
      </x:c>
      <x:c r="G731" s="90" t="n">
        <x:f>IF(E731&lt;2,"",STDEV.S('22_W1_温度'!C25,'22_W1_温度'!E25,'22_W1_温度'!G25,'22_W1_温度'!I25))</x:f>
        <x:v>0.408248290463863</x:v>
      </x:c>
      <x:c r="H731" s="90" t="n">
        <x:f>IF(E731=0,"",MIN('22_W1_温度'!C25,'22_W1_温度'!E25,'22_W1_温度'!G25,'22_W1_温度'!I25))</x:f>
        <x:v>24.6</x:v>
      </x:c>
      <x:c r="I731" s="90" t="n">
        <x:f>IF(E731=0,"",MAX('22_W1_温度'!C25,'22_W1_温度'!E25,'22_W1_温度'!G25,'22_W1_温度'!I25))</x:f>
        <x:v>25.6</x:v>
      </x:c>
      <x:c r="J731" s="32" t="str">
        <x:v>℃</x:v>
      </x:c>
    </x:row>
    <x:row r="732">
      <x:c r="A732" s="72" t="n">
        <x:v>46240.875613425924</x:v>
      </x:c>
      <x:c r="B732" s="32" t="str">
        <x:v>土壤温度</x:v>
      </x:c>
      <x:c r="C732" s="32" t="str">
        <x:v>W1</x:v>
      </x:c>
      <x:c r="D732" s="32" t="str">
        <x:v>V1</x:v>
      </x:c>
      <x:c r="E732" s="86" t="n">
        <x:f>COUNT('22_W1_温度'!B26,'22_W1_温度'!D26,'22_W1_温度'!F26,'22_W1_温度'!H26)</x:f>
        <x:v>4</x:v>
      </x:c>
      <x:c r="F732" s="90" t="n">
        <x:f>IF(E732=0,"",AVERAGE('22_W1_温度'!B26,'22_W1_温度'!D26,'22_W1_温度'!F26,'22_W1_温度'!H26))</x:f>
        <x:v>25.1</x:v>
      </x:c>
      <x:c r="G732" s="90" t="n">
        <x:f>IF(E732&lt;2,"",STDEV.S('22_W1_温度'!B26,'22_W1_温度'!D26,'22_W1_温度'!F26,'22_W1_温度'!H26))</x:f>
        <x:v>0.42426406871192923</x:v>
      </x:c>
      <x:c r="H732" s="90" t="n">
        <x:f>IF(E732=0,"",MIN('22_W1_温度'!B26,'22_W1_温度'!D26,'22_W1_温度'!F26,'22_W1_温度'!H26))</x:f>
        <x:v>24.7</x:v>
      </x:c>
      <x:c r="I732" s="90" t="n">
        <x:f>IF(E732=0,"",MAX('22_W1_温度'!B26,'22_W1_温度'!D26,'22_W1_温度'!F26,'22_W1_温度'!H26))</x:f>
        <x:v>25.6</x:v>
      </x:c>
      <x:c r="J732" s="32" t="str">
        <x:v>℃</x:v>
      </x:c>
    </x:row>
    <x:row r="733">
      <x:c r="A733" s="72" t="n">
        <x:v>46240.875613425924</x:v>
      </x:c>
      <x:c r="B733" s="32" t="str">
        <x:v>土壤温度</x:v>
      </x:c>
      <x:c r="C733" s="32" t="str">
        <x:v>W1</x:v>
      </x:c>
      <x:c r="D733" s="32" t="str">
        <x:v>V2</x:v>
      </x:c>
      <x:c r="E733" s="86" t="n">
        <x:f>COUNT('22_W1_温度'!C26,'22_W1_温度'!E26,'22_W1_温度'!G26,'22_W1_温度'!I26)</x:f>
        <x:v>4</x:v>
      </x:c>
      <x:c r="F733" s="90" t="n">
        <x:f>IF(E733=0,"",AVERAGE('22_W1_温度'!C26,'22_W1_温度'!E26,'22_W1_温度'!G26,'22_W1_温度'!I26))</x:f>
        <x:v>25.075000000000003</x:v>
      </x:c>
      <x:c r="G733" s="90" t="n">
        <x:f>IF(E733&lt;2,"",STDEV.S('22_W1_温度'!C26,'22_W1_温度'!E26,'22_W1_温度'!G26,'22_W1_温度'!I26))</x:f>
        <x:v>0.4272001872658767</x:v>
      </x:c>
      <x:c r="H733" s="90" t="n">
        <x:f>IF(E733=0,"",MIN('22_W1_温度'!C26,'22_W1_温度'!E26,'22_W1_温度'!G26,'22_W1_温度'!I26))</x:f>
        <x:v>24.6</x:v>
      </x:c>
      <x:c r="I733" s="90" t="n">
        <x:f>IF(E733=0,"",MAX('22_W1_温度'!C26,'22_W1_温度'!E26,'22_W1_温度'!G26,'22_W1_温度'!I26))</x:f>
        <x:v>25.6</x:v>
      </x:c>
      <x:c r="J733" s="32" t="str">
        <x:v>℃</x:v>
      </x:c>
    </x:row>
    <x:row r="734">
      <x:c r="A734" s="72" t="n">
        <x:v>46240.87908564815</x:v>
      </x:c>
      <x:c r="B734" s="32" t="str">
        <x:v>土壤温度</x:v>
      </x:c>
      <x:c r="C734" s="32" t="str">
        <x:v>W1</x:v>
      </x:c>
      <x:c r="D734" s="32" t="str">
        <x:v>V1</x:v>
      </x:c>
      <x:c r="E734" s="86" t="n">
        <x:f>COUNT('22_W1_温度'!B27,'22_W1_温度'!D27,'22_W1_温度'!F27,'22_W1_温度'!H27)</x:f>
        <x:v>4</x:v>
      </x:c>
      <x:c r="F734" s="90" t="n">
        <x:f>IF(E734=0,"",AVERAGE('22_W1_温度'!B27,'22_W1_温度'!D27,'22_W1_温度'!F27,'22_W1_温度'!H27))</x:f>
        <x:v>25.075</x:v>
      </x:c>
      <x:c r="G734" s="90" t="n">
        <x:f>IF(E734&lt;2,"",STDEV.S('22_W1_温度'!B27,'22_W1_温度'!D27,'22_W1_温度'!F27,'22_W1_温度'!H27))</x:f>
        <x:v>0.4349329450233297</x:v>
      </x:c>
      <x:c r="H734" s="90" t="n">
        <x:f>IF(E734=0,"",MIN('22_W1_温度'!B27,'22_W1_温度'!D27,'22_W1_温度'!F27,'22_W1_温度'!H27))</x:f>
        <x:v>24.7</x:v>
      </x:c>
      <x:c r="I734" s="90" t="n">
        <x:f>IF(E734=0,"",MAX('22_W1_温度'!B27,'22_W1_温度'!D27,'22_W1_温度'!F27,'22_W1_温度'!H27))</x:f>
        <x:v>25.5</x:v>
      </x:c>
      <x:c r="J734" s="32" t="str">
        <x:v>℃</x:v>
      </x:c>
    </x:row>
    <x:row r="735">
      <x:c r="A735" s="72" t="n">
        <x:v>46240.87908564815</x:v>
      </x:c>
      <x:c r="B735" s="32" t="str">
        <x:v>土壤温度</x:v>
      </x:c>
      <x:c r="C735" s="32" t="str">
        <x:v>W1</x:v>
      </x:c>
      <x:c r="D735" s="32" t="str">
        <x:v>V2</x:v>
      </x:c>
      <x:c r="E735" s="86" t="n">
        <x:f>COUNT('22_W1_温度'!C27,'22_W1_温度'!E27,'22_W1_温度'!G27,'22_W1_温度'!I27)</x:f>
        <x:v>4</x:v>
      </x:c>
      <x:c r="F735" s="90" t="n">
        <x:f>IF(E735=0,"",AVERAGE('22_W1_温度'!C27,'22_W1_温度'!E27,'22_W1_温度'!G27,'22_W1_温度'!I27))</x:f>
        <x:v>25.1</x:v>
      </x:c>
      <x:c r="G735" s="90" t="n">
        <x:f>IF(E735&lt;2,"",STDEV.S('22_W1_温度'!C27,'22_W1_温度'!E27,'22_W1_温度'!G27,'22_W1_温度'!I27))</x:f>
        <x:v>0.42426406871192923</x:v>
      </x:c>
      <x:c r="H735" s="90" t="n">
        <x:f>IF(E735=0,"",MIN('22_W1_温度'!C27,'22_W1_温度'!E27,'22_W1_温度'!G27,'22_W1_温度'!I27))</x:f>
        <x:v>24.7</x:v>
      </x:c>
      <x:c r="I735" s="90" t="n">
        <x:f>IF(E735=0,"",MAX('22_W1_温度'!C27,'22_W1_温度'!E27,'22_W1_温度'!G27,'22_W1_温度'!I27))</x:f>
        <x:v>25.6</x:v>
      </x:c>
      <x:c r="J735" s="32" t="str">
        <x:v>℃</x:v>
      </x:c>
    </x:row>
    <x:row r="736">
      <x:c r="A736" s="72" t="n">
        <x:v>46240.88255787037</x:v>
      </x:c>
      <x:c r="B736" s="32" t="str">
        <x:v>土壤温度</x:v>
      </x:c>
      <x:c r="C736" s="32" t="str">
        <x:v>W1</x:v>
      </x:c>
      <x:c r="D736" s="32" t="str">
        <x:v>V1</x:v>
      </x:c>
      <x:c r="E736" s="86" t="n">
        <x:f>COUNT('22_W1_温度'!B28,'22_W1_温度'!D28,'22_W1_温度'!F28,'22_W1_温度'!H28)</x:f>
        <x:v>4</x:v>
      </x:c>
      <x:c r="F736" s="90" t="n">
        <x:f>IF(E736=0,"",AVERAGE('22_W1_温度'!B28,'22_W1_温度'!D28,'22_W1_温度'!F28,'22_W1_温度'!H28))</x:f>
        <x:v>25.1</x:v>
      </x:c>
      <x:c r="G736" s="90" t="n">
        <x:f>IF(E736&lt;2,"",STDEV.S('22_W1_温度'!B28,'22_W1_温度'!D28,'22_W1_温度'!F28,'22_W1_温度'!H28))</x:f>
        <x:v>0.40824829046386274</x:v>
      </x:c>
      <x:c r="H736" s="90" t="n">
        <x:f>IF(E736=0,"",MIN('22_W1_温度'!B28,'22_W1_温度'!D28,'22_W1_温度'!F28,'22_W1_温度'!H28))</x:f>
        <x:v>24.7</x:v>
      </x:c>
      <x:c r="I736" s="90" t="n">
        <x:f>IF(E736=0,"",MAX('22_W1_温度'!B28,'22_W1_温度'!D28,'22_W1_温度'!F28,'22_W1_温度'!H28))</x:f>
        <x:v>25.5</x:v>
      </x:c>
      <x:c r="J736" s="32" t="str">
        <x:v>℃</x:v>
      </x:c>
    </x:row>
    <x:row r="737">
      <x:c r="A737" s="72" t="n">
        <x:v>46240.88255787037</x:v>
      </x:c>
      <x:c r="B737" s="32" t="str">
        <x:v>土壤温度</x:v>
      </x:c>
      <x:c r="C737" s="32" t="str">
        <x:v>W1</x:v>
      </x:c>
      <x:c r="D737" s="32" t="str">
        <x:v>V2</x:v>
      </x:c>
      <x:c r="E737" s="86" t="n">
        <x:f>COUNT('22_W1_温度'!C28,'22_W1_温度'!E28,'22_W1_温度'!G28,'22_W1_温度'!I28)</x:f>
        <x:v>4</x:v>
      </x:c>
      <x:c r="F737" s="90" t="n">
        <x:f>IF(E737=0,"",AVERAGE('22_W1_温度'!C28,'22_W1_温度'!E28,'22_W1_温度'!G28,'22_W1_温度'!I28))</x:f>
        <x:v>25.075</x:v>
      </x:c>
      <x:c r="G737" s="90" t="n">
        <x:f>IF(E737&lt;2,"",STDEV.S('22_W1_温度'!C28,'22_W1_温度'!E28,'22_W1_温度'!G28,'22_W1_温度'!I28))</x:f>
        <x:v>0.4349329450233297</x:v>
      </x:c>
      <x:c r="H737" s="90" t="n">
        <x:f>IF(E737=0,"",MIN('22_W1_温度'!C28,'22_W1_温度'!E28,'22_W1_温度'!G28,'22_W1_温度'!I28))</x:f>
        <x:v>24.7</x:v>
      </x:c>
      <x:c r="I737" s="90" t="n">
        <x:f>IF(E737=0,"",MAX('22_W1_温度'!C28,'22_W1_温度'!E28,'22_W1_温度'!G28,'22_W1_温度'!I28))</x:f>
        <x:v>25.5</x:v>
      </x:c>
      <x:c r="J737" s="32" t="str">
        <x:v>℃</x:v>
      </x:c>
    </x:row>
    <x:row r="738">
      <x:c r="A738" s="72" t="n">
        <x:v>46240.886030092595</x:v>
      </x:c>
      <x:c r="B738" s="32" t="str">
        <x:v>土壤温度</x:v>
      </x:c>
      <x:c r="C738" s="32" t="str">
        <x:v>W1</x:v>
      </x:c>
      <x:c r="D738" s="32" t="str">
        <x:v>V1</x:v>
      </x:c>
      <x:c r="E738" s="86" t="n">
        <x:f>COUNT('22_W1_温度'!B29,'22_W1_温度'!D29,'22_W1_温度'!F29,'22_W1_温度'!H29)</x:f>
        <x:v>4</x:v>
      </x:c>
      <x:c r="F738" s="90" t="n">
        <x:f>IF(E738=0,"",AVERAGE('22_W1_温度'!B29,'22_W1_温度'!D29,'22_W1_温度'!F29,'22_W1_温度'!H29))</x:f>
        <x:v>25.1</x:v>
      </x:c>
      <x:c r="G738" s="90" t="n">
        <x:f>IF(E738&lt;2,"",STDEV.S('22_W1_温度'!B29,'22_W1_温度'!D29,'22_W1_温度'!F29,'22_W1_温度'!H29))</x:f>
        <x:v>0.4396968652757643</x:v>
      </x:c>
      <x:c r="H738" s="90" t="n">
        <x:f>IF(E738=0,"",MIN('22_W1_温度'!B29,'22_W1_温度'!D29,'22_W1_温度'!F29,'22_W1_温度'!H29))</x:f>
        <x:v>24.6</x:v>
      </x:c>
      <x:c r="I738" s="90" t="n">
        <x:f>IF(E738=0,"",MAX('22_W1_温度'!B29,'22_W1_温度'!D29,'22_W1_温度'!F29,'22_W1_温度'!H29))</x:f>
        <x:v>25.6</x:v>
      </x:c>
      <x:c r="J738" s="32" t="str">
        <x:v>℃</x:v>
      </x:c>
    </x:row>
    <x:row r="739">
      <x:c r="A739" s="72" t="n">
        <x:v>46240.886030092595</x:v>
      </x:c>
      <x:c r="B739" s="32" t="str">
        <x:v>土壤温度</x:v>
      </x:c>
      <x:c r="C739" s="32" t="str">
        <x:v>W1</x:v>
      </x:c>
      <x:c r="D739" s="32" t="str">
        <x:v>V2</x:v>
      </x:c>
      <x:c r="E739" s="86" t="n">
        <x:f>COUNT('22_W1_温度'!C29,'22_W1_温度'!E29,'22_W1_温度'!G29,'22_W1_温度'!I29)</x:f>
        <x:v>4</x:v>
      </x:c>
      <x:c r="F739" s="90" t="n">
        <x:f>IF(E739=0,"",AVERAGE('22_W1_温度'!C29,'22_W1_温度'!E29,'22_W1_温度'!G29,'22_W1_温度'!I29))</x:f>
        <x:v>25.1</x:v>
      </x:c>
      <x:c r="G739" s="90" t="n">
        <x:f>IF(E739&lt;2,"",STDEV.S('22_W1_温度'!C29,'22_W1_温度'!E29,'22_W1_温度'!G29,'22_W1_温度'!I29))</x:f>
        <x:v>0.40824829046386274</x:v>
      </x:c>
      <x:c r="H739" s="90" t="n">
        <x:f>IF(E739=0,"",MIN('22_W1_温度'!C29,'22_W1_温度'!E29,'22_W1_温度'!G29,'22_W1_温度'!I29))</x:f>
        <x:v>24.7</x:v>
      </x:c>
      <x:c r="I739" s="90" t="n">
        <x:f>IF(E739=0,"",MAX('22_W1_温度'!C29,'22_W1_温度'!E29,'22_W1_温度'!G29,'22_W1_温度'!I29))</x:f>
        <x:v>25.5</x:v>
      </x:c>
      <x:c r="J739" s="32" t="str">
        <x:v>℃</x:v>
      </x:c>
    </x:row>
    <x:row r="740">
      <x:c r="A740" s="72" t="n">
        <x:v>46240.889502314814</x:v>
      </x:c>
      <x:c r="B740" s="32" t="str">
        <x:v>土壤温度</x:v>
      </x:c>
      <x:c r="C740" s="32" t="str">
        <x:v>W1</x:v>
      </x:c>
      <x:c r="D740" s="32" t="str">
        <x:v>V1</x:v>
      </x:c>
      <x:c r="E740" s="86" t="n">
        <x:f>COUNT('22_W1_温度'!B30,'22_W1_温度'!D30,'22_W1_温度'!F30,'22_W1_温度'!H30)</x:f>
        <x:v>4</x:v>
      </x:c>
      <x:c r="F740" s="90" t="n">
        <x:f>IF(E740=0,"",AVERAGE('22_W1_温度'!B30,'22_W1_温度'!D30,'22_W1_温度'!F30,'22_W1_温度'!H30))</x:f>
        <x:v>25.125</x:v>
      </x:c>
      <x:c r="G740" s="90" t="n">
        <x:f>IF(E740&lt;2,"",STDEV.S('22_W1_温度'!B30,'22_W1_温度'!D30,'22_W1_温度'!F30,'22_W1_温度'!H30))</x:f>
        <x:v>0.41129875597510207</x:v>
      </x:c>
      <x:c r="H740" s="90" t="n">
        <x:f>IF(E740=0,"",MIN('22_W1_温度'!B30,'22_W1_温度'!D30,'22_W1_温度'!F30,'22_W1_温度'!H30))</x:f>
        <x:v>24.6</x:v>
      </x:c>
      <x:c r="I740" s="90" t="n">
        <x:f>IF(E740=0,"",MAX('22_W1_温度'!B30,'22_W1_温度'!D30,'22_W1_温度'!F30,'22_W1_温度'!H30))</x:f>
        <x:v>25.6</x:v>
      </x:c>
      <x:c r="J740" s="32" t="str">
        <x:v>℃</x:v>
      </x:c>
    </x:row>
    <x:row r="741">
      <x:c r="A741" s="72" t="n">
        <x:v>46240.889502314814</x:v>
      </x:c>
      <x:c r="B741" s="32" t="str">
        <x:v>土壤温度</x:v>
      </x:c>
      <x:c r="C741" s="32" t="str">
        <x:v>W1</x:v>
      </x:c>
      <x:c r="D741" s="32" t="str">
        <x:v>V2</x:v>
      </x:c>
      <x:c r="E741" s="86" t="n">
        <x:f>COUNT('22_W1_温度'!C30,'22_W1_温度'!E30,'22_W1_温度'!G30,'22_W1_温度'!I30)</x:f>
        <x:v>4</x:v>
      </x:c>
      <x:c r="F741" s="90" t="n">
        <x:f>IF(E741=0,"",AVERAGE('22_W1_温度'!C30,'22_W1_温度'!E30,'22_W1_温度'!G30,'22_W1_温度'!I30))</x:f>
        <x:v>25.1</x:v>
      </x:c>
      <x:c r="G741" s="90" t="n">
        <x:f>IF(E741&lt;2,"",STDEV.S('22_W1_温度'!C30,'22_W1_温度'!E30,'22_W1_温度'!G30,'22_W1_温度'!I30))</x:f>
        <x:v>0.4396968652757643</x:v>
      </x:c>
      <x:c r="H741" s="90" t="n">
        <x:f>IF(E741=0,"",MIN('22_W1_温度'!C30,'22_W1_温度'!E30,'22_W1_温度'!G30,'22_W1_温度'!I30))</x:f>
        <x:v>24.6</x:v>
      </x:c>
      <x:c r="I741" s="90" t="n">
        <x:f>IF(E741=0,"",MAX('22_W1_温度'!C30,'22_W1_温度'!E30,'22_W1_温度'!G30,'22_W1_温度'!I30))</x:f>
        <x:v>25.6</x:v>
      </x:c>
      <x:c r="J741" s="32" t="str">
        <x:v>℃</x:v>
      </x:c>
    </x:row>
    <x:row r="742">
      <x:c r="A742" s="72" t="n">
        <x:v>46240.89297453704</x:v>
      </x:c>
      <x:c r="B742" s="32" t="str">
        <x:v>土壤温度</x:v>
      </x:c>
      <x:c r="C742" s="32" t="str">
        <x:v>W1</x:v>
      </x:c>
      <x:c r="D742" s="32" t="str">
        <x:v>V1</x:v>
      </x:c>
      <x:c r="E742" s="86" t="n">
        <x:f>COUNT('22_W1_温度'!B31,'22_W1_温度'!D31,'22_W1_温度'!F31,'22_W1_温度'!H31)</x:f>
        <x:v>4</x:v>
      </x:c>
      <x:c r="F742" s="90" t="n">
        <x:f>IF(E742=0,"",AVERAGE('22_W1_温度'!B31,'22_W1_温度'!D31,'22_W1_温度'!F31,'22_W1_温度'!H31))</x:f>
        <x:v>25.125</x:v>
      </x:c>
      <x:c r="G742" s="90" t="n">
        <x:f>IF(E742&lt;2,"",STDEV.S('22_W1_温度'!B31,'22_W1_温度'!D31,'22_W1_温度'!F31,'22_W1_温度'!H31))</x:f>
        <x:v>0.41129875597510207</x:v>
      </x:c>
      <x:c r="H742" s="90" t="n">
        <x:f>IF(E742=0,"",MIN('22_W1_温度'!B31,'22_W1_温度'!D31,'22_W1_温度'!F31,'22_W1_温度'!H31))</x:f>
        <x:v>24.6</x:v>
      </x:c>
      <x:c r="I742" s="90" t="n">
        <x:f>IF(E742=0,"",MAX('22_W1_温度'!B31,'22_W1_温度'!D31,'22_W1_温度'!F31,'22_W1_温度'!H31))</x:f>
        <x:v>25.6</x:v>
      </x:c>
      <x:c r="J742" s="32" t="str">
        <x:v>℃</x:v>
      </x:c>
    </x:row>
    <x:row r="743">
      <x:c r="A743" s="72" t="n">
        <x:v>46240.89297453704</x:v>
      </x:c>
      <x:c r="B743" s="32" t="str">
        <x:v>土壤温度</x:v>
      </x:c>
      <x:c r="C743" s="32" t="str">
        <x:v>W1</x:v>
      </x:c>
      <x:c r="D743" s="32" t="str">
        <x:v>V2</x:v>
      </x:c>
      <x:c r="E743" s="86" t="n">
        <x:f>COUNT('22_W1_温度'!C31,'22_W1_温度'!E31,'22_W1_温度'!G31,'22_W1_温度'!I31)</x:f>
        <x:v>4</x:v>
      </x:c>
      <x:c r="F743" s="90" t="n">
        <x:f>IF(E743=0,"",AVERAGE('22_W1_温度'!C31,'22_W1_温度'!E31,'22_W1_温度'!G31,'22_W1_温度'!I31))</x:f>
        <x:v>25.125</x:v>
      </x:c>
      <x:c r="G743" s="90" t="n">
        <x:f>IF(E743&lt;2,"",STDEV.S('22_W1_温度'!C31,'22_W1_温度'!E31,'22_W1_温度'!G31,'22_W1_温度'!I31))</x:f>
        <x:v>0.41129875597510207</x:v>
      </x:c>
      <x:c r="H743" s="90" t="n">
        <x:f>IF(E743=0,"",MIN('22_W1_温度'!C31,'22_W1_温度'!E31,'22_W1_温度'!G31,'22_W1_温度'!I31))</x:f>
        <x:v>24.6</x:v>
      </x:c>
      <x:c r="I743" s="90" t="n">
        <x:f>IF(E743=0,"",MAX('22_W1_温度'!C31,'22_W1_温度'!E31,'22_W1_温度'!G31,'22_W1_温度'!I31))</x:f>
        <x:v>25.6</x:v>
      </x:c>
      <x:c r="J743" s="32" t="str">
        <x:v>℃</x:v>
      </x:c>
    </x:row>
    <x:row r="744">
      <x:c r="A744" s="72" t="n">
        <x:v>46240.89644675926</x:v>
      </x:c>
      <x:c r="B744" s="32" t="str">
        <x:v>土壤温度</x:v>
      </x:c>
      <x:c r="C744" s="32" t="str">
        <x:v>W1</x:v>
      </x:c>
      <x:c r="D744" s="32" t="str">
        <x:v>V1</x:v>
      </x:c>
      <x:c r="E744" s="86" t="n">
        <x:f>COUNT('22_W1_温度'!B32,'22_W1_温度'!D32,'22_W1_温度'!F32,'22_W1_温度'!H32)</x:f>
        <x:v>4</x:v>
      </x:c>
      <x:c r="F744" s="90" t="n">
        <x:f>IF(E744=0,"",AVERAGE('22_W1_温度'!B32,'22_W1_温度'!D32,'22_W1_温度'!F32,'22_W1_温度'!H32))</x:f>
        <x:v>25.150000000000002</x:v>
      </x:c>
      <x:c r="G744" s="90" t="n">
        <x:f>IF(E744&lt;2,"",STDEV.S('22_W1_温度'!B32,'22_W1_温度'!D32,'22_W1_温度'!F32,'22_W1_温度'!H32))</x:f>
        <x:v>0.3872983346207426</x:v>
      </x:c>
      <x:c r="H744" s="90" t="n">
        <x:f>IF(E744=0,"",MIN('22_W1_温度'!B32,'22_W1_温度'!D32,'22_W1_温度'!F32,'22_W1_温度'!H32))</x:f>
        <x:v>24.7</x:v>
      </x:c>
      <x:c r="I744" s="90" t="n">
        <x:f>IF(E744=0,"",MAX('22_W1_温度'!B32,'22_W1_温度'!D32,'22_W1_温度'!F32,'22_W1_温度'!H32))</x:f>
        <x:v>25.6</x:v>
      </x:c>
      <x:c r="J744" s="32" t="str">
        <x:v>℃</x:v>
      </x:c>
    </x:row>
    <x:row r="745">
      <x:c r="A745" s="72" t="n">
        <x:v>46240.89644675926</x:v>
      </x:c>
      <x:c r="B745" s="32" t="str">
        <x:v>土壤温度</x:v>
      </x:c>
      <x:c r="C745" s="32" t="str">
        <x:v>W1</x:v>
      </x:c>
      <x:c r="D745" s="32" t="str">
        <x:v>V2</x:v>
      </x:c>
      <x:c r="E745" s="86" t="n">
        <x:f>COUNT('22_W1_温度'!C32,'22_W1_温度'!E32,'22_W1_温度'!G32,'22_W1_温度'!I32)</x:f>
        <x:v>4</x:v>
      </x:c>
      <x:c r="F745" s="90" t="n">
        <x:f>IF(E745=0,"",AVERAGE('22_W1_温度'!C32,'22_W1_温度'!E32,'22_W1_温度'!G32,'22_W1_温度'!I32))</x:f>
        <x:v>25.125</x:v>
      </x:c>
      <x:c r="G745" s="90" t="n">
        <x:f>IF(E745&lt;2,"",STDEV.S('22_W1_温度'!C32,'22_W1_温度'!E32,'22_W1_温度'!G32,'22_W1_温度'!I32))</x:f>
        <x:v>0.41129875597510207</x:v>
      </x:c>
      <x:c r="H745" s="90" t="n">
        <x:f>IF(E745=0,"",MIN('22_W1_温度'!C32,'22_W1_温度'!E32,'22_W1_温度'!G32,'22_W1_温度'!I32))</x:f>
        <x:v>24.6</x:v>
      </x:c>
      <x:c r="I745" s="90" t="n">
        <x:f>IF(E745=0,"",MAX('22_W1_温度'!C32,'22_W1_温度'!E32,'22_W1_温度'!G32,'22_W1_温度'!I32))</x:f>
        <x:v>25.6</x:v>
      </x:c>
      <x:c r="J745" s="32" t="str">
        <x:v>℃</x:v>
      </x:c>
    </x:row>
    <x:row r="746">
      <x:c r="A746" s="72" t="n">
        <x:v>46240.89991898148</x:v>
      </x:c>
      <x:c r="B746" s="32" t="str">
        <x:v>土壤温度</x:v>
      </x:c>
      <x:c r="C746" s="32" t="str">
        <x:v>W1</x:v>
      </x:c>
      <x:c r="D746" s="32" t="str">
        <x:v>V1</x:v>
      </x:c>
      <x:c r="E746" s="86" t="n">
        <x:f>COUNT('22_W1_温度'!B33,'22_W1_温度'!D33,'22_W1_温度'!F33,'22_W1_温度'!H33)</x:f>
        <x:v>4</x:v>
      </x:c>
      <x:c r="F746" s="90" t="n">
        <x:f>IF(E746=0,"",AVERAGE('22_W1_温度'!B33,'22_W1_温度'!D33,'22_W1_温度'!F33,'22_W1_温度'!H33))</x:f>
        <x:v>25.099999999999998</x:v>
      </x:c>
      <x:c r="G746" s="90" t="n">
        <x:f>IF(E746&lt;2,"",STDEV.S('22_W1_温度'!B33,'22_W1_温度'!D33,'22_W1_温度'!F33,'22_W1_温度'!H33))</x:f>
        <x:v>0.40824829046386274</x:v>
      </x:c>
      <x:c r="H746" s="90" t="n">
        <x:f>IF(E746=0,"",MIN('22_W1_温度'!B33,'22_W1_温度'!D33,'22_W1_温度'!F33,'22_W1_温度'!H33))</x:f>
        <x:v>24.7</x:v>
      </x:c>
      <x:c r="I746" s="90" t="n">
        <x:f>IF(E746=0,"",MAX('22_W1_温度'!B33,'22_W1_温度'!D33,'22_W1_温度'!F33,'22_W1_温度'!H33))</x:f>
        <x:v>25.5</x:v>
      </x:c>
      <x:c r="J746" s="32" t="str">
        <x:v>℃</x:v>
      </x:c>
    </x:row>
    <x:row r="747">
      <x:c r="A747" s="72" t="n">
        <x:v>46240.89991898148</x:v>
      </x:c>
      <x:c r="B747" s="32" t="str">
        <x:v>土壤温度</x:v>
      </x:c>
      <x:c r="C747" s="32" t="str">
        <x:v>W1</x:v>
      </x:c>
      <x:c r="D747" s="32" t="str">
        <x:v>V2</x:v>
      </x:c>
      <x:c r="E747" s="86" t="n">
        <x:f>COUNT('22_W1_温度'!C33,'22_W1_温度'!E33,'22_W1_温度'!G33,'22_W1_温度'!I33)</x:f>
        <x:v>4</x:v>
      </x:c>
      <x:c r="F747" s="90" t="n">
        <x:f>IF(E747=0,"",AVERAGE('22_W1_温度'!C33,'22_W1_温度'!E33,'22_W1_温度'!G33,'22_W1_温度'!I33))</x:f>
        <x:v>25.150000000000002</x:v>
      </x:c>
      <x:c r="G747" s="90" t="n">
        <x:f>IF(E747&lt;2,"",STDEV.S('22_W1_温度'!C33,'22_W1_温度'!E33,'22_W1_温度'!G33,'22_W1_温度'!I33))</x:f>
        <x:v>0.3872983346207426</x:v>
      </x:c>
      <x:c r="H747" s="90" t="n">
        <x:f>IF(E747=0,"",MIN('22_W1_温度'!C33,'22_W1_温度'!E33,'22_W1_温度'!G33,'22_W1_温度'!I33))</x:f>
        <x:v>24.7</x:v>
      </x:c>
      <x:c r="I747" s="90" t="n">
        <x:f>IF(E747=0,"",MAX('22_W1_温度'!C33,'22_W1_温度'!E33,'22_W1_温度'!G33,'22_W1_温度'!I33))</x:f>
        <x:v>25.6</x:v>
      </x:c>
      <x:c r="J747" s="32" t="str">
        <x:v>℃</x:v>
      </x:c>
    </x:row>
    <x:row r="748">
      <x:c r="A748" s="72" t="n">
        <x:v>46240.903391203705</x:v>
      </x:c>
      <x:c r="B748" s="32" t="str">
        <x:v>土壤温度</x:v>
      </x:c>
      <x:c r="C748" s="32" t="str">
        <x:v>W1</x:v>
      </x:c>
      <x:c r="D748" s="32" t="str">
        <x:v>V1</x:v>
      </x:c>
      <x:c r="E748" s="86" t="n">
        <x:f>COUNT('22_W1_温度'!B34,'22_W1_温度'!D34,'22_W1_温度'!F34,'22_W1_温度'!H34)</x:f>
        <x:v>4</x:v>
      </x:c>
      <x:c r="F748" s="90" t="n">
        <x:f>IF(E748=0,"",AVERAGE('22_W1_温度'!B34,'22_W1_温度'!D34,'22_W1_温度'!F34,'22_W1_温度'!H34))</x:f>
        <x:v>25.099999999999998</x:v>
      </x:c>
      <x:c r="G748" s="90" t="n">
        <x:f>IF(E748&lt;2,"",STDEV.S('22_W1_温度'!B34,'22_W1_温度'!D34,'22_W1_温度'!F34,'22_W1_温度'!H34))</x:f>
        <x:v>0.40824829046386274</x:v>
      </x:c>
      <x:c r="H748" s="90" t="n">
        <x:f>IF(E748=0,"",MIN('22_W1_温度'!B34,'22_W1_温度'!D34,'22_W1_温度'!F34,'22_W1_温度'!H34))</x:f>
        <x:v>24.7</x:v>
      </x:c>
      <x:c r="I748" s="90" t="n">
        <x:f>IF(E748=0,"",MAX('22_W1_温度'!B34,'22_W1_温度'!D34,'22_W1_温度'!F34,'22_W1_温度'!H34))</x:f>
        <x:v>25.5</x:v>
      </x:c>
      <x:c r="J748" s="32" t="str">
        <x:v>℃</x:v>
      </x:c>
    </x:row>
    <x:row r="749">
      <x:c r="A749" s="72" t="n">
        <x:v>46240.903391203705</x:v>
      </x:c>
      <x:c r="B749" s="32" t="str">
        <x:v>土壤温度</x:v>
      </x:c>
      <x:c r="C749" s="32" t="str">
        <x:v>W1</x:v>
      </x:c>
      <x:c r="D749" s="32" t="str">
        <x:v>V2</x:v>
      </x:c>
      <x:c r="E749" s="86" t="n">
        <x:f>COUNT('22_W1_温度'!C34,'22_W1_温度'!E34,'22_W1_温度'!G34,'22_W1_温度'!I34)</x:f>
        <x:v>4</x:v>
      </x:c>
      <x:c r="F749" s="90" t="n">
        <x:f>IF(E749=0,"",AVERAGE('22_W1_温度'!C34,'22_W1_温度'!E34,'22_W1_温度'!G34,'22_W1_温度'!I34))</x:f>
        <x:v>25.099999999999998</x:v>
      </x:c>
      <x:c r="G749" s="90" t="n">
        <x:f>IF(E749&lt;2,"",STDEV.S('22_W1_温度'!C34,'22_W1_温度'!E34,'22_W1_温度'!G34,'22_W1_温度'!I34))</x:f>
        <x:v>0.40824829046386274</x:v>
      </x:c>
      <x:c r="H749" s="90" t="n">
        <x:f>IF(E749=0,"",MIN('22_W1_温度'!C34,'22_W1_温度'!E34,'22_W1_温度'!G34,'22_W1_温度'!I34))</x:f>
        <x:v>24.7</x:v>
      </x:c>
      <x:c r="I749" s="90" t="n">
        <x:f>IF(E749=0,"",MAX('22_W1_温度'!C34,'22_W1_温度'!E34,'22_W1_温度'!G34,'22_W1_温度'!I34))</x:f>
        <x:v>25.5</x:v>
      </x:c>
      <x:c r="J749" s="32" t="str">
        <x:v>℃</x:v>
      </x:c>
    </x:row>
    <x:row r="750">
      <x:c r="A750" s="72" t="n">
        <x:v>46240.906863425924</x:v>
      </x:c>
      <x:c r="B750" s="32" t="str">
        <x:v>土壤温度</x:v>
      </x:c>
      <x:c r="C750" s="32" t="str">
        <x:v>W1</x:v>
      </x:c>
      <x:c r="D750" s="32" t="str">
        <x:v>V1</x:v>
      </x:c>
      <x:c r="E750" s="86" t="n">
        <x:f>COUNT('22_W1_温度'!B35,'22_W1_温度'!D35,'22_W1_温度'!F35,'22_W1_温度'!H35)</x:f>
        <x:v>4</x:v>
      </x:c>
      <x:c r="F750" s="90" t="n">
        <x:f>IF(E750=0,"",AVERAGE('22_W1_温度'!B35,'22_W1_温度'!D35,'22_W1_温度'!F35,'22_W1_温度'!H35))</x:f>
        <x:v>25.125</x:v>
      </x:c>
      <x:c r="G750" s="90" t="n">
        <x:f>IF(E750&lt;2,"",STDEV.S('22_W1_温度'!B35,'22_W1_温度'!D35,'22_W1_温度'!F35,'22_W1_温度'!H35))</x:f>
        <x:v>0.4031128874149287</x:v>
      </x:c>
      <x:c r="H750" s="90" t="n">
        <x:f>IF(E750=0,"",MIN('22_W1_温度'!B35,'22_W1_温度'!D35,'22_W1_温度'!F35,'22_W1_温度'!H35))</x:f>
        <x:v>24.7</x:v>
      </x:c>
      <x:c r="I750" s="90" t="n">
        <x:f>IF(E750=0,"",MAX('22_W1_温度'!B35,'22_W1_温度'!D35,'22_W1_温度'!F35,'22_W1_温度'!H35))</x:f>
        <x:v>25.6</x:v>
      </x:c>
      <x:c r="J750" s="32" t="str">
        <x:v>℃</x:v>
      </x:c>
    </x:row>
    <x:row r="751">
      <x:c r="A751" s="72" t="n">
        <x:v>46240.906863425924</x:v>
      </x:c>
      <x:c r="B751" s="32" t="str">
        <x:v>土壤温度</x:v>
      </x:c>
      <x:c r="C751" s="32" t="str">
        <x:v>W1</x:v>
      </x:c>
      <x:c r="D751" s="32" t="str">
        <x:v>V2</x:v>
      </x:c>
      <x:c r="E751" s="86" t="n">
        <x:f>COUNT('22_W1_温度'!C35,'22_W1_温度'!E35,'22_W1_温度'!G35,'22_W1_温度'!I35)</x:f>
        <x:v>4</x:v>
      </x:c>
      <x:c r="F751" s="90" t="n">
        <x:f>IF(E751=0,"",AVERAGE('22_W1_温度'!C35,'22_W1_温度'!E35,'22_W1_温度'!G35,'22_W1_温度'!I35))</x:f>
        <x:v>25.099999999999998</x:v>
      </x:c>
      <x:c r="G751" s="90" t="n">
        <x:f>IF(E751&lt;2,"",STDEV.S('22_W1_温度'!C35,'22_W1_温度'!E35,'22_W1_温度'!G35,'22_W1_温度'!I35))</x:f>
        <x:v>0.40824829046386274</x:v>
      </x:c>
      <x:c r="H751" s="90" t="n">
        <x:f>IF(E751=0,"",MIN('22_W1_温度'!C35,'22_W1_温度'!E35,'22_W1_温度'!G35,'22_W1_温度'!I35))</x:f>
        <x:v>24.7</x:v>
      </x:c>
      <x:c r="I751" s="90" t="n">
        <x:f>IF(E751=0,"",MAX('22_W1_温度'!C35,'22_W1_温度'!E35,'22_W1_温度'!G35,'22_W1_温度'!I35))</x:f>
        <x:v>25.5</x:v>
      </x:c>
      <x:c r="J751" s="32" t="str">
        <x:v>℃</x:v>
      </x:c>
    </x:row>
    <x:row r="752">
      <x:c r="A752" s="72" t="n">
        <x:v>46240.91033564815</x:v>
      </x:c>
      <x:c r="B752" s="32" t="str">
        <x:v>土壤温度</x:v>
      </x:c>
      <x:c r="C752" s="32" t="str">
        <x:v>W1</x:v>
      </x:c>
      <x:c r="D752" s="32" t="str">
        <x:v>V1</x:v>
      </x:c>
      <x:c r="E752" s="86" t="n">
        <x:f>COUNT('22_W1_温度'!B36,'22_W1_温度'!D36,'22_W1_温度'!F36,'22_W1_温度'!H36)</x:f>
        <x:v>4</x:v>
      </x:c>
      <x:c r="F752" s="90" t="n">
        <x:f>IF(E752=0,"",AVERAGE('22_W1_温度'!B36,'22_W1_温度'!D36,'22_W1_温度'!F36,'22_W1_温度'!H36))</x:f>
        <x:v>25.125</x:v>
      </x:c>
      <x:c r="G752" s="90" t="n">
        <x:f>IF(E752&lt;2,"",STDEV.S('22_W1_温度'!B36,'22_W1_温度'!D36,'22_W1_温度'!F36,'22_W1_温度'!H36))</x:f>
        <x:v>0.41129875597510207</x:v>
      </x:c>
      <x:c r="H752" s="90" t="n">
        <x:f>IF(E752=0,"",MIN('22_W1_温度'!B36,'22_W1_温度'!D36,'22_W1_温度'!F36,'22_W1_温度'!H36))</x:f>
        <x:v>24.6</x:v>
      </x:c>
      <x:c r="I752" s="90" t="n">
        <x:f>IF(E752=0,"",MAX('22_W1_温度'!B36,'22_W1_温度'!D36,'22_W1_温度'!F36,'22_W1_温度'!H36))</x:f>
        <x:v>25.6</x:v>
      </x:c>
      <x:c r="J752" s="32" t="str">
        <x:v>℃</x:v>
      </x:c>
    </x:row>
    <x:row r="753">
      <x:c r="A753" s="72" t="n">
        <x:v>46240.91033564815</x:v>
      </x:c>
      <x:c r="B753" s="32" t="str">
        <x:v>土壤温度</x:v>
      </x:c>
      <x:c r="C753" s="32" t="str">
        <x:v>W1</x:v>
      </x:c>
      <x:c r="D753" s="32" t="str">
        <x:v>V2</x:v>
      </x:c>
      <x:c r="E753" s="86" t="n">
        <x:f>COUNT('22_W1_温度'!C36,'22_W1_温度'!E36,'22_W1_温度'!G36,'22_W1_温度'!I36)</x:f>
        <x:v>4</x:v>
      </x:c>
      <x:c r="F753" s="90" t="n">
        <x:f>IF(E753=0,"",AVERAGE('22_W1_温度'!C36,'22_W1_温度'!E36,'22_W1_温度'!G36,'22_W1_温度'!I36))</x:f>
        <x:v>25.125</x:v>
      </x:c>
      <x:c r="G753" s="90" t="n">
        <x:f>IF(E753&lt;2,"",STDEV.S('22_W1_温度'!C36,'22_W1_温度'!E36,'22_W1_温度'!G36,'22_W1_温度'!I36))</x:f>
        <x:v>0.4031128874149287</x:v>
      </x:c>
      <x:c r="H753" s="90" t="n">
        <x:f>IF(E753=0,"",MIN('22_W1_温度'!C36,'22_W1_温度'!E36,'22_W1_温度'!G36,'22_W1_温度'!I36))</x:f>
        <x:v>24.7</x:v>
      </x:c>
      <x:c r="I753" s="90" t="n">
        <x:f>IF(E753=0,"",MAX('22_W1_温度'!C36,'22_W1_温度'!E36,'22_W1_温度'!G36,'22_W1_温度'!I36))</x:f>
        <x:v>25.6</x:v>
      </x:c>
      <x:c r="J753" s="32" t="str">
        <x:v>℃</x:v>
      </x:c>
    </x:row>
    <x:row r="754">
      <x:c r="A754" s="72" t="n">
        <x:v>46240.91380787037</x:v>
      </x:c>
      <x:c r="B754" s="32" t="str">
        <x:v>土壤温度</x:v>
      </x:c>
      <x:c r="C754" s="32" t="str">
        <x:v>W1</x:v>
      </x:c>
      <x:c r="D754" s="32" t="str">
        <x:v>V1</x:v>
      </x:c>
      <x:c r="E754" s="86" t="n">
        <x:f>COUNT('22_W1_温度'!B37,'22_W1_温度'!D37,'22_W1_温度'!F37,'22_W1_温度'!H37)</x:f>
        <x:v>4</x:v>
      </x:c>
      <x:c r="F754" s="90" t="n">
        <x:f>IF(E754=0,"",AVERAGE('22_W1_温度'!B37,'22_W1_温度'!D37,'22_W1_温度'!F37,'22_W1_温度'!H37))</x:f>
        <x:v>25.125000000000004</x:v>
      </x:c>
      <x:c r="G754" s="90" t="n">
        <x:f>IF(E754&lt;2,"",STDEV.S('22_W1_温度'!B37,'22_W1_温度'!D37,'22_W1_温度'!F37,'22_W1_温度'!H37))</x:f>
        <x:v>0.41129875597510207</x:v>
      </x:c>
      <x:c r="H754" s="90" t="n">
        <x:f>IF(E754=0,"",MIN('22_W1_温度'!B37,'22_W1_温度'!D37,'22_W1_温度'!F37,'22_W1_温度'!H37))</x:f>
        <x:v>24.6</x:v>
      </x:c>
      <x:c r="I754" s="90" t="n">
        <x:f>IF(E754=0,"",MAX('22_W1_温度'!B37,'22_W1_温度'!D37,'22_W1_温度'!F37,'22_W1_温度'!H37))</x:f>
        <x:v>25.6</x:v>
      </x:c>
      <x:c r="J754" s="32" t="str">
        <x:v>℃</x:v>
      </x:c>
    </x:row>
    <x:row r="755">
      <x:c r="A755" s="72" t="n">
        <x:v>46240.91380787037</x:v>
      </x:c>
      <x:c r="B755" s="32" t="str">
        <x:v>土壤温度</x:v>
      </x:c>
      <x:c r="C755" s="32" t="str">
        <x:v>W1</x:v>
      </x:c>
      <x:c r="D755" s="32" t="str">
        <x:v>V2</x:v>
      </x:c>
      <x:c r="E755" s="86" t="n">
        <x:f>COUNT('22_W1_温度'!C37,'22_W1_温度'!E37,'22_W1_温度'!G37,'22_W1_温度'!I37)</x:f>
        <x:v>4</x:v>
      </x:c>
      <x:c r="F755" s="90" t="n">
        <x:f>IF(E755=0,"",AVERAGE('22_W1_温度'!C37,'22_W1_温度'!E37,'22_W1_温度'!G37,'22_W1_温度'!I37))</x:f>
        <x:v>25.125</x:v>
      </x:c>
      <x:c r="G755" s="90" t="n">
        <x:f>IF(E755&lt;2,"",STDEV.S('22_W1_温度'!C37,'22_W1_温度'!E37,'22_W1_温度'!G37,'22_W1_温度'!I37))</x:f>
        <x:v>0.41129875597510207</x:v>
      </x:c>
      <x:c r="H755" s="90" t="n">
        <x:f>IF(E755=0,"",MIN('22_W1_温度'!C37,'22_W1_温度'!E37,'22_W1_温度'!G37,'22_W1_温度'!I37))</x:f>
        <x:v>24.6</x:v>
      </x:c>
      <x:c r="I755" s="90" t="n">
        <x:f>IF(E755=0,"",MAX('22_W1_温度'!C37,'22_W1_温度'!E37,'22_W1_温度'!G37,'22_W1_温度'!I37))</x:f>
        <x:v>25.6</x:v>
      </x:c>
      <x:c r="J755" s="32" t="str">
        <x:v>℃</x:v>
      </x:c>
    </x:row>
    <x:row r="756">
      <x:c r="A756" s="72" t="n">
        <x:v>46240.917280092595</x:v>
      </x:c>
      <x:c r="B756" s="32" t="str">
        <x:v>土壤温度</x:v>
      </x:c>
      <x:c r="C756" s="32" t="str">
        <x:v>W1</x:v>
      </x:c>
      <x:c r="D756" s="32" t="str">
        <x:v>V1</x:v>
      </x:c>
      <x:c r="E756" s="86" t="n">
        <x:f>COUNT('22_W1_温度'!B38,'22_W1_温度'!D38,'22_W1_温度'!F38,'22_W1_温度'!H38)</x:f>
        <x:v>4</x:v>
      </x:c>
      <x:c r="F756" s="90" t="n">
        <x:f>IF(E756=0,"",AVERAGE('22_W1_温度'!B38,'22_W1_温度'!D38,'22_W1_温度'!F38,'22_W1_温度'!H38))</x:f>
        <x:v>25.125</x:v>
      </x:c>
      <x:c r="G756" s="90" t="n">
        <x:f>IF(E756&lt;2,"",STDEV.S('22_W1_温度'!B38,'22_W1_温度'!D38,'22_W1_温度'!F38,'22_W1_温度'!H38))</x:f>
        <x:v>0.4272001872658766</x:v>
      </x:c>
      <x:c r="H756" s="90" t="n">
        <x:f>IF(E756=0,"",MIN('22_W1_温度'!B38,'22_W1_温度'!D38,'22_W1_温度'!F38,'22_W1_温度'!H38))</x:f>
        <x:v>24.6</x:v>
      </x:c>
      <x:c r="I756" s="90" t="n">
        <x:f>IF(E756=0,"",MAX('22_W1_温度'!B38,'22_W1_温度'!D38,'22_W1_温度'!F38,'22_W1_温度'!H38))</x:f>
        <x:v>25.6</x:v>
      </x:c>
      <x:c r="J756" s="32" t="str">
        <x:v>℃</x:v>
      </x:c>
    </x:row>
    <x:row r="757">
      <x:c r="A757" s="72" t="n">
        <x:v>46240.917280092595</x:v>
      </x:c>
      <x:c r="B757" s="32" t="str">
        <x:v>土壤温度</x:v>
      </x:c>
      <x:c r="C757" s="32" t="str">
        <x:v>W1</x:v>
      </x:c>
      <x:c r="D757" s="32" t="str">
        <x:v>V2</x:v>
      </x:c>
      <x:c r="E757" s="86" t="n">
        <x:f>COUNT('22_W1_温度'!C38,'22_W1_温度'!E38,'22_W1_温度'!G38,'22_W1_温度'!I38)</x:f>
        <x:v>4</x:v>
      </x:c>
      <x:c r="F757" s="90" t="n">
        <x:f>IF(E757=0,"",AVERAGE('22_W1_温度'!C38,'22_W1_温度'!E38,'22_W1_温度'!G38,'22_W1_温度'!I38))</x:f>
        <x:v>25.125000000000004</x:v>
      </x:c>
      <x:c r="G757" s="90" t="n">
        <x:f>IF(E757&lt;2,"",STDEV.S('22_W1_温度'!C38,'22_W1_温度'!E38,'22_W1_温度'!G38,'22_W1_温度'!I38))</x:f>
        <x:v>0.41129875597510207</x:v>
      </x:c>
      <x:c r="H757" s="90" t="n">
        <x:f>IF(E757=0,"",MIN('22_W1_温度'!C38,'22_W1_温度'!E38,'22_W1_温度'!G38,'22_W1_温度'!I38))</x:f>
        <x:v>24.6</x:v>
      </x:c>
      <x:c r="I757" s="90" t="n">
        <x:f>IF(E757=0,"",MAX('22_W1_温度'!C38,'22_W1_温度'!E38,'22_W1_温度'!G38,'22_W1_温度'!I38))</x:f>
        <x:v>25.6</x:v>
      </x:c>
      <x:c r="J757" s="32" t="str">
        <x:v>℃</x:v>
      </x:c>
    </x:row>
    <x:row r="758">
      <x:c r="A758" s="72" t="n">
        <x:v>46240.920752314814</x:v>
      </x:c>
      <x:c r="B758" s="32" t="str">
        <x:v>土壤温度</x:v>
      </x:c>
      <x:c r="C758" s="32" t="str">
        <x:v>W1</x:v>
      </x:c>
      <x:c r="D758" s="32" t="str">
        <x:v>V1</x:v>
      </x:c>
      <x:c r="E758" s="86" t="n">
        <x:f>COUNT('22_W1_温度'!B39,'22_W1_温度'!D39,'22_W1_温度'!F39,'22_W1_温度'!H39)</x:f>
        <x:v>4</x:v>
      </x:c>
      <x:c r="F758" s="90" t="n">
        <x:f>IF(E758=0,"",AVERAGE('22_W1_温度'!B39,'22_W1_温度'!D39,'22_W1_温度'!F39,'22_W1_温度'!H39))</x:f>
        <x:v>25.1</x:v>
      </x:c>
      <x:c r="G758" s="90" t="n">
        <x:f>IF(E758&lt;2,"",STDEV.S('22_W1_温度'!B39,'22_W1_温度'!D39,'22_W1_温度'!F39,'22_W1_温度'!H39))</x:f>
        <x:v>0.40824829046386274</x:v>
      </x:c>
      <x:c r="H758" s="90" t="n">
        <x:f>IF(E758=0,"",MIN('22_W1_温度'!B39,'22_W1_温度'!D39,'22_W1_温度'!F39,'22_W1_温度'!H39))</x:f>
        <x:v>24.7</x:v>
      </x:c>
      <x:c r="I758" s="90" t="n">
        <x:f>IF(E758=0,"",MAX('22_W1_温度'!B39,'22_W1_温度'!D39,'22_W1_温度'!F39,'22_W1_温度'!H39))</x:f>
        <x:v>25.5</x:v>
      </x:c>
      <x:c r="J758" s="32" t="str">
        <x:v>℃</x:v>
      </x:c>
    </x:row>
    <x:row r="759">
      <x:c r="A759" s="72" t="n">
        <x:v>46240.920752314814</x:v>
      </x:c>
      <x:c r="B759" s="32" t="str">
        <x:v>土壤温度</x:v>
      </x:c>
      <x:c r="C759" s="32" t="str">
        <x:v>W1</x:v>
      </x:c>
      <x:c r="D759" s="32" t="str">
        <x:v>V2</x:v>
      </x:c>
      <x:c r="E759" s="86" t="n">
        <x:f>COUNT('22_W1_温度'!C39,'22_W1_温度'!E39,'22_W1_温度'!G39,'22_W1_温度'!I39)</x:f>
        <x:v>4</x:v>
      </x:c>
      <x:c r="F759" s="90" t="n">
        <x:f>IF(E759=0,"",AVERAGE('22_W1_温度'!C39,'22_W1_温度'!E39,'22_W1_温度'!G39,'22_W1_温度'!I39))</x:f>
        <x:v>25.125</x:v>
      </x:c>
      <x:c r="G759" s="90" t="n">
        <x:f>IF(E759&lt;2,"",STDEV.S('22_W1_温度'!C39,'22_W1_温度'!E39,'22_W1_温度'!G39,'22_W1_温度'!I39))</x:f>
        <x:v>0.4272001872658766</x:v>
      </x:c>
      <x:c r="H759" s="90" t="n">
        <x:f>IF(E759=0,"",MIN('22_W1_温度'!C39,'22_W1_温度'!E39,'22_W1_温度'!G39,'22_W1_温度'!I39))</x:f>
        <x:v>24.6</x:v>
      </x:c>
      <x:c r="I759" s="90" t="n">
        <x:f>IF(E759=0,"",MAX('22_W1_温度'!C39,'22_W1_温度'!E39,'22_W1_温度'!G39,'22_W1_温度'!I39))</x:f>
        <x:v>25.6</x:v>
      </x:c>
      <x:c r="J759" s="32" t="str">
        <x:v>℃</x:v>
      </x:c>
    </x:row>
    <x:row r="760">
      <x:c r="A760" s="72" t="n">
        <x:v>46240.92422453704</x:v>
      </x:c>
      <x:c r="B760" s="32" t="str">
        <x:v>土壤温度</x:v>
      </x:c>
      <x:c r="C760" s="32" t="str">
        <x:v>W1</x:v>
      </x:c>
      <x:c r="D760" s="32" t="str">
        <x:v>V1</x:v>
      </x:c>
      <x:c r="E760" s="86" t="n">
        <x:f>COUNT('22_W1_温度'!B40,'22_W1_温度'!D40,'22_W1_温度'!F40,'22_W1_温度'!H40)</x:f>
        <x:v>4</x:v>
      </x:c>
      <x:c r="F760" s="90" t="n">
        <x:f>IF(E760=0,"",AVERAGE('22_W1_温度'!B40,'22_W1_温度'!D40,'22_W1_温度'!F40,'22_W1_温度'!H40))</x:f>
        <x:v>25.075</x:v>
      </x:c>
      <x:c r="G760" s="90" t="n">
        <x:f>IF(E760&lt;2,"",STDEV.S('22_W1_温度'!B40,'22_W1_温度'!D40,'22_W1_温度'!F40,'22_W1_温度'!H40))</x:f>
        <x:v>0.4349329450233297</x:v>
      </x:c>
      <x:c r="H760" s="90" t="n">
        <x:f>IF(E760=0,"",MIN('22_W1_温度'!B40,'22_W1_温度'!D40,'22_W1_温度'!F40,'22_W1_温度'!H40))</x:f>
        <x:v>24.7</x:v>
      </x:c>
      <x:c r="I760" s="90" t="n">
        <x:f>IF(E760=0,"",MAX('22_W1_温度'!B40,'22_W1_温度'!D40,'22_W1_温度'!F40,'22_W1_温度'!H40))</x:f>
        <x:v>25.5</x:v>
      </x:c>
      <x:c r="J760" s="32" t="str">
        <x:v>℃</x:v>
      </x:c>
    </x:row>
    <x:row r="761">
      <x:c r="A761" s="72" t="n">
        <x:v>46240.92422453704</x:v>
      </x:c>
      <x:c r="B761" s="32" t="str">
        <x:v>土壤温度</x:v>
      </x:c>
      <x:c r="C761" s="32" t="str">
        <x:v>W1</x:v>
      </x:c>
      <x:c r="D761" s="32" t="str">
        <x:v>V2</x:v>
      </x:c>
      <x:c r="E761" s="86" t="n">
        <x:f>COUNT('22_W1_温度'!C40,'22_W1_温度'!E40,'22_W1_温度'!G40,'22_W1_温度'!I40)</x:f>
        <x:v>4</x:v>
      </x:c>
      <x:c r="F761" s="90" t="n">
        <x:f>IF(E761=0,"",AVERAGE('22_W1_温度'!C40,'22_W1_温度'!E40,'22_W1_温度'!G40,'22_W1_温度'!I40))</x:f>
        <x:v>25.1</x:v>
      </x:c>
      <x:c r="G761" s="90" t="n">
        <x:f>IF(E761&lt;2,"",STDEV.S('22_W1_温度'!C40,'22_W1_温度'!E40,'22_W1_温度'!G40,'22_W1_温度'!I40))</x:f>
        <x:v>0.40824829046386274</x:v>
      </x:c>
      <x:c r="H761" s="90" t="n">
        <x:f>IF(E761=0,"",MIN('22_W1_温度'!C40,'22_W1_温度'!E40,'22_W1_温度'!G40,'22_W1_温度'!I40))</x:f>
        <x:v>24.7</x:v>
      </x:c>
      <x:c r="I761" s="90" t="n">
        <x:f>IF(E761=0,"",MAX('22_W1_温度'!C40,'22_W1_温度'!E40,'22_W1_温度'!G40,'22_W1_温度'!I40))</x:f>
        <x:v>25.5</x:v>
      </x:c>
      <x:c r="J761" s="32" t="str">
        <x:v>℃</x:v>
      </x:c>
    </x:row>
    <x:row r="762">
      <x:c r="A762" s="72" t="n">
        <x:v>46240.92769675926</x:v>
      </x:c>
      <x:c r="B762" s="32" t="str">
        <x:v>土壤温度</x:v>
      </x:c>
      <x:c r="C762" s="32" t="str">
        <x:v>W1</x:v>
      </x:c>
      <x:c r="D762" s="32" t="str">
        <x:v>V1</x:v>
      </x:c>
      <x:c r="E762" s="86" t="n">
        <x:f>COUNT('22_W1_温度'!B41,'22_W1_温度'!D41,'22_W1_温度'!F41,'22_W1_温度'!H41)</x:f>
        <x:v>4</x:v>
      </x:c>
      <x:c r="F762" s="90" t="n">
        <x:f>IF(E762=0,"",AVERAGE('22_W1_温度'!B41,'22_W1_温度'!D41,'22_W1_温度'!F41,'22_W1_温度'!H41))</x:f>
        <x:v>25.1</x:v>
      </x:c>
      <x:c r="G762" s="90" t="n">
        <x:f>IF(E762&lt;2,"",STDEV.S('22_W1_温度'!B41,'22_W1_温度'!D41,'22_W1_温度'!F41,'22_W1_温度'!H41))</x:f>
        <x:v>0.42426406871192923</x:v>
      </x:c>
      <x:c r="H762" s="90" t="n">
        <x:f>IF(E762=0,"",MIN('22_W1_温度'!B41,'22_W1_温度'!D41,'22_W1_温度'!F41,'22_W1_温度'!H41))</x:f>
        <x:v>24.7</x:v>
      </x:c>
      <x:c r="I762" s="90" t="n">
        <x:f>IF(E762=0,"",MAX('22_W1_温度'!B41,'22_W1_温度'!D41,'22_W1_温度'!F41,'22_W1_温度'!H41))</x:f>
        <x:v>25.6</x:v>
      </x:c>
      <x:c r="J762" s="32" t="str">
        <x:v>℃</x:v>
      </x:c>
    </x:row>
    <x:row r="763">
      <x:c r="A763" s="72" t="n">
        <x:v>46240.92769675926</x:v>
      </x:c>
      <x:c r="B763" s="32" t="str">
        <x:v>土壤温度</x:v>
      </x:c>
      <x:c r="C763" s="32" t="str">
        <x:v>W1</x:v>
      </x:c>
      <x:c r="D763" s="32" t="str">
        <x:v>V2</x:v>
      </x:c>
      <x:c r="E763" s="86" t="n">
        <x:f>COUNT('22_W1_温度'!C41,'22_W1_温度'!E41,'22_W1_温度'!G41,'22_W1_温度'!I41)</x:f>
        <x:v>4</x:v>
      </x:c>
      <x:c r="F763" s="90" t="n">
        <x:f>IF(E763=0,"",AVERAGE('22_W1_温度'!C41,'22_W1_温度'!E41,'22_W1_温度'!G41,'22_W1_温度'!I41))</x:f>
        <x:v>25.075</x:v>
      </x:c>
      <x:c r="G763" s="90" t="n">
        <x:f>IF(E763&lt;2,"",STDEV.S('22_W1_温度'!C41,'22_W1_温度'!E41,'22_W1_温度'!G41,'22_W1_温度'!I41))</x:f>
        <x:v>0.4349329450233297</x:v>
      </x:c>
      <x:c r="H763" s="90" t="n">
        <x:f>IF(E763=0,"",MIN('22_W1_温度'!C41,'22_W1_温度'!E41,'22_W1_温度'!G41,'22_W1_温度'!I41))</x:f>
        <x:v>24.7</x:v>
      </x:c>
      <x:c r="I763" s="90" t="n">
        <x:f>IF(E763=0,"",MAX('22_W1_温度'!C41,'22_W1_温度'!E41,'22_W1_温度'!G41,'22_W1_温度'!I41))</x:f>
        <x:v>25.5</x:v>
      </x:c>
      <x:c r="J763" s="32" t="str">
        <x:v>℃</x:v>
      </x:c>
    </x:row>
    <x:row r="764">
      <x:c r="A764" s="72" t="n">
        <x:v>46240.93116898148</x:v>
      </x:c>
      <x:c r="B764" s="32" t="str">
        <x:v>土壤温度</x:v>
      </x:c>
      <x:c r="C764" s="32" t="str">
        <x:v>W1</x:v>
      </x:c>
      <x:c r="D764" s="32" t="str">
        <x:v>V1</x:v>
      </x:c>
      <x:c r="E764" s="86" t="n">
        <x:f>COUNT('22_W1_温度'!B42,'22_W1_温度'!D42,'22_W1_温度'!F42,'22_W1_温度'!H42)</x:f>
        <x:v>4</x:v>
      </x:c>
      <x:c r="F764" s="90" t="n">
        <x:f>IF(E764=0,"",AVERAGE('22_W1_温度'!B42,'22_W1_温度'!D42,'22_W1_温度'!F42,'22_W1_温度'!H42))</x:f>
        <x:v>25.075000000000003</x:v>
      </x:c>
      <x:c r="G764" s="90" t="n">
        <x:f>IF(E764&lt;2,"",STDEV.S('22_W1_温度'!B42,'22_W1_温度'!D42,'22_W1_温度'!F42,'22_W1_温度'!H42))</x:f>
        <x:v>0.4272001872658768</x:v>
      </x:c>
      <x:c r="H764" s="90" t="n">
        <x:f>IF(E764=0,"",MIN('22_W1_温度'!B42,'22_W1_温度'!D42,'22_W1_温度'!F42,'22_W1_温度'!H42))</x:f>
        <x:v>24.6</x:v>
      </x:c>
      <x:c r="I764" s="90" t="n">
        <x:f>IF(E764=0,"",MAX('22_W1_温度'!B42,'22_W1_温度'!D42,'22_W1_温度'!F42,'22_W1_温度'!H42))</x:f>
        <x:v>25.6</x:v>
      </x:c>
      <x:c r="J764" s="32" t="str">
        <x:v>℃</x:v>
      </x:c>
    </x:row>
    <x:row r="765">
      <x:c r="A765" s="72" t="n">
        <x:v>46240.93116898148</x:v>
      </x:c>
      <x:c r="B765" s="32" t="str">
        <x:v>土壤温度</x:v>
      </x:c>
      <x:c r="C765" s="32" t="str">
        <x:v>W1</x:v>
      </x:c>
      <x:c r="D765" s="32" t="str">
        <x:v>V2</x:v>
      </x:c>
      <x:c r="E765" s="86" t="n">
        <x:f>COUNT('22_W1_温度'!C42,'22_W1_温度'!E42,'22_W1_温度'!G42,'22_W1_温度'!I42)</x:f>
        <x:v>4</x:v>
      </x:c>
      <x:c r="F765" s="90" t="n">
        <x:f>IF(E765=0,"",AVERAGE('22_W1_温度'!C42,'22_W1_温度'!E42,'22_W1_温度'!G42,'22_W1_温度'!I42))</x:f>
        <x:v>25.1</x:v>
      </x:c>
      <x:c r="G765" s="90" t="n">
        <x:f>IF(E765&lt;2,"",STDEV.S('22_W1_温度'!C42,'22_W1_温度'!E42,'22_W1_温度'!G42,'22_W1_温度'!I42))</x:f>
        <x:v>0.42426406871192923</x:v>
      </x:c>
      <x:c r="H765" s="90" t="n">
        <x:f>IF(E765=0,"",MIN('22_W1_温度'!C42,'22_W1_温度'!E42,'22_W1_温度'!G42,'22_W1_温度'!I42))</x:f>
        <x:v>24.7</x:v>
      </x:c>
      <x:c r="I765" s="90" t="n">
        <x:f>IF(E765=0,"",MAX('22_W1_温度'!C42,'22_W1_温度'!E42,'22_W1_温度'!G42,'22_W1_温度'!I42))</x:f>
        <x:v>25.6</x:v>
      </x:c>
      <x:c r="J765" s="32" t="str">
        <x:v>℃</x:v>
      </x:c>
    </x:row>
    <x:row r="766">
      <x:c r="A766" s="72" t="n">
        <x:v>46240.934641203705</x:v>
      </x:c>
      <x:c r="B766" s="32" t="str">
        <x:v>土壤温度</x:v>
      </x:c>
      <x:c r="C766" s="32" t="str">
        <x:v>W1</x:v>
      </x:c>
      <x:c r="D766" s="32" t="str">
        <x:v>V1</x:v>
      </x:c>
      <x:c r="E766" s="86" t="n">
        <x:f>COUNT('22_W1_温度'!B43,'22_W1_温度'!D43,'22_W1_温度'!F43,'22_W1_温度'!H43)</x:f>
        <x:v>4</x:v>
      </x:c>
      <x:c r="F766" s="90" t="n">
        <x:f>IF(E766=0,"",AVERAGE('22_W1_温度'!B43,'22_W1_温度'!D43,'22_W1_温度'!F43,'22_W1_温度'!H43))</x:f>
        <x:v>25.075000000000003</x:v>
      </x:c>
      <x:c r="G766" s="90" t="n">
        <x:f>IF(E766&lt;2,"",STDEV.S('22_W1_温度'!B43,'22_W1_温度'!D43,'22_W1_温度'!F43,'22_W1_温度'!H43))</x:f>
        <x:v>0.41129875597510235</x:v>
      </x:c>
      <x:c r="H766" s="90" t="n">
        <x:f>IF(E766=0,"",MIN('22_W1_温度'!B43,'22_W1_温度'!D43,'22_W1_温度'!F43,'22_W1_温度'!H43))</x:f>
        <x:v>24.6</x:v>
      </x:c>
      <x:c r="I766" s="90" t="n">
        <x:f>IF(E766=0,"",MAX('22_W1_温度'!B43,'22_W1_温度'!D43,'22_W1_温度'!F43,'22_W1_温度'!H43))</x:f>
        <x:v>25.6</x:v>
      </x:c>
      <x:c r="J766" s="32" t="str">
        <x:v>℃</x:v>
      </x:c>
    </x:row>
    <x:row r="767">
      <x:c r="A767" s="72" t="n">
        <x:v>46240.934641203705</x:v>
      </x:c>
      <x:c r="B767" s="32" t="str">
        <x:v>土壤温度</x:v>
      </x:c>
      <x:c r="C767" s="32" t="str">
        <x:v>W1</x:v>
      </x:c>
      <x:c r="D767" s="32" t="str">
        <x:v>V2</x:v>
      </x:c>
      <x:c r="E767" s="86" t="n">
        <x:f>COUNT('22_W1_温度'!C43,'22_W1_温度'!E43,'22_W1_温度'!G43,'22_W1_温度'!I43)</x:f>
        <x:v>4</x:v>
      </x:c>
      <x:c r="F767" s="90" t="n">
        <x:f>IF(E767=0,"",AVERAGE('22_W1_温度'!C43,'22_W1_温度'!E43,'22_W1_温度'!G43,'22_W1_温度'!I43))</x:f>
        <x:v>25.075000000000003</x:v>
      </x:c>
      <x:c r="G767" s="90" t="n">
        <x:f>IF(E767&lt;2,"",STDEV.S('22_W1_温度'!C43,'22_W1_温度'!E43,'22_W1_温度'!G43,'22_W1_温度'!I43))</x:f>
        <x:v>0.4272001872658768</x:v>
      </x:c>
      <x:c r="H767" s="90" t="n">
        <x:f>IF(E767=0,"",MIN('22_W1_温度'!C43,'22_W1_温度'!E43,'22_W1_温度'!G43,'22_W1_温度'!I43))</x:f>
        <x:v>24.6</x:v>
      </x:c>
      <x:c r="I767" s="90" t="n">
        <x:f>IF(E767=0,"",MAX('22_W1_温度'!C43,'22_W1_温度'!E43,'22_W1_温度'!G43,'22_W1_温度'!I43))</x:f>
        <x:v>25.6</x:v>
      </x:c>
      <x:c r="J767" s="32" t="str">
        <x:v>℃</x:v>
      </x:c>
    </x:row>
    <x:row r="768">
      <x:c r="A768" s="72" t="n">
        <x:v>46240.938113425924</x:v>
      </x:c>
      <x:c r="B768" s="32" t="str">
        <x:v>土壤温度</x:v>
      </x:c>
      <x:c r="C768" s="32" t="str">
        <x:v>W1</x:v>
      </x:c>
      <x:c r="D768" s="32" t="str">
        <x:v>V1</x:v>
      </x:c>
      <x:c r="E768" s="86" t="n">
        <x:f>COUNT('22_W1_温度'!B44,'22_W1_温度'!D44,'22_W1_温度'!F44,'22_W1_温度'!H44)</x:f>
        <x:v>4</x:v>
      </x:c>
      <x:c r="F768" s="90" t="n">
        <x:f>IF(E768=0,"",AVERAGE('22_W1_温度'!B44,'22_W1_温度'!D44,'22_W1_温度'!F44,'22_W1_温度'!H44))</x:f>
        <x:v>25.1</x:v>
      </x:c>
      <x:c r="G768" s="90" t="n">
        <x:f>IF(E768&lt;2,"",STDEV.S('22_W1_温度'!B44,'22_W1_温度'!D44,'22_W1_温度'!F44,'22_W1_温度'!H44))</x:f>
        <x:v>0.4163331998932265</x:v>
      </x:c>
      <x:c r="H768" s="90" t="n">
        <x:f>IF(E768=0,"",MIN('22_W1_温度'!B44,'22_W1_温度'!D44,'22_W1_温度'!F44,'22_W1_温度'!H44))</x:f>
        <x:v>24.6</x:v>
      </x:c>
      <x:c r="I768" s="90" t="n">
        <x:f>IF(E768=0,"",MAX('22_W1_温度'!B44,'22_W1_温度'!D44,'22_W1_温度'!F44,'22_W1_温度'!H44))</x:f>
        <x:v>25.6</x:v>
      </x:c>
      <x:c r="J768" s="32" t="str">
        <x:v>℃</x:v>
      </x:c>
    </x:row>
    <x:row r="769">
      <x:c r="A769" s="72" t="n">
        <x:v>46240.938113425924</x:v>
      </x:c>
      <x:c r="B769" s="32" t="str">
        <x:v>土壤温度</x:v>
      </x:c>
      <x:c r="C769" s="32" t="str">
        <x:v>W1</x:v>
      </x:c>
      <x:c r="D769" s="32" t="str">
        <x:v>V2</x:v>
      </x:c>
      <x:c r="E769" s="86" t="n">
        <x:f>COUNT('22_W1_温度'!C44,'22_W1_温度'!E44,'22_W1_温度'!G44,'22_W1_温度'!I44)</x:f>
        <x:v>4</x:v>
      </x:c>
      <x:c r="F769" s="90" t="n">
        <x:f>IF(E769=0,"",AVERAGE('22_W1_温度'!C44,'22_W1_温度'!E44,'22_W1_温度'!G44,'22_W1_温度'!I44))</x:f>
        <x:v>25.075000000000003</x:v>
      </x:c>
      <x:c r="G769" s="90" t="n">
        <x:f>IF(E769&lt;2,"",STDEV.S('22_W1_温度'!C44,'22_W1_温度'!E44,'22_W1_温度'!G44,'22_W1_温度'!I44))</x:f>
        <x:v>0.41129875597510235</x:v>
      </x:c>
      <x:c r="H769" s="90" t="n">
        <x:f>IF(E769=0,"",MIN('22_W1_温度'!C44,'22_W1_温度'!E44,'22_W1_温度'!G44,'22_W1_温度'!I44))</x:f>
        <x:v>24.6</x:v>
      </x:c>
      <x:c r="I769" s="90" t="n">
        <x:f>IF(E769=0,"",MAX('22_W1_温度'!C44,'22_W1_温度'!E44,'22_W1_温度'!G44,'22_W1_温度'!I44))</x:f>
        <x:v>25.6</x:v>
      </x:c>
      <x:c r="J769" s="32" t="str">
        <x:v>℃</x:v>
      </x:c>
    </x:row>
    <x:row r="770">
      <x:c r="A770" s="72" t="n">
        <x:v>46240.94158564815</x:v>
      </x:c>
      <x:c r="B770" s="32" t="str">
        <x:v>土壤温度</x:v>
      </x:c>
      <x:c r="C770" s="32" t="str">
        <x:v>W1</x:v>
      </x:c>
      <x:c r="D770" s="32" t="str">
        <x:v>V1</x:v>
      </x:c>
      <x:c r="E770" s="86" t="n">
        <x:f>COUNT('22_W1_温度'!B45,'22_W1_温度'!D45,'22_W1_温度'!F45,'22_W1_温度'!H45)</x:f>
        <x:v>4</x:v>
      </x:c>
      <x:c r="F770" s="90" t="n">
        <x:f>IF(E770=0,"",AVERAGE('22_W1_温度'!B45,'22_W1_温度'!D45,'22_W1_温度'!F45,'22_W1_温度'!H45))</x:f>
        <x:v>25.075</x:v>
      </x:c>
      <x:c r="G770" s="90" t="n">
        <x:f>IF(E770&lt;2,"",STDEV.S('22_W1_温度'!B45,'22_W1_温度'!D45,'22_W1_温度'!F45,'22_W1_温度'!H45))</x:f>
        <x:v>0.38622100754188243</x:v>
      </x:c>
      <x:c r="H770" s="90" t="n">
        <x:f>IF(E770=0,"",MIN('22_W1_温度'!B45,'22_W1_温度'!D45,'22_W1_温度'!F45,'22_W1_温度'!H45))</x:f>
        <x:v>24.7</x:v>
      </x:c>
      <x:c r="I770" s="90" t="n">
        <x:f>IF(E770=0,"",MAX('22_W1_温度'!B45,'22_W1_温度'!D45,'22_W1_温度'!F45,'22_W1_温度'!H45))</x:f>
        <x:v>25.5</x:v>
      </x:c>
      <x:c r="J770" s="32" t="str">
        <x:v>℃</x:v>
      </x:c>
    </x:row>
    <x:row r="771">
      <x:c r="A771" s="72" t="n">
        <x:v>46240.94158564815</x:v>
      </x:c>
      <x:c r="B771" s="32" t="str">
        <x:v>土壤温度</x:v>
      </x:c>
      <x:c r="C771" s="32" t="str">
        <x:v>W1</x:v>
      </x:c>
      <x:c r="D771" s="32" t="str">
        <x:v>V2</x:v>
      </x:c>
      <x:c r="E771" s="86" t="n">
        <x:f>COUNT('22_W1_温度'!C45,'22_W1_温度'!E45,'22_W1_温度'!G45,'22_W1_温度'!I45)</x:f>
        <x:v>4</x:v>
      </x:c>
      <x:c r="F771" s="90" t="n">
        <x:f>IF(E771=0,"",AVERAGE('22_W1_温度'!C45,'22_W1_温度'!E45,'22_W1_温度'!G45,'22_W1_温度'!I45))</x:f>
        <x:v>25.1</x:v>
      </x:c>
      <x:c r="G771" s="90" t="n">
        <x:f>IF(E771&lt;2,"",STDEV.S('22_W1_温度'!C45,'22_W1_温度'!E45,'22_W1_温度'!G45,'22_W1_温度'!I45))</x:f>
        <x:v>0.4163331998932265</x:v>
      </x:c>
      <x:c r="H771" s="90" t="n">
        <x:f>IF(E771=0,"",MIN('22_W1_温度'!C45,'22_W1_温度'!E45,'22_W1_温度'!G45,'22_W1_温度'!I45))</x:f>
        <x:v>24.6</x:v>
      </x:c>
      <x:c r="I771" s="90" t="n">
        <x:f>IF(E771=0,"",MAX('22_W1_温度'!C45,'22_W1_温度'!E45,'22_W1_温度'!G45,'22_W1_温度'!I45))</x:f>
        <x:v>25.6</x:v>
      </x:c>
      <x:c r="J771" s="32" t="str">
        <x:v>℃</x:v>
      </x:c>
    </x:row>
    <x:row r="772">
      <x:c r="A772" s="72" t="n">
        <x:v>46240.94505787037</x:v>
      </x:c>
      <x:c r="B772" s="32" t="str">
        <x:v>土壤温度</x:v>
      </x:c>
      <x:c r="C772" s="32" t="str">
        <x:v>W1</x:v>
      </x:c>
      <x:c r="D772" s="32" t="str">
        <x:v>V1</x:v>
      </x:c>
      <x:c r="E772" s="86" t="n">
        <x:f>COUNT('22_W1_温度'!B46,'22_W1_温度'!D46,'22_W1_温度'!F46,'22_W1_温度'!H46)</x:f>
        <x:v>4</x:v>
      </x:c>
      <x:c r="F772" s="90" t="n">
        <x:f>IF(E772=0,"",AVERAGE('22_W1_温度'!B46,'22_W1_温度'!D46,'22_W1_温度'!F46,'22_W1_温度'!H46))</x:f>
        <x:v>25.049999999999997</x:v>
      </x:c>
      <x:c r="G772" s="90" t="n">
        <x:f>IF(E772&lt;2,"",STDEV.S('22_W1_温度'!B46,'22_W1_温度'!D46,'22_W1_温度'!F46,'22_W1_温度'!H46))</x:f>
        <x:v>0.4041451884327376</x:v>
      </x:c>
      <x:c r="H772" s="90" t="n">
        <x:f>IF(E772=0,"",MIN('22_W1_温度'!B46,'22_W1_温度'!D46,'22_W1_温度'!F46,'22_W1_温度'!H46))</x:f>
        <x:v>24.7</x:v>
      </x:c>
      <x:c r="I772" s="90" t="n">
        <x:f>IF(E772=0,"",MAX('22_W1_温度'!B46,'22_W1_温度'!D46,'22_W1_温度'!F46,'22_W1_温度'!H46))</x:f>
        <x:v>25.4</x:v>
      </x:c>
      <x:c r="J772" s="32" t="str">
        <x:v>℃</x:v>
      </x:c>
    </x:row>
    <x:row r="773">
      <x:c r="A773" s="72" t="n">
        <x:v>46240.94505787037</x:v>
      </x:c>
      <x:c r="B773" s="32" t="str">
        <x:v>土壤温度</x:v>
      </x:c>
      <x:c r="C773" s="32" t="str">
        <x:v>W1</x:v>
      </x:c>
      <x:c r="D773" s="32" t="str">
        <x:v>V2</x:v>
      </x:c>
      <x:c r="E773" s="86" t="n">
        <x:f>COUNT('22_W1_温度'!C46,'22_W1_温度'!E46,'22_W1_温度'!G46,'22_W1_温度'!I46)</x:f>
        <x:v>4</x:v>
      </x:c>
      <x:c r="F773" s="90" t="n">
        <x:f>IF(E773=0,"",AVERAGE('22_W1_温度'!C46,'22_W1_温度'!E46,'22_W1_温度'!G46,'22_W1_温度'!I46))</x:f>
        <x:v>25.075</x:v>
      </x:c>
      <x:c r="G773" s="90" t="n">
        <x:f>IF(E773&lt;2,"",STDEV.S('22_W1_温度'!C46,'22_W1_温度'!E46,'22_W1_温度'!G46,'22_W1_温度'!I46))</x:f>
        <x:v>0.38622100754188243</x:v>
      </x:c>
      <x:c r="H773" s="90" t="n">
        <x:f>IF(E773=0,"",MIN('22_W1_温度'!C46,'22_W1_温度'!E46,'22_W1_温度'!G46,'22_W1_温度'!I46))</x:f>
        <x:v>24.7</x:v>
      </x:c>
      <x:c r="I773" s="90" t="n">
        <x:f>IF(E773=0,"",MAX('22_W1_温度'!C46,'22_W1_温度'!E46,'22_W1_温度'!G46,'22_W1_温度'!I46))</x:f>
        <x:v>25.5</x:v>
      </x:c>
      <x:c r="J773" s="32" t="str">
        <x:v>℃</x:v>
      </x:c>
    </x:row>
    <x:row r="774">
      <x:c r="A774" s="72" t="n">
        <x:v>46240.948530092595</x:v>
      </x:c>
      <x:c r="B774" s="32" t="str">
        <x:v>土壤温度</x:v>
      </x:c>
      <x:c r="C774" s="32" t="str">
        <x:v>W1</x:v>
      </x:c>
      <x:c r="D774" s="32" t="str">
        <x:v>V1</x:v>
      </x:c>
      <x:c r="E774" s="86" t="n">
        <x:f>COUNT('22_W1_温度'!B47,'22_W1_温度'!D47,'22_W1_温度'!F47,'22_W1_温度'!H47)</x:f>
        <x:v>4</x:v>
      </x:c>
      <x:c r="F774" s="90" t="n">
        <x:f>IF(E774=0,"",AVERAGE('22_W1_温度'!B47,'22_W1_温度'!D47,'22_W1_温度'!F47,'22_W1_温度'!H47))</x:f>
        <x:v>25.075</x:v>
      </x:c>
      <x:c r="G774" s="90" t="n">
        <x:f>IF(E774&lt;2,"",STDEV.S('22_W1_温度'!B47,'22_W1_温度'!D47,'22_W1_温度'!F47,'22_W1_温度'!H47))</x:f>
        <x:v>0.38622100754188243</x:v>
      </x:c>
      <x:c r="H774" s="90" t="n">
        <x:f>IF(E774=0,"",MIN('22_W1_温度'!B47,'22_W1_温度'!D47,'22_W1_温度'!F47,'22_W1_温度'!H47))</x:f>
        <x:v>24.7</x:v>
      </x:c>
      <x:c r="I774" s="90" t="n">
        <x:f>IF(E774=0,"",MAX('22_W1_温度'!B47,'22_W1_温度'!D47,'22_W1_温度'!F47,'22_W1_温度'!H47))</x:f>
        <x:v>25.5</x:v>
      </x:c>
      <x:c r="J774" s="32" t="str">
        <x:v>℃</x:v>
      </x:c>
    </x:row>
    <x:row r="775">
      <x:c r="A775" s="72" t="n">
        <x:v>46240.948530092595</x:v>
      </x:c>
      <x:c r="B775" s="32" t="str">
        <x:v>土壤温度</x:v>
      </x:c>
      <x:c r="C775" s="32" t="str">
        <x:v>W1</x:v>
      </x:c>
      <x:c r="D775" s="32" t="str">
        <x:v>V2</x:v>
      </x:c>
      <x:c r="E775" s="86" t="n">
        <x:f>COUNT('22_W1_温度'!C47,'22_W1_温度'!E47,'22_W1_温度'!G47,'22_W1_温度'!I47)</x:f>
        <x:v>4</x:v>
      </x:c>
      <x:c r="F775" s="90" t="n">
        <x:f>IF(E775=0,"",AVERAGE('22_W1_温度'!C47,'22_W1_温度'!E47,'22_W1_温度'!G47,'22_W1_温度'!I47))</x:f>
        <x:v>25.049999999999997</x:v>
      </x:c>
      <x:c r="G775" s="90" t="n">
        <x:f>IF(E775&lt;2,"",STDEV.S('22_W1_温度'!C47,'22_W1_温度'!E47,'22_W1_温度'!G47,'22_W1_温度'!I47))</x:f>
        <x:v>0.4041451884327376</x:v>
      </x:c>
      <x:c r="H775" s="90" t="n">
        <x:f>IF(E775=0,"",MIN('22_W1_温度'!C47,'22_W1_温度'!E47,'22_W1_温度'!G47,'22_W1_温度'!I47))</x:f>
        <x:v>24.7</x:v>
      </x:c>
      <x:c r="I775" s="90" t="n">
        <x:f>IF(E775=0,"",MAX('22_W1_温度'!C47,'22_W1_温度'!E47,'22_W1_温度'!G47,'22_W1_温度'!I47))</x:f>
        <x:v>25.4</x:v>
      </x:c>
      <x:c r="J775" s="32" t="str">
        <x:v>℃</x:v>
      </x:c>
    </x:row>
    <x:row r="776">
      <x:c r="A776" s="72" t="n">
        <x:v>46240.952002314814</x:v>
      </x:c>
      <x:c r="B776" s="32" t="str">
        <x:v>土壤温度</x:v>
      </x:c>
      <x:c r="C776" s="32" t="str">
        <x:v>W1</x:v>
      </x:c>
      <x:c r="D776" s="32" t="str">
        <x:v>V1</x:v>
      </x:c>
      <x:c r="E776" s="86" t="n">
        <x:f>COUNT('22_W1_温度'!B48,'22_W1_温度'!D48,'22_W1_温度'!F48,'22_W1_温度'!H48)</x:f>
        <x:v>4</x:v>
      </x:c>
      <x:c r="F776" s="90" t="n">
        <x:f>IF(E776=0,"",AVERAGE('22_W1_温度'!B48,'22_W1_温度'!D48,'22_W1_温度'!F48,'22_W1_温度'!H48))</x:f>
        <x:v>25.075</x:v>
      </x:c>
      <x:c r="G776" s="90" t="n">
        <x:f>IF(E776&lt;2,"",STDEV.S('22_W1_温度'!B48,'22_W1_温度'!D48,'22_W1_温度'!F48,'22_W1_温度'!H48))</x:f>
        <x:v>0.4272001872658767</x:v>
      </x:c>
      <x:c r="H776" s="90" t="n">
        <x:f>IF(E776=0,"",MIN('22_W1_温度'!B48,'22_W1_温度'!D48,'22_W1_温度'!F48,'22_W1_温度'!H48))</x:f>
        <x:v>24.6</x:v>
      </x:c>
      <x:c r="I776" s="90" t="n">
        <x:f>IF(E776=0,"",MAX('22_W1_温度'!B48,'22_W1_温度'!D48,'22_W1_温度'!F48,'22_W1_温度'!H48))</x:f>
        <x:v>25.6</x:v>
      </x:c>
      <x:c r="J776" s="32" t="str">
        <x:v>℃</x:v>
      </x:c>
    </x:row>
    <x:row r="777">
      <x:c r="A777" s="72" t="n">
        <x:v>46240.952002314814</x:v>
      </x:c>
      <x:c r="B777" s="32" t="str">
        <x:v>土壤温度</x:v>
      </x:c>
      <x:c r="C777" s="32" t="str">
        <x:v>W1</x:v>
      </x:c>
      <x:c r="D777" s="32" t="str">
        <x:v>V2</x:v>
      </x:c>
      <x:c r="E777" s="86" t="n">
        <x:f>COUNT('22_W1_温度'!C48,'22_W1_温度'!E48,'22_W1_温度'!G48,'22_W1_温度'!I48)</x:f>
        <x:v>4</x:v>
      </x:c>
      <x:c r="F777" s="90" t="n">
        <x:f>IF(E777=0,"",AVERAGE('22_W1_温度'!C48,'22_W1_温度'!E48,'22_W1_温度'!G48,'22_W1_温度'!I48))</x:f>
        <x:v>25.075</x:v>
      </x:c>
      <x:c r="G777" s="90" t="n">
        <x:f>IF(E777&lt;2,"",STDEV.S('22_W1_温度'!C48,'22_W1_温度'!E48,'22_W1_温度'!G48,'22_W1_温度'!I48))</x:f>
        <x:v>0.38622100754188243</x:v>
      </x:c>
      <x:c r="H777" s="90" t="n">
        <x:f>IF(E777=0,"",MIN('22_W1_温度'!C48,'22_W1_温度'!E48,'22_W1_温度'!G48,'22_W1_温度'!I48))</x:f>
        <x:v>24.7</x:v>
      </x:c>
      <x:c r="I777" s="90" t="n">
        <x:f>IF(E777=0,"",MAX('22_W1_温度'!C48,'22_W1_温度'!E48,'22_W1_温度'!G48,'22_W1_温度'!I48))</x:f>
        <x:v>25.5</x:v>
      </x:c>
      <x:c r="J777" s="32" t="str">
        <x:v>℃</x:v>
      </x:c>
    </x:row>
    <x:row r="778">
      <x:c r="A778" s="72" t="n">
        <x:v>46240.95547453704</x:v>
      </x:c>
      <x:c r="B778" s="32" t="str">
        <x:v>土壤温度</x:v>
      </x:c>
      <x:c r="C778" s="32" t="str">
        <x:v>W1</x:v>
      </x:c>
      <x:c r="D778" s="32" t="str">
        <x:v>V1</x:v>
      </x:c>
      <x:c r="E778" s="86" t="n">
        <x:f>COUNT('22_W1_温度'!B49,'22_W1_温度'!D49,'22_W1_温度'!F49,'22_W1_温度'!H49)</x:f>
        <x:v>4</x:v>
      </x:c>
      <x:c r="F778" s="90" t="n">
        <x:f>IF(E778=0,"",AVERAGE('22_W1_温度'!B49,'22_W1_温度'!D49,'22_W1_温度'!F49,'22_W1_温度'!H49))</x:f>
        <x:v>25.075000000000003</x:v>
      </x:c>
      <x:c r="G778" s="90" t="n">
        <x:f>IF(E778&lt;2,"",STDEV.S('22_W1_温度'!B49,'22_W1_温度'!D49,'22_W1_温度'!F49,'22_W1_温度'!H49))</x:f>
        <x:v>0.41129875597510224</x:v>
      </x:c>
      <x:c r="H778" s="90" t="n">
        <x:f>IF(E778=0,"",MIN('22_W1_温度'!B49,'22_W1_温度'!D49,'22_W1_温度'!F49,'22_W1_温度'!H49))</x:f>
        <x:v>24.6</x:v>
      </x:c>
      <x:c r="I778" s="90" t="n">
        <x:f>IF(E778=0,"",MAX('22_W1_温度'!B49,'22_W1_温度'!D49,'22_W1_温度'!F49,'22_W1_温度'!H49))</x:f>
        <x:v>25.6</x:v>
      </x:c>
      <x:c r="J778" s="32" t="str">
        <x:v>℃</x:v>
      </x:c>
    </x:row>
    <x:row r="779">
      <x:c r="A779" s="72" t="n">
        <x:v>46240.95547453704</x:v>
      </x:c>
      <x:c r="B779" s="32" t="str">
        <x:v>土壤温度</x:v>
      </x:c>
      <x:c r="C779" s="32" t="str">
        <x:v>W1</x:v>
      </x:c>
      <x:c r="D779" s="32" t="str">
        <x:v>V2</x:v>
      </x:c>
      <x:c r="E779" s="86" t="n">
        <x:f>COUNT('22_W1_温度'!C49,'22_W1_温度'!E49,'22_W1_温度'!G49,'22_W1_温度'!I49)</x:f>
        <x:v>4</x:v>
      </x:c>
      <x:c r="F779" s="90" t="n">
        <x:f>IF(E779=0,"",AVERAGE('22_W1_温度'!C49,'22_W1_温度'!E49,'22_W1_温度'!G49,'22_W1_温度'!I49))</x:f>
        <x:v>25.075</x:v>
      </x:c>
      <x:c r="G779" s="90" t="n">
        <x:f>IF(E779&lt;2,"",STDEV.S('22_W1_温度'!C49,'22_W1_温度'!E49,'22_W1_温度'!G49,'22_W1_温度'!I49))</x:f>
        <x:v>0.4272001872658767</x:v>
      </x:c>
      <x:c r="H779" s="90" t="n">
        <x:f>IF(E779=0,"",MIN('22_W1_温度'!C49,'22_W1_温度'!E49,'22_W1_温度'!G49,'22_W1_温度'!I49))</x:f>
        <x:v>24.6</x:v>
      </x:c>
      <x:c r="I779" s="90" t="n">
        <x:f>IF(E779=0,"",MAX('22_W1_温度'!C49,'22_W1_温度'!E49,'22_W1_温度'!G49,'22_W1_温度'!I49))</x:f>
        <x:v>25.6</x:v>
      </x:c>
      <x:c r="J779" s="32" t="str">
        <x:v>℃</x:v>
      </x:c>
    </x:row>
    <x:row r="780">
      <x:c r="A780" s="72" t="n">
        <x:v>46240.95894675926</x:v>
      </x:c>
      <x:c r="B780" s="32" t="str">
        <x:v>土壤温度</x:v>
      </x:c>
      <x:c r="C780" s="32" t="str">
        <x:v>W1</x:v>
      </x:c>
      <x:c r="D780" s="32" t="str">
        <x:v>V1</x:v>
      </x:c>
      <x:c r="E780" s="86" t="n">
        <x:f>COUNT('22_W1_温度'!B50,'22_W1_温度'!D50,'22_W1_温度'!F50,'22_W1_温度'!H50)</x:f>
        <x:v>4</x:v>
      </x:c>
      <x:c r="F780" s="90" t="n">
        <x:f>IF(E780=0,"",AVERAGE('22_W1_温度'!B50,'22_W1_温度'!D50,'22_W1_温度'!F50,'22_W1_温度'!H50))</x:f>
        <x:v>25.1</x:v>
      </x:c>
      <x:c r="G780" s="90" t="n">
        <x:f>IF(E780&lt;2,"",STDEV.S('22_W1_温度'!B50,'22_W1_温度'!D50,'22_W1_温度'!F50,'22_W1_温度'!H50))</x:f>
        <x:v>0.4163331998932265</x:v>
      </x:c>
      <x:c r="H780" s="90" t="n">
        <x:f>IF(E780=0,"",MIN('22_W1_温度'!B50,'22_W1_温度'!D50,'22_W1_温度'!F50,'22_W1_温度'!H50))</x:f>
        <x:v>24.6</x:v>
      </x:c>
      <x:c r="I780" s="90" t="n">
        <x:f>IF(E780=0,"",MAX('22_W1_温度'!B50,'22_W1_温度'!D50,'22_W1_温度'!F50,'22_W1_温度'!H50))</x:f>
        <x:v>25.6</x:v>
      </x:c>
      <x:c r="J780" s="32" t="str">
        <x:v>℃</x:v>
      </x:c>
    </x:row>
    <x:row r="781">
      <x:c r="A781" s="72" t="n">
        <x:v>46240.95894675926</x:v>
      </x:c>
      <x:c r="B781" s="32" t="str">
        <x:v>土壤温度</x:v>
      </x:c>
      <x:c r="C781" s="32" t="str">
        <x:v>W1</x:v>
      </x:c>
      <x:c r="D781" s="32" t="str">
        <x:v>V2</x:v>
      </x:c>
      <x:c r="E781" s="86" t="n">
        <x:f>COUNT('22_W1_温度'!C50,'22_W1_温度'!E50,'22_W1_温度'!G50,'22_W1_温度'!I50)</x:f>
        <x:v>4</x:v>
      </x:c>
      <x:c r="F781" s="90" t="n">
        <x:f>IF(E781=0,"",AVERAGE('22_W1_温度'!C50,'22_W1_温度'!E50,'22_W1_温度'!G50,'22_W1_温度'!I50))</x:f>
        <x:v>25.075000000000003</x:v>
      </x:c>
      <x:c r="G781" s="90" t="n">
        <x:f>IF(E781&lt;2,"",STDEV.S('22_W1_温度'!C50,'22_W1_温度'!E50,'22_W1_温度'!G50,'22_W1_温度'!I50))</x:f>
        <x:v>0.41129875597510224</x:v>
      </x:c>
      <x:c r="H781" s="90" t="n">
        <x:f>IF(E781=0,"",MIN('22_W1_温度'!C50,'22_W1_温度'!E50,'22_W1_温度'!G50,'22_W1_温度'!I50))</x:f>
        <x:v>24.6</x:v>
      </x:c>
      <x:c r="I781" s="90" t="n">
        <x:f>IF(E781=0,"",MAX('22_W1_温度'!C50,'22_W1_温度'!E50,'22_W1_温度'!G50,'22_W1_温度'!I50))</x:f>
        <x:v>25.6</x:v>
      </x:c>
      <x:c r="J781" s="32" t="str">
        <x:v>℃</x:v>
      </x:c>
    </x:row>
    <x:row r="782">
      <x:c r="A782" s="72" t="n">
        <x:v>46240.96241898148</x:v>
      </x:c>
      <x:c r="B782" s="32" t="str">
        <x:v>土壤温度</x:v>
      </x:c>
      <x:c r="C782" s="32" t="str">
        <x:v>W1</x:v>
      </x:c>
      <x:c r="D782" s="32" t="str">
        <x:v>V1</x:v>
      </x:c>
      <x:c r="E782" s="86" t="n">
        <x:f>COUNT('22_W1_温度'!B51,'22_W1_温度'!D51,'22_W1_温度'!F51,'22_W1_温度'!H51)</x:f>
        <x:v>4</x:v>
      </x:c>
      <x:c r="F782" s="90" t="n">
        <x:f>IF(E782=0,"",AVERAGE('22_W1_温度'!B51,'22_W1_温度'!D51,'22_W1_温度'!F51,'22_W1_温度'!H51))</x:f>
        <x:v>25.1</x:v>
      </x:c>
      <x:c r="G782" s="90" t="n">
        <x:f>IF(E782&lt;2,"",STDEV.S('22_W1_温度'!B51,'22_W1_温度'!D51,'22_W1_温度'!F51,'22_W1_温度'!H51))</x:f>
        <x:v>0.42426406871192923</x:v>
      </x:c>
      <x:c r="H782" s="90" t="n">
        <x:f>IF(E782=0,"",MIN('22_W1_温度'!B51,'22_W1_温度'!D51,'22_W1_温度'!F51,'22_W1_温度'!H51))</x:f>
        <x:v>24.7</x:v>
      </x:c>
      <x:c r="I782" s="90" t="n">
        <x:f>IF(E782=0,"",MAX('22_W1_温度'!B51,'22_W1_温度'!D51,'22_W1_温度'!F51,'22_W1_温度'!H51))</x:f>
        <x:v>25.6</x:v>
      </x:c>
      <x:c r="J782" s="32" t="str">
        <x:v>℃</x:v>
      </x:c>
    </x:row>
    <x:row r="783">
      <x:c r="A783" s="72" t="n">
        <x:v>46240.96241898148</x:v>
      </x:c>
      <x:c r="B783" s="32" t="str">
        <x:v>土壤温度</x:v>
      </x:c>
      <x:c r="C783" s="32" t="str">
        <x:v>W1</x:v>
      </x:c>
      <x:c r="D783" s="32" t="str">
        <x:v>V2</x:v>
      </x:c>
      <x:c r="E783" s="86" t="n">
        <x:f>COUNT('22_W1_温度'!C51,'22_W1_温度'!E51,'22_W1_温度'!G51,'22_W1_温度'!I51)</x:f>
        <x:v>4</x:v>
      </x:c>
      <x:c r="F783" s="90" t="n">
        <x:f>IF(E783=0,"",AVERAGE('22_W1_温度'!C51,'22_W1_温度'!E51,'22_W1_温度'!G51,'22_W1_温度'!I51))</x:f>
        <x:v>25.1</x:v>
      </x:c>
      <x:c r="G783" s="90" t="n">
        <x:f>IF(E783&lt;2,"",STDEV.S('22_W1_温度'!C51,'22_W1_温度'!E51,'22_W1_温度'!G51,'22_W1_温度'!I51))</x:f>
        <x:v>0.4163331998932265</x:v>
      </x:c>
      <x:c r="H783" s="90" t="n">
        <x:f>IF(E783=0,"",MIN('22_W1_温度'!C51,'22_W1_温度'!E51,'22_W1_温度'!G51,'22_W1_温度'!I51))</x:f>
        <x:v>24.6</x:v>
      </x:c>
      <x:c r="I783" s="90" t="n">
        <x:f>IF(E783=0,"",MAX('22_W1_温度'!C51,'22_W1_温度'!E51,'22_W1_温度'!G51,'22_W1_温度'!I51))</x:f>
        <x:v>25.6</x:v>
      </x:c>
      <x:c r="J783" s="32" t="str">
        <x:v>℃</x:v>
      </x:c>
    </x:row>
    <x:row r="784">
      <x:c r="A784" s="72" t="n">
        <x:v>46240.965891203705</x:v>
      </x:c>
      <x:c r="B784" s="32" t="str">
        <x:v>土壤温度</x:v>
      </x:c>
      <x:c r="C784" s="32" t="str">
        <x:v>W1</x:v>
      </x:c>
      <x:c r="D784" s="32" t="str">
        <x:v>V1</x:v>
      </x:c>
      <x:c r="E784" s="86" t="n">
        <x:f>COUNT('22_W1_温度'!B52,'22_W1_温度'!D52,'22_W1_温度'!F52,'22_W1_温度'!H52)</x:f>
        <x:v>4</x:v>
      </x:c>
      <x:c r="F784" s="90" t="n">
        <x:f>IF(E784=0,"",AVERAGE('22_W1_温度'!B52,'22_W1_温度'!D52,'22_W1_温度'!F52,'22_W1_温度'!H52))</x:f>
        <x:v>25.075</x:v>
      </x:c>
      <x:c r="G784" s="90" t="n">
        <x:f>IF(E784&lt;2,"",STDEV.S('22_W1_温度'!B52,'22_W1_温度'!D52,'22_W1_温度'!F52,'22_W1_温度'!H52))</x:f>
        <x:v>0.4349329450233297</x:v>
      </x:c>
      <x:c r="H784" s="90" t="n">
        <x:f>IF(E784=0,"",MIN('22_W1_温度'!B52,'22_W1_温度'!D52,'22_W1_温度'!F52,'22_W1_温度'!H52))</x:f>
        <x:v>24.7</x:v>
      </x:c>
      <x:c r="I784" s="90" t="n">
        <x:f>IF(E784=0,"",MAX('22_W1_温度'!B52,'22_W1_温度'!D52,'22_W1_温度'!F52,'22_W1_温度'!H52))</x:f>
        <x:v>25.5</x:v>
      </x:c>
      <x:c r="J784" s="32" t="str">
        <x:v>℃</x:v>
      </x:c>
    </x:row>
    <x:row r="785">
      <x:c r="A785" s="72" t="n">
        <x:v>46240.965891203705</x:v>
      </x:c>
      <x:c r="B785" s="32" t="str">
        <x:v>土壤温度</x:v>
      </x:c>
      <x:c r="C785" s="32" t="str">
        <x:v>W1</x:v>
      </x:c>
      <x:c r="D785" s="32" t="str">
        <x:v>V2</x:v>
      </x:c>
      <x:c r="E785" s="86" t="n">
        <x:f>COUNT('22_W1_温度'!C52,'22_W1_温度'!E52,'22_W1_温度'!G52,'22_W1_温度'!I52)</x:f>
        <x:v>4</x:v>
      </x:c>
      <x:c r="F785" s="90" t="n">
        <x:f>IF(E785=0,"",AVERAGE('22_W1_温度'!C52,'22_W1_温度'!E52,'22_W1_温度'!G52,'22_W1_温度'!I52))</x:f>
        <x:v>25.1</x:v>
      </x:c>
      <x:c r="G785" s="90" t="n">
        <x:f>IF(E785&lt;2,"",STDEV.S('22_W1_温度'!C52,'22_W1_温度'!E52,'22_W1_温度'!G52,'22_W1_温度'!I52))</x:f>
        <x:v>0.42426406871192923</x:v>
      </x:c>
      <x:c r="H785" s="90" t="n">
        <x:f>IF(E785=0,"",MIN('22_W1_温度'!C52,'22_W1_温度'!E52,'22_W1_温度'!G52,'22_W1_温度'!I52))</x:f>
        <x:v>24.7</x:v>
      </x:c>
      <x:c r="I785" s="90" t="n">
        <x:f>IF(E785=0,"",MAX('22_W1_温度'!C52,'22_W1_温度'!E52,'22_W1_温度'!G52,'22_W1_温度'!I52))</x:f>
        <x:v>25.6</x:v>
      </x:c>
      <x:c r="J785" s="32" t="str">
        <x:v>℃</x:v>
      </x:c>
    </x:row>
    <x:row r="786">
      <x:c r="A786" s="72" t="n">
        <x:v>46240.969363425924</x:v>
      </x:c>
      <x:c r="B786" s="32" t="str">
        <x:v>土壤温度</x:v>
      </x:c>
      <x:c r="C786" s="32" t="str">
        <x:v>W1</x:v>
      </x:c>
      <x:c r="D786" s="32" t="str">
        <x:v>V1</x:v>
      </x:c>
      <x:c r="E786" s="86" t="n">
        <x:f>COUNT('22_W1_温度'!B53,'22_W1_温度'!D53,'22_W1_温度'!F53,'22_W1_温度'!H53)</x:f>
        <x:v>4</x:v>
      </x:c>
      <x:c r="F786" s="90" t="n">
        <x:f>IF(E786=0,"",AVERAGE('22_W1_温度'!B53,'22_W1_温度'!D53,'22_W1_温度'!F53,'22_W1_温度'!H53))</x:f>
        <x:v>25.1</x:v>
      </x:c>
      <x:c r="G786" s="90" t="n">
        <x:f>IF(E786&lt;2,"",STDEV.S('22_W1_温度'!B53,'22_W1_温度'!D53,'22_W1_温度'!F53,'22_W1_温度'!H53))</x:f>
        <x:v>0.40824829046386274</x:v>
      </x:c>
      <x:c r="H786" s="90" t="n">
        <x:f>IF(E786=0,"",MIN('22_W1_温度'!B53,'22_W1_温度'!D53,'22_W1_温度'!F53,'22_W1_温度'!H53))</x:f>
        <x:v>24.7</x:v>
      </x:c>
      <x:c r="I786" s="90" t="n">
        <x:f>IF(E786=0,"",MAX('22_W1_温度'!B53,'22_W1_温度'!D53,'22_W1_温度'!F53,'22_W1_温度'!H53))</x:f>
        <x:v>25.5</x:v>
      </x:c>
      <x:c r="J786" s="32" t="str">
        <x:v>℃</x:v>
      </x:c>
    </x:row>
    <x:row r="787">
      <x:c r="A787" s="72" t="n">
        <x:v>46240.969363425924</x:v>
      </x:c>
      <x:c r="B787" s="32" t="str">
        <x:v>土壤温度</x:v>
      </x:c>
      <x:c r="C787" s="32" t="str">
        <x:v>W1</x:v>
      </x:c>
      <x:c r="D787" s="32" t="str">
        <x:v>V2</x:v>
      </x:c>
      <x:c r="E787" s="86" t="n">
        <x:f>COUNT('22_W1_温度'!C53,'22_W1_温度'!E53,'22_W1_温度'!G53,'22_W1_温度'!I53)</x:f>
        <x:v>4</x:v>
      </x:c>
      <x:c r="F787" s="90" t="n">
        <x:f>IF(E787=0,"",AVERAGE('22_W1_温度'!C53,'22_W1_温度'!E53,'22_W1_温度'!G53,'22_W1_温度'!I53))</x:f>
        <x:v>25.075</x:v>
      </x:c>
      <x:c r="G787" s="90" t="n">
        <x:f>IF(E787&lt;2,"",STDEV.S('22_W1_温度'!C53,'22_W1_温度'!E53,'22_W1_温度'!G53,'22_W1_温度'!I53))</x:f>
        <x:v>0.4349329450233297</x:v>
      </x:c>
      <x:c r="H787" s="90" t="n">
        <x:f>IF(E787=0,"",MIN('22_W1_温度'!C53,'22_W1_温度'!E53,'22_W1_温度'!G53,'22_W1_温度'!I53))</x:f>
        <x:v>24.7</x:v>
      </x:c>
      <x:c r="I787" s="90" t="n">
        <x:f>IF(E787=0,"",MAX('22_W1_温度'!C53,'22_W1_温度'!E53,'22_W1_温度'!G53,'22_W1_温度'!I53))</x:f>
        <x:v>25.5</x:v>
      </x:c>
      <x:c r="J787" s="32" t="str">
        <x:v>℃</x:v>
      </x:c>
    </x:row>
    <x:row r="788">
      <x:c r="A788" s="72" t="n">
        <x:v>46240.80269675926</x:v>
      </x:c>
      <x:c r="B788" s="32" t="str">
        <x:v>土壤EC</x:v>
      </x:c>
      <x:c r="C788" s="32" t="str">
        <x:v>W1</x:v>
      </x:c>
      <x:c r="D788" s="32" t="str">
        <x:v>V1</x:v>
      </x:c>
      <x:c r="E788" s="86" t="n">
        <x:f>COUNT('23_W1_EC'!B5,'23_W1_EC'!D5,'23_W1_EC'!F5,'23_W1_EC'!H5)</x:f>
        <x:v>4</x:v>
      </x:c>
      <x:c r="F788" s="90" t="n">
        <x:f>IF(E788=0,"",AVERAGE('23_W1_EC'!B5,'23_W1_EC'!D5,'23_W1_EC'!F5,'23_W1_EC'!H5))</x:f>
        <x:v>925.25</x:v>
      </x:c>
      <x:c r="G788" s="90" t="n">
        <x:f>IF(E788&lt;2,"",STDEV.S('23_W1_EC'!B5,'23_W1_EC'!D5,'23_W1_EC'!F5,'23_W1_EC'!H5))</x:f>
        <x:v>75.17257922052872</x:v>
      </x:c>
      <x:c r="H788" s="90" t="n">
        <x:f>IF(E788=0,"",MIN('23_W1_EC'!B5,'23_W1_EC'!D5,'23_W1_EC'!F5,'23_W1_EC'!H5))</x:f>
        <x:v>822</x:v>
      </x:c>
      <x:c r="I788" s="90" t="n">
        <x:f>IF(E788=0,"",MAX('23_W1_EC'!B5,'23_W1_EC'!D5,'23_W1_EC'!F5,'23_W1_EC'!H5))</x:f>
        <x:v>997</x:v>
      </x:c>
      <x:c r="J788" s="32" t="str">
        <x:v>μS/cm</x:v>
      </x:c>
    </x:row>
    <x:row r="789">
      <x:c r="A789" s="72" t="n">
        <x:v>46240.80269675926</x:v>
      </x:c>
      <x:c r="B789" s="32" t="str">
        <x:v>土壤EC</x:v>
      </x:c>
      <x:c r="C789" s="32" t="str">
        <x:v>W1</x:v>
      </x:c>
      <x:c r="D789" s="32" t="str">
        <x:v>V2</x:v>
      </x:c>
      <x:c r="E789" s="86" t="n">
        <x:f>COUNT('23_W1_EC'!C5,'23_W1_EC'!E5,'23_W1_EC'!G5,'23_W1_EC'!I5)</x:f>
        <x:v>4</x:v>
      </x:c>
      <x:c r="F789" s="90" t="n">
        <x:f>IF(E789=0,"",AVERAGE('23_W1_EC'!C5,'23_W1_EC'!E5,'23_W1_EC'!G5,'23_W1_EC'!I5))</x:f>
        <x:v>937</x:v>
      </x:c>
      <x:c r="G789" s="90" t="n">
        <x:f>IF(E789&lt;2,"",STDEV.S('23_W1_EC'!C5,'23_W1_EC'!E5,'23_W1_EC'!G5,'23_W1_EC'!I5))</x:f>
        <x:v>70.25192761293695</x:v>
      </x:c>
      <x:c r="H789" s="90" t="n">
        <x:f>IF(E789=0,"",MIN('23_W1_EC'!C5,'23_W1_EC'!E5,'23_W1_EC'!G5,'23_W1_EC'!I5))</x:f>
        <x:v>843</x:v>
      </x:c>
      <x:c r="I789" s="90" t="n">
        <x:f>IF(E789=0,"",MAX('23_W1_EC'!C5,'23_W1_EC'!E5,'23_W1_EC'!G5,'23_W1_EC'!I5))</x:f>
        <x:v>1010</x:v>
      </x:c>
      <x:c r="J789" s="32" t="str">
        <x:v>μS/cm</x:v>
      </x:c>
    </x:row>
    <x:row r="790">
      <x:c r="A790" s="72" t="n">
        <x:v>46240.80616898148</x:v>
      </x:c>
      <x:c r="B790" s="32" t="str">
        <x:v>土壤EC</x:v>
      </x:c>
      <x:c r="C790" s="32" t="str">
        <x:v>W1</x:v>
      </x:c>
      <x:c r="D790" s="32" t="str">
        <x:v>V1</x:v>
      </x:c>
      <x:c r="E790" s="86" t="n">
        <x:f>COUNT('23_W1_EC'!B6,'23_W1_EC'!D6,'23_W1_EC'!F6,'23_W1_EC'!H6)</x:f>
        <x:v>4</x:v>
      </x:c>
      <x:c r="F790" s="90" t="n">
        <x:f>IF(E790=0,"",AVERAGE('23_W1_EC'!B6,'23_W1_EC'!D6,'23_W1_EC'!F6,'23_W1_EC'!H6))</x:f>
        <x:v>925.5</x:v>
      </x:c>
      <x:c r="G790" s="90" t="n">
        <x:f>IF(E790&lt;2,"",STDEV.S('23_W1_EC'!B6,'23_W1_EC'!D6,'23_W1_EC'!F6,'23_W1_EC'!H6))</x:f>
        <x:v>80.45081313034277</x:v>
      </x:c>
      <x:c r="H790" s="90" t="n">
        <x:f>IF(E790=0,"",MIN('23_W1_EC'!B6,'23_W1_EC'!D6,'23_W1_EC'!F6,'23_W1_EC'!H6))</x:f>
        <x:v>814</x:v>
      </x:c>
      <x:c r="I790" s="90" t="n">
        <x:f>IF(E790=0,"",MAX('23_W1_EC'!B6,'23_W1_EC'!D6,'23_W1_EC'!F6,'23_W1_EC'!H6))</x:f>
        <x:v>998</x:v>
      </x:c>
      <x:c r="J790" s="32" t="str">
        <x:v>μS/cm</x:v>
      </x:c>
    </x:row>
    <x:row r="791">
      <x:c r="A791" s="72" t="n">
        <x:v>46240.80616898148</x:v>
      </x:c>
      <x:c r="B791" s="32" t="str">
        <x:v>土壤EC</x:v>
      </x:c>
      <x:c r="C791" s="32" t="str">
        <x:v>W1</x:v>
      </x:c>
      <x:c r="D791" s="32" t="str">
        <x:v>V2</x:v>
      </x:c>
      <x:c r="E791" s="86" t="n">
        <x:f>COUNT('23_W1_EC'!C6,'23_W1_EC'!E6,'23_W1_EC'!G6,'23_W1_EC'!I6)</x:f>
        <x:v>4</x:v>
      </x:c>
      <x:c r="F791" s="90" t="n">
        <x:f>IF(E791=0,"",AVERAGE('23_W1_EC'!C6,'23_W1_EC'!E6,'23_W1_EC'!G6,'23_W1_EC'!I6))</x:f>
        <x:v>937.25</x:v>
      </x:c>
      <x:c r="G791" s="90" t="n">
        <x:f>IF(E791&lt;2,"",STDEV.S('23_W1_EC'!C6,'23_W1_EC'!E6,'23_W1_EC'!G6,'23_W1_EC'!I6))</x:f>
        <x:v>75.17257922052872</x:v>
      </x:c>
      <x:c r="H791" s="90" t="n">
        <x:f>IF(E791=0,"",MIN('23_W1_EC'!C6,'23_W1_EC'!E6,'23_W1_EC'!G6,'23_W1_EC'!I6))</x:f>
        <x:v>834</x:v>
      </x:c>
      <x:c r="I791" s="90" t="n">
        <x:f>IF(E791=0,"",MAX('23_W1_EC'!C6,'23_W1_EC'!E6,'23_W1_EC'!G6,'23_W1_EC'!I6))</x:f>
        <x:v>1009</x:v>
      </x:c>
      <x:c r="J791" s="32" t="str">
        <x:v>μS/cm</x:v>
      </x:c>
    </x:row>
    <x:row r="792">
      <x:c r="A792" s="72" t="n">
        <x:v>46240.809641203705</x:v>
      </x:c>
      <x:c r="B792" s="32" t="str">
        <x:v>土壤EC</x:v>
      </x:c>
      <x:c r="C792" s="32" t="str">
        <x:v>W1</x:v>
      </x:c>
      <x:c r="D792" s="32" t="str">
        <x:v>V1</x:v>
      </x:c>
      <x:c r="E792" s="86" t="n">
        <x:f>COUNT('23_W1_EC'!B7,'23_W1_EC'!D7,'23_W1_EC'!F7,'23_W1_EC'!H7)</x:f>
        <x:v>4</x:v>
      </x:c>
      <x:c r="F792" s="90" t="n">
        <x:f>IF(E792=0,"",AVERAGE('23_W1_EC'!B7,'23_W1_EC'!D7,'23_W1_EC'!F7,'23_W1_EC'!H7))</x:f>
        <x:v>925.5</x:v>
      </x:c>
      <x:c r="G792" s="90" t="n">
        <x:f>IF(E792&lt;2,"",STDEV.S('23_W1_EC'!B7,'23_W1_EC'!D7,'23_W1_EC'!F7,'23_W1_EC'!H7))</x:f>
        <x:v>87.27924533740348</x:v>
      </x:c>
      <x:c r="H792" s="90" t="n">
        <x:f>IF(E792=0,"",MIN('23_W1_EC'!B7,'23_W1_EC'!D7,'23_W1_EC'!F7,'23_W1_EC'!H7))</x:f>
        <x:v>805</x:v>
      </x:c>
      <x:c r="I792" s="90" t="n">
        <x:f>IF(E792=0,"",MAX('23_W1_EC'!B7,'23_W1_EC'!D7,'23_W1_EC'!F7,'23_W1_EC'!H7))</x:f>
        <x:v>1002</x:v>
      </x:c>
      <x:c r="J792" s="32" t="str">
        <x:v>μS/cm</x:v>
      </x:c>
    </x:row>
    <x:row r="793">
      <x:c r="A793" s="72" t="n">
        <x:v>46240.809641203705</x:v>
      </x:c>
      <x:c r="B793" s="32" t="str">
        <x:v>土壤EC</x:v>
      </x:c>
      <x:c r="C793" s="32" t="str">
        <x:v>W1</x:v>
      </x:c>
      <x:c r="D793" s="32" t="str">
        <x:v>V2</x:v>
      </x:c>
      <x:c r="E793" s="86" t="n">
        <x:f>COUNT('23_W1_EC'!C7,'23_W1_EC'!E7,'23_W1_EC'!G7,'23_W1_EC'!I7)</x:f>
        <x:v>4</x:v>
      </x:c>
      <x:c r="F793" s="90" t="n">
        <x:f>IF(E793=0,"",AVERAGE('23_W1_EC'!C7,'23_W1_EC'!E7,'23_W1_EC'!G7,'23_W1_EC'!I7))</x:f>
        <x:v>937.5</x:v>
      </x:c>
      <x:c r="G793" s="90" t="n">
        <x:f>IF(E793&lt;2,"",STDEV.S('23_W1_EC'!C7,'23_W1_EC'!E7,'23_W1_EC'!G7,'23_W1_EC'!I7))</x:f>
        <x:v>80.45081313034277</x:v>
      </x:c>
      <x:c r="H793" s="90" t="n">
        <x:f>IF(E793=0,"",MIN('23_W1_EC'!C7,'23_W1_EC'!E7,'23_W1_EC'!G7,'23_W1_EC'!I7))</x:f>
        <x:v>826</x:v>
      </x:c>
      <x:c r="I793" s="90" t="n">
        <x:f>IF(E793=0,"",MAX('23_W1_EC'!C7,'23_W1_EC'!E7,'23_W1_EC'!G7,'23_W1_EC'!I7))</x:f>
        <x:v>1010</x:v>
      </x:c>
      <x:c r="J793" s="32" t="str">
        <x:v>μS/cm</x:v>
      </x:c>
    </x:row>
    <x:row r="794">
      <x:c r="A794" s="72" t="n">
        <x:v>46240.813113425924</x:v>
      </x:c>
      <x:c r="B794" s="32" t="str">
        <x:v>土壤EC</x:v>
      </x:c>
      <x:c r="C794" s="32" t="str">
        <x:v>W1</x:v>
      </x:c>
      <x:c r="D794" s="32" t="str">
        <x:v>V1</x:v>
      </x:c>
      <x:c r="E794" s="86" t="n">
        <x:f>COUNT('23_W1_EC'!B8,'23_W1_EC'!D8,'23_W1_EC'!F8,'23_W1_EC'!H8)</x:f>
        <x:v>4</x:v>
      </x:c>
      <x:c r="F794" s="90" t="n">
        <x:f>IF(E794=0,"",AVERAGE('23_W1_EC'!B8,'23_W1_EC'!D8,'23_W1_EC'!F8,'23_W1_EC'!H8))</x:f>
        <x:v>925.75</x:v>
      </x:c>
      <x:c r="G794" s="90" t="n">
        <x:f>IF(E794&lt;2,"",STDEV.S('23_W1_EC'!B8,'23_W1_EC'!D8,'23_W1_EC'!F8,'23_W1_EC'!H8))</x:f>
        <x:v>94.07576733675894</x:v>
      </x:c>
      <x:c r="H794" s="90" t="n">
        <x:f>IF(E794=0,"",MIN('23_W1_EC'!B8,'23_W1_EC'!D8,'23_W1_EC'!F8,'23_W1_EC'!H8))</x:f>
        <x:v>797</x:v>
      </x:c>
      <x:c r="I794" s="90" t="n">
        <x:f>IF(E794=0,"",MAX('23_W1_EC'!B8,'23_W1_EC'!D8,'23_W1_EC'!F8,'23_W1_EC'!H8))</x:f>
        <x:v>1007</x:v>
      </x:c>
      <x:c r="J794" s="32" t="str">
        <x:v>μS/cm</x:v>
      </x:c>
    </x:row>
    <x:row r="795">
      <x:c r="A795" s="72" t="n">
        <x:v>46240.813113425924</x:v>
      </x:c>
      <x:c r="B795" s="32" t="str">
        <x:v>土壤EC</x:v>
      </x:c>
      <x:c r="C795" s="32" t="str">
        <x:v>W1</x:v>
      </x:c>
      <x:c r="D795" s="32" t="str">
        <x:v>V2</x:v>
      </x:c>
      <x:c r="E795" s="86" t="n">
        <x:f>COUNT('23_W1_EC'!C8,'23_W1_EC'!E8,'23_W1_EC'!G8,'23_W1_EC'!I8)</x:f>
        <x:v>4</x:v>
      </x:c>
      <x:c r="F795" s="90" t="n">
        <x:f>IF(E795=0,"",AVERAGE('23_W1_EC'!C8,'23_W1_EC'!E8,'23_W1_EC'!G8,'23_W1_EC'!I8))</x:f>
        <x:v>937.5</x:v>
      </x:c>
      <x:c r="G795" s="90" t="n">
        <x:f>IF(E795&lt;2,"",STDEV.S('23_W1_EC'!C8,'23_W1_EC'!E8,'23_W1_EC'!G8,'23_W1_EC'!I8))</x:f>
        <x:v>87.27924533740348</x:v>
      </x:c>
      <x:c r="H795" s="90" t="n">
        <x:f>IF(E795=0,"",MIN('23_W1_EC'!C8,'23_W1_EC'!E8,'23_W1_EC'!G8,'23_W1_EC'!I8))</x:f>
        <x:v>817</x:v>
      </x:c>
      <x:c r="I795" s="90" t="n">
        <x:f>IF(E795=0,"",MAX('23_W1_EC'!C8,'23_W1_EC'!E8,'23_W1_EC'!G8,'23_W1_EC'!I8))</x:f>
        <x:v>1014</x:v>
      </x:c>
      <x:c r="J795" s="32" t="str">
        <x:v>μS/cm</x:v>
      </x:c>
    </x:row>
    <x:row r="796">
      <x:c r="A796" s="72" t="n">
        <x:v>46240.81658564815</x:v>
      </x:c>
      <x:c r="B796" s="32" t="str">
        <x:v>土壤EC</x:v>
      </x:c>
      <x:c r="C796" s="32" t="str">
        <x:v>W1</x:v>
      </x:c>
      <x:c r="D796" s="32" t="str">
        <x:v>V1</x:v>
      </x:c>
      <x:c r="E796" s="86" t="n">
        <x:f>COUNT('23_W1_EC'!B9,'23_W1_EC'!D9,'23_W1_EC'!F9,'23_W1_EC'!H9)</x:f>
        <x:v>4</x:v>
      </x:c>
      <x:c r="F796" s="90" t="n">
        <x:f>IF(E796=0,"",AVERAGE('23_W1_EC'!B9,'23_W1_EC'!D9,'23_W1_EC'!F9,'23_W1_EC'!H9))</x:f>
        <x:v>925.75</x:v>
      </x:c>
      <x:c r="G796" s="90" t="n">
        <x:f>IF(E796&lt;2,"",STDEV.S('23_W1_EC'!B9,'23_W1_EC'!D9,'23_W1_EC'!F9,'23_W1_EC'!H9))</x:f>
        <x:v>100.77160645075907</x:v>
      </x:c>
      <x:c r="H796" s="90" t="n">
        <x:f>IF(E796=0,"",MIN('23_W1_EC'!B9,'23_W1_EC'!D9,'23_W1_EC'!F9,'23_W1_EC'!H9))</x:f>
        <x:v>790</x:v>
      </x:c>
      <x:c r="I796" s="90" t="n">
        <x:f>IF(E796=0,"",MAX('23_W1_EC'!B9,'23_W1_EC'!D9,'23_W1_EC'!F9,'23_W1_EC'!H9))</x:f>
        <x:v>1014</x:v>
      </x:c>
      <x:c r="J796" s="32" t="str">
        <x:v>μS/cm</x:v>
      </x:c>
    </x:row>
    <x:row r="797">
      <x:c r="A797" s="72" t="n">
        <x:v>46240.81658564815</x:v>
      </x:c>
      <x:c r="B797" s="32" t="str">
        <x:v>土壤EC</x:v>
      </x:c>
      <x:c r="C797" s="32" t="str">
        <x:v>W1</x:v>
      </x:c>
      <x:c r="D797" s="32" t="str">
        <x:v>V2</x:v>
      </x:c>
      <x:c r="E797" s="86" t="n">
        <x:f>COUNT('23_W1_EC'!C9,'23_W1_EC'!E9,'23_W1_EC'!G9,'23_W1_EC'!I9)</x:f>
        <x:v>4</x:v>
      </x:c>
      <x:c r="F797" s="90" t="n">
        <x:f>IF(E797=0,"",AVERAGE('23_W1_EC'!C9,'23_W1_EC'!E9,'23_W1_EC'!G9,'23_W1_EC'!I9))</x:f>
        <x:v>937.75</x:v>
      </x:c>
      <x:c r="G797" s="90" t="n">
        <x:f>IF(E797&lt;2,"",STDEV.S('23_W1_EC'!C9,'23_W1_EC'!E9,'23_W1_EC'!G9,'23_W1_EC'!I9))</x:f>
        <x:v>94.07576733675894</x:v>
      </x:c>
      <x:c r="H797" s="90" t="n">
        <x:f>IF(E797=0,"",MIN('23_W1_EC'!C9,'23_W1_EC'!E9,'23_W1_EC'!G9,'23_W1_EC'!I9))</x:f>
        <x:v>809</x:v>
      </x:c>
      <x:c r="I797" s="90" t="n">
        <x:f>IF(E797=0,"",MAX('23_W1_EC'!C9,'23_W1_EC'!E9,'23_W1_EC'!G9,'23_W1_EC'!I9))</x:f>
        <x:v>1019</x:v>
      </x:c>
      <x:c r="J797" s="32" t="str">
        <x:v>μS/cm</x:v>
      </x:c>
    </x:row>
    <x:row r="798">
      <x:c r="A798" s="72" t="n">
        <x:v>46240.82005787037</x:v>
      </x:c>
      <x:c r="B798" s="32" t="str">
        <x:v>土壤EC</x:v>
      </x:c>
      <x:c r="C798" s="32" t="str">
        <x:v>W1</x:v>
      </x:c>
      <x:c r="D798" s="32" t="str">
        <x:v>V1</x:v>
      </x:c>
      <x:c r="E798" s="86" t="n">
        <x:f>COUNT('23_W1_EC'!B10,'23_W1_EC'!D10,'23_W1_EC'!F10,'23_W1_EC'!H10)</x:f>
        <x:v>4</x:v>
      </x:c>
      <x:c r="F798" s="90" t="n">
        <x:f>IF(E798=0,"",AVERAGE('23_W1_EC'!B10,'23_W1_EC'!D10,'23_W1_EC'!F10,'23_W1_EC'!H10))</x:f>
        <x:v>925.75</x:v>
      </x:c>
      <x:c r="G798" s="90" t="n">
        <x:f>IF(E798&lt;2,"",STDEV.S('23_W1_EC'!B10,'23_W1_EC'!D10,'23_W1_EC'!F10,'23_W1_EC'!H10))</x:f>
        <x:v>106.6376262551513</x:v>
      </x:c>
      <x:c r="H798" s="90" t="n">
        <x:f>IF(E798=0,"",MIN('23_W1_EC'!B10,'23_W1_EC'!D10,'23_W1_EC'!F10,'23_W1_EC'!H10))</x:f>
        <x:v>785</x:v>
      </x:c>
      <x:c r="I798" s="90" t="n">
        <x:f>IF(E798=0,"",MAX('23_W1_EC'!B10,'23_W1_EC'!D10,'23_W1_EC'!F10,'23_W1_EC'!H10))</x:f>
        <x:v>1022</x:v>
      </x:c>
      <x:c r="J798" s="32" t="str">
        <x:v>μS/cm</x:v>
      </x:c>
    </x:row>
    <x:row r="799">
      <x:c r="A799" s="72" t="n">
        <x:v>46240.82005787037</x:v>
      </x:c>
      <x:c r="B799" s="32" t="str">
        <x:v>土壤EC</x:v>
      </x:c>
      <x:c r="C799" s="32" t="str">
        <x:v>W1</x:v>
      </x:c>
      <x:c r="D799" s="32" t="str">
        <x:v>V2</x:v>
      </x:c>
      <x:c r="E799" s="86" t="n">
        <x:f>COUNT('23_W1_EC'!C10,'23_W1_EC'!E10,'23_W1_EC'!G10,'23_W1_EC'!I10)</x:f>
        <x:v>4</x:v>
      </x:c>
      <x:c r="F799" s="90" t="n">
        <x:f>IF(E799=0,"",AVERAGE('23_W1_EC'!C10,'23_W1_EC'!E10,'23_W1_EC'!G10,'23_W1_EC'!I10))</x:f>
        <x:v>937.75</x:v>
      </x:c>
      <x:c r="G799" s="90" t="n">
        <x:f>IF(E799&lt;2,"",STDEV.S('23_W1_EC'!C10,'23_W1_EC'!E10,'23_W1_EC'!G10,'23_W1_EC'!I10))</x:f>
        <x:v>100.77160645075907</x:v>
      </x:c>
      <x:c r="H799" s="90" t="n">
        <x:f>IF(E799=0,"",MIN('23_W1_EC'!C10,'23_W1_EC'!E10,'23_W1_EC'!G10,'23_W1_EC'!I10))</x:f>
        <x:v>802</x:v>
      </x:c>
      <x:c r="I799" s="90" t="n">
        <x:f>IF(E799=0,"",MAX('23_W1_EC'!C10,'23_W1_EC'!E10,'23_W1_EC'!G10,'23_W1_EC'!I10))</x:f>
        <x:v>1026</x:v>
      </x:c>
      <x:c r="J799" s="32" t="str">
        <x:v>μS/cm</x:v>
      </x:c>
    </x:row>
    <x:row r="800">
      <x:c r="A800" s="72" t="n">
        <x:v>46240.823530092595</x:v>
      </x:c>
      <x:c r="B800" s="32" t="str">
        <x:v>土壤EC</x:v>
      </x:c>
      <x:c r="C800" s="32" t="str">
        <x:v>W1</x:v>
      </x:c>
      <x:c r="D800" s="32" t="str">
        <x:v>V1</x:v>
      </x:c>
      <x:c r="E800" s="86" t="n">
        <x:f>COUNT('23_W1_EC'!B11,'23_W1_EC'!D11,'23_W1_EC'!F11,'23_W1_EC'!H11)</x:f>
        <x:v>4</x:v>
      </x:c>
      <x:c r="F800" s="90" t="n">
        <x:f>IF(E800=0,"",AVERAGE('23_W1_EC'!B11,'23_W1_EC'!D11,'23_W1_EC'!F11,'23_W1_EC'!H11))</x:f>
        <x:v>925.5</x:v>
      </x:c>
      <x:c r="G800" s="90" t="n">
        <x:f>IF(E800&lt;2,"",STDEV.S('23_W1_EC'!B11,'23_W1_EC'!D11,'23_W1_EC'!F11,'23_W1_EC'!H11))</x:f>
        <x:v>111.8704608017684</x:v>
      </x:c>
      <x:c r="H800" s="90" t="n">
        <x:f>IF(E800=0,"",MIN('23_W1_EC'!B11,'23_W1_EC'!D11,'23_W1_EC'!F11,'23_W1_EC'!H11))</x:f>
        <x:v>782</x:v>
      </x:c>
      <x:c r="I800" s="90" t="n">
        <x:f>IF(E800=0,"",MAX('23_W1_EC'!B11,'23_W1_EC'!D11,'23_W1_EC'!F11,'23_W1_EC'!H11))</x:f>
        <x:v>1031</x:v>
      </x:c>
      <x:c r="J800" s="32" t="str">
        <x:v>μS/cm</x:v>
      </x:c>
    </x:row>
    <x:row r="801">
      <x:c r="A801" s="72" t="n">
        <x:v>46240.823530092595</x:v>
      </x:c>
      <x:c r="B801" s="32" t="str">
        <x:v>土壤EC</x:v>
      </x:c>
      <x:c r="C801" s="32" t="str">
        <x:v>W1</x:v>
      </x:c>
      <x:c r="D801" s="32" t="str">
        <x:v>V2</x:v>
      </x:c>
      <x:c r="E801" s="86" t="n">
        <x:f>COUNT('23_W1_EC'!C11,'23_W1_EC'!E11,'23_W1_EC'!G11,'23_W1_EC'!I11)</x:f>
        <x:v>4</x:v>
      </x:c>
      <x:c r="F801" s="90" t="n">
        <x:f>IF(E801=0,"",AVERAGE('23_W1_EC'!C11,'23_W1_EC'!E11,'23_W1_EC'!G11,'23_W1_EC'!I11))</x:f>
        <x:v>937.75</x:v>
      </x:c>
      <x:c r="G801" s="90" t="n">
        <x:f>IF(E801&lt;2,"",STDEV.S('23_W1_EC'!C11,'23_W1_EC'!E11,'23_W1_EC'!G11,'23_W1_EC'!I11))</x:f>
        <x:v>106.6376262551513</x:v>
      </x:c>
      <x:c r="H801" s="90" t="n">
        <x:f>IF(E801=0,"",MIN('23_W1_EC'!C11,'23_W1_EC'!E11,'23_W1_EC'!G11,'23_W1_EC'!I11))</x:f>
        <x:v>797</x:v>
      </x:c>
      <x:c r="I801" s="90" t="n">
        <x:f>IF(E801=0,"",MAX('23_W1_EC'!C11,'23_W1_EC'!E11,'23_W1_EC'!G11,'23_W1_EC'!I11))</x:f>
        <x:v>1034</x:v>
      </x:c>
      <x:c r="J801" s="32" t="str">
        <x:v>μS/cm</x:v>
      </x:c>
    </x:row>
    <x:row r="802">
      <x:c r="A802" s="72" t="n">
        <x:v>46240.827002314814</x:v>
      </x:c>
      <x:c r="B802" s="32" t="str">
        <x:v>土壤EC</x:v>
      </x:c>
      <x:c r="C802" s="32" t="str">
        <x:v>W1</x:v>
      </x:c>
      <x:c r="D802" s="32" t="str">
        <x:v>V1</x:v>
      </x:c>
      <x:c r="E802" s="86" t="n">
        <x:f>COUNT('23_W1_EC'!B12,'23_W1_EC'!D12,'23_W1_EC'!F12,'23_W1_EC'!H12)</x:f>
        <x:v>4</x:v>
      </x:c>
      <x:c r="F802" s="90" t="n">
        <x:f>IF(E802=0,"",AVERAGE('23_W1_EC'!B12,'23_W1_EC'!D12,'23_W1_EC'!F12,'23_W1_EC'!H12))</x:f>
        <x:v>925.25</x:v>
      </x:c>
      <x:c r="G802" s="90" t="n">
        <x:f>IF(E802&lt;2,"",STDEV.S('23_W1_EC'!B12,'23_W1_EC'!D12,'23_W1_EC'!F12,'23_W1_EC'!H12))</x:f>
        <x:v>115.69031938757884</x:v>
      </x:c>
      <x:c r="H802" s="90" t="n">
        <x:f>IF(E802=0,"",MIN('23_W1_EC'!B12,'23_W1_EC'!D12,'23_W1_EC'!F12,'23_W1_EC'!H12))</x:f>
        <x:v>781</x:v>
      </x:c>
      <x:c r="I802" s="90" t="n">
        <x:f>IF(E802=0,"",MAX('23_W1_EC'!B12,'23_W1_EC'!D12,'23_W1_EC'!F12,'23_W1_EC'!H12))</x:f>
        <x:v>1039</x:v>
      </x:c>
      <x:c r="J802" s="32" t="str">
        <x:v>μS/cm</x:v>
      </x:c>
    </x:row>
    <x:row r="803">
      <x:c r="A803" s="72" t="n">
        <x:v>46240.827002314814</x:v>
      </x:c>
      <x:c r="B803" s="32" t="str">
        <x:v>土壤EC</x:v>
      </x:c>
      <x:c r="C803" s="32" t="str">
        <x:v>W1</x:v>
      </x:c>
      <x:c r="D803" s="32" t="str">
        <x:v>V2</x:v>
      </x:c>
      <x:c r="E803" s="86" t="n">
        <x:f>COUNT('23_W1_EC'!C12,'23_W1_EC'!E12,'23_W1_EC'!G12,'23_W1_EC'!I12)</x:f>
        <x:v>4</x:v>
      </x:c>
      <x:c r="F803" s="90" t="n">
        <x:f>IF(E803=0,"",AVERAGE('23_W1_EC'!C12,'23_W1_EC'!E12,'23_W1_EC'!G12,'23_W1_EC'!I12))</x:f>
        <x:v>937.5</x:v>
      </x:c>
      <x:c r="G803" s="90" t="n">
        <x:f>IF(E803&lt;2,"",STDEV.S('23_W1_EC'!C12,'23_W1_EC'!E12,'23_W1_EC'!G12,'23_W1_EC'!I12))</x:f>
        <x:v>111.8704608017684</x:v>
      </x:c>
      <x:c r="H803" s="90" t="n">
        <x:f>IF(E803=0,"",MIN('23_W1_EC'!C12,'23_W1_EC'!E12,'23_W1_EC'!G12,'23_W1_EC'!I12))</x:f>
        <x:v>794</x:v>
      </x:c>
      <x:c r="I803" s="90" t="n">
        <x:f>IF(E803=0,"",MAX('23_W1_EC'!C12,'23_W1_EC'!E12,'23_W1_EC'!G12,'23_W1_EC'!I12))</x:f>
        <x:v>1043</x:v>
      </x:c>
      <x:c r="J803" s="32" t="str">
        <x:v>μS/cm</x:v>
      </x:c>
    </x:row>
    <x:row r="804">
      <x:c r="A804" s="72" t="n">
        <x:v>46240.83047453704</x:v>
      </x:c>
      <x:c r="B804" s="32" t="str">
        <x:v>土壤EC</x:v>
      </x:c>
      <x:c r="C804" s="32" t="str">
        <x:v>W1</x:v>
      </x:c>
      <x:c r="D804" s="32" t="str">
        <x:v>V1</x:v>
      </x:c>
      <x:c r="E804" s="86" t="n">
        <x:f>COUNT('23_W1_EC'!B13,'23_W1_EC'!D13,'23_W1_EC'!F13,'23_W1_EC'!H13)</x:f>
        <x:v>4</x:v>
      </x:c>
      <x:c r="F804" s="90" t="n">
        <x:f>IF(E804=0,"",AVERAGE('23_W1_EC'!B13,'23_W1_EC'!D13,'23_W1_EC'!F13,'23_W1_EC'!H13))</x:f>
        <x:v>924.5</x:v>
      </x:c>
      <x:c r="G804" s="90" t="n">
        <x:f>IF(E804&lt;2,"",STDEV.S('23_W1_EC'!B13,'23_W1_EC'!D13,'23_W1_EC'!F13,'23_W1_EC'!H13))</x:f>
        <x:v>118.49753865235625</x:v>
      </x:c>
      <x:c r="H804" s="90" t="n">
        <x:f>IF(E804=0,"",MIN('23_W1_EC'!B13,'23_W1_EC'!D13,'23_W1_EC'!F13,'23_W1_EC'!H13))</x:f>
        <x:v>782</x:v>
      </x:c>
      <x:c r="I804" s="90" t="n">
        <x:f>IF(E804=0,"",MAX('23_W1_EC'!B13,'23_W1_EC'!D13,'23_W1_EC'!F13,'23_W1_EC'!H13))</x:f>
        <x:v>1047</x:v>
      </x:c>
      <x:c r="J804" s="32" t="str">
        <x:v>μS/cm</x:v>
      </x:c>
    </x:row>
    <x:row r="805">
      <x:c r="A805" s="72" t="n">
        <x:v>46240.83047453704</x:v>
      </x:c>
      <x:c r="B805" s="32" t="str">
        <x:v>土壤EC</x:v>
      </x:c>
      <x:c r="C805" s="32" t="str">
        <x:v>W1</x:v>
      </x:c>
      <x:c r="D805" s="32" t="str">
        <x:v>V2</x:v>
      </x:c>
      <x:c r="E805" s="86" t="n">
        <x:f>COUNT('23_W1_EC'!C13,'23_W1_EC'!E13,'23_W1_EC'!G13,'23_W1_EC'!I13)</x:f>
        <x:v>4</x:v>
      </x:c>
      <x:c r="F805" s="90" t="n">
        <x:f>IF(E805=0,"",AVERAGE('23_W1_EC'!C13,'23_W1_EC'!E13,'23_W1_EC'!G13,'23_W1_EC'!I13))</x:f>
        <x:v>937.25</x:v>
      </x:c>
      <x:c r="G805" s="90" t="n">
        <x:f>IF(E805&lt;2,"",STDEV.S('23_W1_EC'!C13,'23_W1_EC'!E13,'23_W1_EC'!G13,'23_W1_EC'!I13))</x:f>
        <x:v>115.69031938757884</x:v>
      </x:c>
      <x:c r="H805" s="90" t="n">
        <x:f>IF(E805=0,"",MIN('23_W1_EC'!C13,'23_W1_EC'!E13,'23_W1_EC'!G13,'23_W1_EC'!I13))</x:f>
        <x:v>793</x:v>
      </x:c>
      <x:c r="I805" s="90" t="n">
        <x:f>IF(E805=0,"",MAX('23_W1_EC'!C13,'23_W1_EC'!E13,'23_W1_EC'!G13,'23_W1_EC'!I13))</x:f>
        <x:v>1051</x:v>
      </x:c>
      <x:c r="J805" s="32" t="str">
        <x:v>μS/cm</x:v>
      </x:c>
    </x:row>
    <x:row r="806">
      <x:c r="A806" s="72" t="n">
        <x:v>46240.83394675926</x:v>
      </x:c>
      <x:c r="B806" s="32" t="str">
        <x:v>土壤EC</x:v>
      </x:c>
      <x:c r="C806" s="32" t="str">
        <x:v>W1</x:v>
      </x:c>
      <x:c r="D806" s="32" t="str">
        <x:v>V1</x:v>
      </x:c>
      <x:c r="E806" s="86" t="n">
        <x:f>COUNT('23_W1_EC'!B14,'23_W1_EC'!D14,'23_W1_EC'!F14,'23_W1_EC'!H14)</x:f>
        <x:v>4</x:v>
      </x:c>
      <x:c r="F806" s="90" t="n">
        <x:f>IF(E806=0,"",AVERAGE('23_W1_EC'!B14,'23_W1_EC'!D14,'23_W1_EC'!F14,'23_W1_EC'!H14))</x:f>
        <x:v>924.25</x:v>
      </x:c>
      <x:c r="G806" s="90" t="n">
        <x:f>IF(E806&lt;2,"",STDEV.S('23_W1_EC'!B14,'23_W1_EC'!D14,'23_W1_EC'!F14,'23_W1_EC'!H14))</x:f>
        <x:v>120.55807729057393</x:v>
      </x:c>
      <x:c r="H806" s="90" t="n">
        <x:f>IF(E806=0,"",MIN('23_W1_EC'!B14,'23_W1_EC'!D14,'23_W1_EC'!F14,'23_W1_EC'!H14))</x:f>
        <x:v>785</x:v>
      </x:c>
      <x:c r="I806" s="90" t="n">
        <x:f>IF(E806=0,"",MAX('23_W1_EC'!B14,'23_W1_EC'!D14,'23_W1_EC'!F14,'23_W1_EC'!H14))</x:f>
        <x:v>1055</x:v>
      </x:c>
      <x:c r="J806" s="32" t="str">
        <x:v>μS/cm</x:v>
      </x:c>
    </x:row>
    <x:row r="807">
      <x:c r="A807" s="72" t="n">
        <x:v>46240.83394675926</x:v>
      </x:c>
      <x:c r="B807" s="32" t="str">
        <x:v>土壤EC</x:v>
      </x:c>
      <x:c r="C807" s="32" t="str">
        <x:v>W1</x:v>
      </x:c>
      <x:c r="D807" s="32" t="str">
        <x:v>V2</x:v>
      </x:c>
      <x:c r="E807" s="86" t="n">
        <x:f>COUNT('23_W1_EC'!C14,'23_W1_EC'!E14,'23_W1_EC'!G14,'23_W1_EC'!I14)</x:f>
        <x:v>4</x:v>
      </x:c>
      <x:c r="F807" s="90" t="n">
        <x:f>IF(E807=0,"",AVERAGE('23_W1_EC'!C14,'23_W1_EC'!E14,'23_W1_EC'!G14,'23_W1_EC'!I14))</x:f>
        <x:v>936.5</x:v>
      </x:c>
      <x:c r="G807" s="90" t="n">
        <x:f>IF(E807&lt;2,"",STDEV.S('23_W1_EC'!C14,'23_W1_EC'!E14,'23_W1_EC'!G14,'23_W1_EC'!I14))</x:f>
        <x:v>118.49753865235625</x:v>
      </x:c>
      <x:c r="H807" s="90" t="n">
        <x:f>IF(E807=0,"",MIN('23_W1_EC'!C14,'23_W1_EC'!E14,'23_W1_EC'!G14,'23_W1_EC'!I14))</x:f>
        <x:v>794</x:v>
      </x:c>
      <x:c r="I807" s="90" t="n">
        <x:f>IF(E807=0,"",MAX('23_W1_EC'!C14,'23_W1_EC'!E14,'23_W1_EC'!G14,'23_W1_EC'!I14))</x:f>
        <x:v>1059</x:v>
      </x:c>
      <x:c r="J807" s="32" t="str">
        <x:v>μS/cm</x:v>
      </x:c>
    </x:row>
    <x:row r="808">
      <x:c r="A808" s="72" t="n">
        <x:v>46240.83741898148</x:v>
      </x:c>
      <x:c r="B808" s="32" t="str">
        <x:v>土壤EC</x:v>
      </x:c>
      <x:c r="C808" s="32" t="str">
        <x:v>W1</x:v>
      </x:c>
      <x:c r="D808" s="32" t="str">
        <x:v>V1</x:v>
      </x:c>
      <x:c r="E808" s="86" t="n">
        <x:f>COUNT('23_W1_EC'!B15,'23_W1_EC'!D15,'23_W1_EC'!F15,'23_W1_EC'!H15)</x:f>
        <x:v>4</x:v>
      </x:c>
      <x:c r="F808" s="90" t="n">
        <x:f>IF(E808=0,"",AVERAGE('23_W1_EC'!B15,'23_W1_EC'!D15,'23_W1_EC'!F15,'23_W1_EC'!H15))</x:f>
        <x:v>923.75</x:v>
      </x:c>
      <x:c r="G808" s="90" t="n">
        <x:f>IF(E808&lt;2,"",STDEV.S('23_W1_EC'!B15,'23_W1_EC'!D15,'23_W1_EC'!F15,'23_W1_EC'!H15))</x:f>
        <x:v>121.01342900686684</x:v>
      </x:c>
      <x:c r="H808" s="90" t="n">
        <x:f>IF(E808=0,"",MIN('23_W1_EC'!B15,'23_W1_EC'!D15,'23_W1_EC'!F15,'23_W1_EC'!H15))</x:f>
        <x:v>790</x:v>
      </x:c>
      <x:c r="I808" s="90" t="n">
        <x:f>IF(E808=0,"",MAX('23_W1_EC'!B15,'23_W1_EC'!D15,'23_W1_EC'!F15,'23_W1_EC'!H15))</x:f>
        <x:v>1061</x:v>
      </x:c>
      <x:c r="J808" s="32" t="str">
        <x:v>μS/cm</x:v>
      </x:c>
    </x:row>
    <x:row r="809">
      <x:c r="A809" s="72" t="n">
        <x:v>46240.83741898148</x:v>
      </x:c>
      <x:c r="B809" s="32" t="str">
        <x:v>土壤EC</x:v>
      </x:c>
      <x:c r="C809" s="32" t="str">
        <x:v>W1</x:v>
      </x:c>
      <x:c r="D809" s="32" t="str">
        <x:v>V2</x:v>
      </x:c>
      <x:c r="E809" s="86" t="n">
        <x:f>COUNT('23_W1_EC'!C15,'23_W1_EC'!E15,'23_W1_EC'!G15,'23_W1_EC'!I15)</x:f>
        <x:v>4</x:v>
      </x:c>
      <x:c r="F809" s="90" t="n">
        <x:f>IF(E809=0,"",AVERAGE('23_W1_EC'!C15,'23_W1_EC'!E15,'23_W1_EC'!G15,'23_W1_EC'!I15))</x:f>
        <x:v>936.25</x:v>
      </x:c>
      <x:c r="G809" s="90" t="n">
        <x:f>IF(E809&lt;2,"",STDEV.S('23_W1_EC'!C15,'23_W1_EC'!E15,'23_W1_EC'!G15,'23_W1_EC'!I15))</x:f>
        <x:v>120.55807729057393</x:v>
      </x:c>
      <x:c r="H809" s="90" t="n">
        <x:f>IF(E809=0,"",MIN('23_W1_EC'!C15,'23_W1_EC'!E15,'23_W1_EC'!G15,'23_W1_EC'!I15))</x:f>
        <x:v>797</x:v>
      </x:c>
      <x:c r="I809" s="90" t="n">
        <x:f>IF(E809=0,"",MAX('23_W1_EC'!C15,'23_W1_EC'!E15,'23_W1_EC'!G15,'23_W1_EC'!I15))</x:f>
        <x:v>1067</x:v>
      </x:c>
      <x:c r="J809" s="32" t="str">
        <x:v>μS/cm</x:v>
      </x:c>
    </x:row>
    <x:row r="810">
      <x:c r="A810" s="72" t="n">
        <x:v>46240.840891203705</x:v>
      </x:c>
      <x:c r="B810" s="32" t="str">
        <x:v>土壤EC</x:v>
      </x:c>
      <x:c r="C810" s="32" t="str">
        <x:v>W1</x:v>
      </x:c>
      <x:c r="D810" s="32" t="str">
        <x:v>V1</x:v>
      </x:c>
      <x:c r="E810" s="86" t="n">
        <x:f>COUNT('23_W1_EC'!B16,'23_W1_EC'!D16,'23_W1_EC'!F16,'23_W1_EC'!H16)</x:f>
        <x:v>4</x:v>
      </x:c>
      <x:c r="F810" s="90" t="n">
        <x:f>IF(E810=0,"",AVERAGE('23_W1_EC'!B16,'23_W1_EC'!D16,'23_W1_EC'!F16,'23_W1_EC'!H16))</x:f>
        <x:v>923.5</x:v>
      </x:c>
      <x:c r="G810" s="90" t="n">
        <x:f>IF(E810&lt;2,"",STDEV.S('23_W1_EC'!B16,'23_W1_EC'!D16,'23_W1_EC'!F16,'23_W1_EC'!H16))</x:f>
        <x:v>119.85964013517366</x:v>
      </x:c>
      <x:c r="H810" s="90" t="n">
        <x:f>IF(E810=0,"",MIN('23_W1_EC'!B16,'23_W1_EC'!D16,'23_W1_EC'!F16,'23_W1_EC'!H16))</x:f>
        <x:v>797</x:v>
      </x:c>
      <x:c r="I810" s="90" t="n">
        <x:f>IF(E810=0,"",MAX('23_W1_EC'!B16,'23_W1_EC'!D16,'23_W1_EC'!F16,'23_W1_EC'!H16))</x:f>
        <x:v>1065</x:v>
      </x:c>
      <x:c r="J810" s="32" t="str">
        <x:v>μS/cm</x:v>
      </x:c>
    </x:row>
    <x:row r="811">
      <x:c r="A811" s="72" t="n">
        <x:v>46240.840891203705</x:v>
      </x:c>
      <x:c r="B811" s="32" t="str">
        <x:v>土壤EC</x:v>
      </x:c>
      <x:c r="C811" s="32" t="str">
        <x:v>W1</x:v>
      </x:c>
      <x:c r="D811" s="32" t="str">
        <x:v>V2</x:v>
      </x:c>
      <x:c r="E811" s="86" t="n">
        <x:f>COUNT('23_W1_EC'!C16,'23_W1_EC'!E16,'23_W1_EC'!G16,'23_W1_EC'!I16)</x:f>
        <x:v>4</x:v>
      </x:c>
      <x:c r="F811" s="90" t="n">
        <x:f>IF(E811=0,"",AVERAGE('23_W1_EC'!C16,'23_W1_EC'!E16,'23_W1_EC'!G16,'23_W1_EC'!I16))</x:f>
        <x:v>935.75</x:v>
      </x:c>
      <x:c r="G811" s="90" t="n">
        <x:f>IF(E811&lt;2,"",STDEV.S('23_W1_EC'!C16,'23_W1_EC'!E16,'23_W1_EC'!G16,'23_W1_EC'!I16))</x:f>
        <x:v>121.01342900686684</x:v>
      </x:c>
      <x:c r="H811" s="90" t="n">
        <x:f>IF(E811=0,"",MIN('23_W1_EC'!C16,'23_W1_EC'!E16,'23_W1_EC'!G16,'23_W1_EC'!I16))</x:f>
        <x:v>802</x:v>
      </x:c>
      <x:c r="I811" s="90" t="n">
        <x:f>IF(E811=0,"",MAX('23_W1_EC'!C16,'23_W1_EC'!E16,'23_W1_EC'!G16,'23_W1_EC'!I16))</x:f>
        <x:v>1073</x:v>
      </x:c>
      <x:c r="J811" s="32" t="str">
        <x:v>μS/cm</x:v>
      </x:c>
    </x:row>
    <x:row r="812">
      <x:c r="A812" s="72" t="n">
        <x:v>46240.844363425924</x:v>
      </x:c>
      <x:c r="B812" s="32" t="str">
        <x:v>土壤EC</x:v>
      </x:c>
      <x:c r="C812" s="32" t="str">
        <x:v>W1</x:v>
      </x:c>
      <x:c r="D812" s="32" t="str">
        <x:v>V1</x:v>
      </x:c>
      <x:c r="E812" s="86" t="n">
        <x:f>COUNT('23_W1_EC'!B17,'23_W1_EC'!D17,'23_W1_EC'!F17,'23_W1_EC'!H17)</x:f>
        <x:v>4</x:v>
      </x:c>
      <x:c r="F812" s="90" t="n">
        <x:f>IF(E812=0,"",AVERAGE('23_W1_EC'!B17,'23_W1_EC'!D17,'23_W1_EC'!F17,'23_W1_EC'!H17))</x:f>
        <x:v>923</x:v>
      </x:c>
      <x:c r="G812" s="90" t="n">
        <x:f>IF(E812&lt;2,"",STDEV.S('23_W1_EC'!B17,'23_W1_EC'!D17,'23_W1_EC'!F17,'23_W1_EC'!H17))</x:f>
        <x:v>117.2888173129334</x:v>
      </x:c>
      <x:c r="H812" s="90" t="n">
        <x:f>IF(E812=0,"",MIN('23_W1_EC'!B17,'23_W1_EC'!D17,'23_W1_EC'!F17,'23_W1_EC'!H17))</x:f>
        <x:v>805</x:v>
      </x:c>
      <x:c r="I812" s="90" t="n">
        <x:f>IF(E812=0,"",MAX('23_W1_EC'!B17,'23_W1_EC'!D17,'23_W1_EC'!F17,'23_W1_EC'!H17))</x:f>
        <x:v>1067</x:v>
      </x:c>
      <x:c r="J812" s="32" t="str">
        <x:v>μS/cm</x:v>
      </x:c>
    </x:row>
    <x:row r="813">
      <x:c r="A813" s="72" t="n">
        <x:v>46240.844363425924</x:v>
      </x:c>
      <x:c r="B813" s="32" t="str">
        <x:v>土壤EC</x:v>
      </x:c>
      <x:c r="C813" s="32" t="str">
        <x:v>W1</x:v>
      </x:c>
      <x:c r="D813" s="32" t="str">
        <x:v>V2</x:v>
      </x:c>
      <x:c r="E813" s="86" t="n">
        <x:f>COUNT('23_W1_EC'!C17,'23_W1_EC'!E17,'23_W1_EC'!G17,'23_W1_EC'!I17)</x:f>
        <x:v>4</x:v>
      </x:c>
      <x:c r="F813" s="90" t="n">
        <x:f>IF(E813=0,"",AVERAGE('23_W1_EC'!C17,'23_W1_EC'!E17,'23_W1_EC'!G17,'23_W1_EC'!I17))</x:f>
        <x:v>935.5</x:v>
      </x:c>
      <x:c r="G813" s="90" t="n">
        <x:f>IF(E813&lt;2,"",STDEV.S('23_W1_EC'!C17,'23_W1_EC'!E17,'23_W1_EC'!G17,'23_W1_EC'!I17))</x:f>
        <x:v>119.85964013517366</x:v>
      </x:c>
      <x:c r="H813" s="90" t="n">
        <x:f>IF(E813=0,"",MIN('23_W1_EC'!C17,'23_W1_EC'!E17,'23_W1_EC'!G17,'23_W1_EC'!I17))</x:f>
        <x:v>809</x:v>
      </x:c>
      <x:c r="I813" s="90" t="n">
        <x:f>IF(E813=0,"",MAX('23_W1_EC'!C17,'23_W1_EC'!E17,'23_W1_EC'!G17,'23_W1_EC'!I17))</x:f>
        <x:v>1077</x:v>
      </x:c>
      <x:c r="J813" s="32" t="str">
        <x:v>μS/cm</x:v>
      </x:c>
    </x:row>
    <x:row r="814">
      <x:c r="A814" s="72" t="n">
        <x:v>46240.84783564815</x:v>
      </x:c>
      <x:c r="B814" s="32" t="str">
        <x:v>土壤EC</x:v>
      </x:c>
      <x:c r="C814" s="32" t="str">
        <x:v>W1</x:v>
      </x:c>
      <x:c r="D814" s="32" t="str">
        <x:v>V1</x:v>
      </x:c>
      <x:c r="E814" s="86" t="n">
        <x:f>COUNT('23_W1_EC'!B18,'23_W1_EC'!D18,'23_W1_EC'!F18,'23_W1_EC'!H18)</x:f>
        <x:v>4</x:v>
      </x:c>
      <x:c r="F814" s="90" t="n">
        <x:f>IF(E814=0,"",AVERAGE('23_W1_EC'!B18,'23_W1_EC'!D18,'23_W1_EC'!F18,'23_W1_EC'!H18))</x:f>
        <x:v>922.75</x:v>
      </x:c>
      <x:c r="G814" s="90" t="n">
        <x:f>IF(E814&lt;2,"",STDEV.S('23_W1_EC'!B18,'23_W1_EC'!D18,'23_W1_EC'!F18,'23_W1_EC'!H18))</x:f>
        <x:v>113.96015385505</x:v>
      </x:c>
      <x:c r="H814" s="90" t="n">
        <x:f>IF(E814=0,"",MIN('23_W1_EC'!B18,'23_W1_EC'!D18,'23_W1_EC'!F18,'23_W1_EC'!H18))</x:f>
        <x:v>813</x:v>
      </x:c>
      <x:c r="I814" s="90" t="n">
        <x:f>IF(E814=0,"",MAX('23_W1_EC'!B18,'23_W1_EC'!D18,'23_W1_EC'!F18,'23_W1_EC'!H18))</x:f>
        <x:v>1067</x:v>
      </x:c>
      <x:c r="J814" s="32" t="str">
        <x:v>μS/cm</x:v>
      </x:c>
    </x:row>
    <x:row r="815">
      <x:c r="A815" s="72" t="n">
        <x:v>46240.84783564815</x:v>
      </x:c>
      <x:c r="B815" s="32" t="str">
        <x:v>土壤EC</x:v>
      </x:c>
      <x:c r="C815" s="32" t="str">
        <x:v>W1</x:v>
      </x:c>
      <x:c r="D815" s="32" t="str">
        <x:v>V2</x:v>
      </x:c>
      <x:c r="E815" s="86" t="n">
        <x:f>COUNT('23_W1_EC'!C18,'23_W1_EC'!E18,'23_W1_EC'!G18,'23_W1_EC'!I18)</x:f>
        <x:v>4</x:v>
      </x:c>
      <x:c r="F815" s="90" t="n">
        <x:f>IF(E815=0,"",AVERAGE('23_W1_EC'!C18,'23_W1_EC'!E18,'23_W1_EC'!G18,'23_W1_EC'!I18))</x:f>
        <x:v>935</x:v>
      </x:c>
      <x:c r="G815" s="90" t="n">
        <x:f>IF(E815&lt;2,"",STDEV.S('23_W1_EC'!C18,'23_W1_EC'!E18,'23_W1_EC'!G18,'23_W1_EC'!I18))</x:f>
        <x:v>117.2888173129334</x:v>
      </x:c>
      <x:c r="H815" s="90" t="n">
        <x:f>IF(E815=0,"",MIN('23_W1_EC'!C18,'23_W1_EC'!E18,'23_W1_EC'!G18,'23_W1_EC'!I18))</x:f>
        <x:v>817</x:v>
      </x:c>
      <x:c r="I815" s="90" t="n">
        <x:f>IF(E815=0,"",MAX('23_W1_EC'!C18,'23_W1_EC'!E18,'23_W1_EC'!G18,'23_W1_EC'!I18))</x:f>
        <x:v>1079</x:v>
      </x:c>
      <x:c r="J815" s="32" t="str">
        <x:v>μS/cm</x:v>
      </x:c>
    </x:row>
    <x:row r="816">
      <x:c r="A816" s="72" t="n">
        <x:v>46240.85130787037</x:v>
      </x:c>
      <x:c r="B816" s="32" t="str">
        <x:v>土壤EC</x:v>
      </x:c>
      <x:c r="C816" s="32" t="str">
        <x:v>W1</x:v>
      </x:c>
      <x:c r="D816" s="32" t="str">
        <x:v>V1</x:v>
      </x:c>
      <x:c r="E816" s="86" t="n">
        <x:f>COUNT('23_W1_EC'!B19,'23_W1_EC'!D19,'23_W1_EC'!F19,'23_W1_EC'!H19)</x:f>
        <x:v>4</x:v>
      </x:c>
      <x:c r="F816" s="90" t="n">
        <x:f>IF(E816=0,"",AVERAGE('23_W1_EC'!B19,'23_W1_EC'!D19,'23_W1_EC'!F19,'23_W1_EC'!H19))</x:f>
        <x:v>922.25</x:v>
      </x:c>
      <x:c r="G816" s="90" t="n">
        <x:f>IF(E816&lt;2,"",STDEV.S('23_W1_EC'!B19,'23_W1_EC'!D19,'23_W1_EC'!F19,'23_W1_EC'!H19))</x:f>
        <x:v>108.8067859403386</x:v>
      </x:c>
      <x:c r="H816" s="90" t="n">
        <x:f>IF(E816=0,"",MIN('23_W1_EC'!B19,'23_W1_EC'!D19,'23_W1_EC'!F19,'23_W1_EC'!H19))</x:f>
        <x:v>822</x:v>
      </x:c>
      <x:c r="I816" s="90" t="n">
        <x:f>IF(E816=0,"",MAX('23_W1_EC'!B19,'23_W1_EC'!D19,'23_W1_EC'!F19,'23_W1_EC'!H19))</x:f>
        <x:v>1064</x:v>
      </x:c>
      <x:c r="J816" s="32" t="str">
        <x:v>μS/cm</x:v>
      </x:c>
    </x:row>
    <x:row r="817">
      <x:c r="A817" s="72" t="n">
        <x:v>46240.85130787037</x:v>
      </x:c>
      <x:c r="B817" s="32" t="str">
        <x:v>土壤EC</x:v>
      </x:c>
      <x:c r="C817" s="32" t="str">
        <x:v>W1</x:v>
      </x:c>
      <x:c r="D817" s="32" t="str">
        <x:v>V2</x:v>
      </x:c>
      <x:c r="E817" s="86" t="n">
        <x:f>COUNT('23_W1_EC'!C19,'23_W1_EC'!E19,'23_W1_EC'!G19,'23_W1_EC'!I19)</x:f>
        <x:v>4</x:v>
      </x:c>
      <x:c r="F817" s="90" t="n">
        <x:f>IF(E817=0,"",AVERAGE('23_W1_EC'!C19,'23_W1_EC'!E19,'23_W1_EC'!G19,'23_W1_EC'!I19))</x:f>
        <x:v>934.75</x:v>
      </x:c>
      <x:c r="G817" s="90" t="n">
        <x:f>IF(E817&lt;2,"",STDEV.S('23_W1_EC'!C19,'23_W1_EC'!E19,'23_W1_EC'!G19,'23_W1_EC'!I19))</x:f>
        <x:v>113.96015385505</x:v>
      </x:c>
      <x:c r="H817" s="90" t="n">
        <x:f>IF(E817=0,"",MIN('23_W1_EC'!C19,'23_W1_EC'!E19,'23_W1_EC'!G19,'23_W1_EC'!I19))</x:f>
        <x:v>825</x:v>
      </x:c>
      <x:c r="I817" s="90" t="n">
        <x:f>IF(E817=0,"",MAX('23_W1_EC'!C19,'23_W1_EC'!E19,'23_W1_EC'!G19,'23_W1_EC'!I19))</x:f>
        <x:v>1079</x:v>
      </x:c>
      <x:c r="J817" s="32" t="str">
        <x:v>μS/cm</x:v>
      </x:c>
    </x:row>
    <x:row r="818">
      <x:c r="A818" s="72" t="n">
        <x:v>46240.854780092595</x:v>
      </x:c>
      <x:c r="B818" s="32" t="str">
        <x:v>土壤EC</x:v>
      </x:c>
      <x:c r="C818" s="32" t="str">
        <x:v>W1</x:v>
      </x:c>
      <x:c r="D818" s="32" t="str">
        <x:v>V1</x:v>
      </x:c>
      <x:c r="E818" s="86" t="n">
        <x:f>COUNT('23_W1_EC'!B20,'23_W1_EC'!D20,'23_W1_EC'!F20,'23_W1_EC'!H20)</x:f>
        <x:v>4</x:v>
      </x:c>
      <x:c r="F818" s="90" t="n">
        <x:f>IF(E818=0,"",AVERAGE('23_W1_EC'!B20,'23_W1_EC'!D20,'23_W1_EC'!F20,'23_W1_EC'!H20))</x:f>
        <x:v>922</x:v>
      </x:c>
      <x:c r="G818" s="90" t="n">
        <x:f>IF(E818&lt;2,"",STDEV.S('23_W1_EC'!B20,'23_W1_EC'!D20,'23_W1_EC'!F20,'23_W1_EC'!H20))</x:f>
        <x:v>103.4311365112073</x:v>
      </x:c>
      <x:c r="H818" s="90" t="n">
        <x:f>IF(E818=0,"",MIN('23_W1_EC'!B20,'23_W1_EC'!D20,'23_W1_EC'!F20,'23_W1_EC'!H20))</x:f>
        <x:v>830</x:v>
      </x:c>
      <x:c r="I818" s="90" t="n">
        <x:f>IF(E818=0,"",MAX('23_W1_EC'!B20,'23_W1_EC'!D20,'23_W1_EC'!F20,'23_W1_EC'!H20))</x:f>
        <x:v>1060</x:v>
      </x:c>
      <x:c r="J818" s="32" t="str">
        <x:v>μS/cm</x:v>
      </x:c>
    </x:row>
    <x:row r="819">
      <x:c r="A819" s="72" t="n">
        <x:v>46240.854780092595</x:v>
      </x:c>
      <x:c r="B819" s="32" t="str">
        <x:v>土壤EC</x:v>
      </x:c>
      <x:c r="C819" s="32" t="str">
        <x:v>W1</x:v>
      </x:c>
      <x:c r="D819" s="32" t="str">
        <x:v>V2</x:v>
      </x:c>
      <x:c r="E819" s="86" t="n">
        <x:f>COUNT('23_W1_EC'!C20,'23_W1_EC'!E20,'23_W1_EC'!G20,'23_W1_EC'!I20)</x:f>
        <x:v>4</x:v>
      </x:c>
      <x:c r="F819" s="90" t="n">
        <x:f>IF(E819=0,"",AVERAGE('23_W1_EC'!C20,'23_W1_EC'!E20,'23_W1_EC'!G20,'23_W1_EC'!I20))</x:f>
        <x:v>934.25</x:v>
      </x:c>
      <x:c r="G819" s="90" t="n">
        <x:f>IF(E819&lt;2,"",STDEV.S('23_W1_EC'!C20,'23_W1_EC'!E20,'23_W1_EC'!G20,'23_W1_EC'!I20))</x:f>
        <x:v>108.8067859403386</x:v>
      </x:c>
      <x:c r="H819" s="90" t="n">
        <x:f>IF(E819=0,"",MIN('23_W1_EC'!C20,'23_W1_EC'!E20,'23_W1_EC'!G20,'23_W1_EC'!I20))</x:f>
        <x:v>834</x:v>
      </x:c>
      <x:c r="I819" s="90" t="n">
        <x:f>IF(E819=0,"",MAX('23_W1_EC'!C20,'23_W1_EC'!E20,'23_W1_EC'!G20,'23_W1_EC'!I20))</x:f>
        <x:v>1076</x:v>
      </x:c>
      <x:c r="J819" s="32" t="str">
        <x:v>μS/cm</x:v>
      </x:c>
    </x:row>
    <x:row r="820">
      <x:c r="A820" s="72" t="n">
        <x:v>46240.858252314814</x:v>
      </x:c>
      <x:c r="B820" s="32" t="str">
        <x:v>土壤EC</x:v>
      </x:c>
      <x:c r="C820" s="32" t="str">
        <x:v>W1</x:v>
      </x:c>
      <x:c r="D820" s="32" t="str">
        <x:v>V1</x:v>
      </x:c>
      <x:c r="E820" s="86" t="n">
        <x:f>COUNT('23_W1_EC'!B21,'23_W1_EC'!D21,'23_W1_EC'!F21,'23_W1_EC'!H21)</x:f>
        <x:v>4</x:v>
      </x:c>
      <x:c r="F820" s="90" t="n">
        <x:f>IF(E820=0,"",AVERAGE('23_W1_EC'!B21,'23_W1_EC'!D21,'23_W1_EC'!F21,'23_W1_EC'!H21))</x:f>
        <x:v>922</x:v>
      </x:c>
      <x:c r="G820" s="90" t="n">
        <x:f>IF(E820&lt;2,"",STDEV.S('23_W1_EC'!B21,'23_W1_EC'!D21,'23_W1_EC'!F21,'23_W1_EC'!H21))</x:f>
        <x:v>96.99484522385713</x:v>
      </x:c>
      <x:c r="H820" s="90" t="n">
        <x:f>IF(E820=0,"",MIN('23_W1_EC'!B21,'23_W1_EC'!D21,'23_W1_EC'!F21,'23_W1_EC'!H21))</x:f>
        <x:v>838</x:v>
      </x:c>
      <x:c r="I820" s="90" t="n">
        <x:f>IF(E820=0,"",MAX('23_W1_EC'!B21,'23_W1_EC'!D21,'23_W1_EC'!F21,'23_W1_EC'!H21))</x:f>
        <x:v>1054</x:v>
      </x:c>
      <x:c r="J820" s="32" t="str">
        <x:v>μS/cm</x:v>
      </x:c>
    </x:row>
    <x:row r="821">
      <x:c r="A821" s="72" t="n">
        <x:v>46240.858252314814</x:v>
      </x:c>
      <x:c r="B821" s="32" t="str">
        <x:v>土壤EC</x:v>
      </x:c>
      <x:c r="C821" s="32" t="str">
        <x:v>W1</x:v>
      </x:c>
      <x:c r="D821" s="32" t="str">
        <x:v>V2</x:v>
      </x:c>
      <x:c r="E821" s="86" t="n">
        <x:f>COUNT('23_W1_EC'!C21,'23_W1_EC'!E21,'23_W1_EC'!G21,'23_W1_EC'!I21)</x:f>
        <x:v>4</x:v>
      </x:c>
      <x:c r="F821" s="90" t="n">
        <x:f>IF(E821=0,"",AVERAGE('23_W1_EC'!C21,'23_W1_EC'!E21,'23_W1_EC'!G21,'23_W1_EC'!I21))</x:f>
        <x:v>934</x:v>
      </x:c>
      <x:c r="G821" s="90" t="n">
        <x:f>IF(E821&lt;2,"",STDEV.S('23_W1_EC'!C21,'23_W1_EC'!E21,'23_W1_EC'!G21,'23_W1_EC'!I21))</x:f>
        <x:v>103.4311365112073</x:v>
      </x:c>
      <x:c r="H821" s="90" t="n">
        <x:f>IF(E821=0,"",MIN('23_W1_EC'!C21,'23_W1_EC'!E21,'23_W1_EC'!G21,'23_W1_EC'!I21))</x:f>
        <x:v>842</x:v>
      </x:c>
      <x:c r="I821" s="90" t="n">
        <x:f>IF(E821=0,"",MAX('23_W1_EC'!C21,'23_W1_EC'!E21,'23_W1_EC'!G21,'23_W1_EC'!I21))</x:f>
        <x:v>1072</x:v>
      </x:c>
      <x:c r="J821" s="32" t="str">
        <x:v>μS/cm</x:v>
      </x:c>
    </x:row>
    <x:row r="822">
      <x:c r="A822" s="72" t="n">
        <x:v>46240.86172453704</x:v>
      </x:c>
      <x:c r="B822" s="32" t="str">
        <x:v>土壤EC</x:v>
      </x:c>
      <x:c r="C822" s="32" t="str">
        <x:v>W1</x:v>
      </x:c>
      <x:c r="D822" s="32" t="str">
        <x:v>V1</x:v>
      </x:c>
      <x:c r="E822" s="86" t="n">
        <x:f>COUNT('23_W1_EC'!B22,'23_W1_EC'!D22,'23_W1_EC'!F22,'23_W1_EC'!H22)</x:f>
        <x:v>4</x:v>
      </x:c>
      <x:c r="F822" s="90" t="n">
        <x:f>IF(E822=0,"",AVERAGE('23_W1_EC'!B22,'23_W1_EC'!D22,'23_W1_EC'!F22,'23_W1_EC'!H22))</x:f>
        <x:v>922.25</x:v>
      </x:c>
      <x:c r="G822" s="90" t="n">
        <x:f>IF(E822&lt;2,"",STDEV.S('23_W1_EC'!B22,'23_W1_EC'!D22,'23_W1_EC'!F22,'23_W1_EC'!H22))</x:f>
        <x:v>90.49263321766401</x:v>
      </x:c>
      <x:c r="H822" s="90" t="n">
        <x:f>IF(E822=0,"",MIN('23_W1_EC'!B22,'23_W1_EC'!D22,'23_W1_EC'!F22,'23_W1_EC'!H22))</x:f>
        <x:v>844</x:v>
      </x:c>
      <x:c r="I822" s="90" t="n">
        <x:f>IF(E822=0,"",MAX('23_W1_EC'!B22,'23_W1_EC'!D22,'23_W1_EC'!F22,'23_W1_EC'!H22))</x:f>
        <x:v>1047</x:v>
      </x:c>
      <x:c r="J822" s="32" t="str">
        <x:v>μS/cm</x:v>
      </x:c>
    </x:row>
    <x:row r="823">
      <x:c r="A823" s="72" t="n">
        <x:v>46240.86172453704</x:v>
      </x:c>
      <x:c r="B823" s="32" t="str">
        <x:v>土壤EC</x:v>
      </x:c>
      <x:c r="C823" s="32" t="str">
        <x:v>W1</x:v>
      </x:c>
      <x:c r="D823" s="32" t="str">
        <x:v>V2</x:v>
      </x:c>
      <x:c r="E823" s="86" t="n">
        <x:f>COUNT('23_W1_EC'!C22,'23_W1_EC'!E22,'23_W1_EC'!G22,'23_W1_EC'!I22)</x:f>
        <x:v>4</x:v>
      </x:c>
      <x:c r="F823" s="90" t="n">
        <x:f>IF(E823=0,"",AVERAGE('23_W1_EC'!C22,'23_W1_EC'!E22,'23_W1_EC'!G22,'23_W1_EC'!I22))</x:f>
        <x:v>934</x:v>
      </x:c>
      <x:c r="G823" s="90" t="n">
        <x:f>IF(E823&lt;2,"",STDEV.S('23_W1_EC'!C22,'23_W1_EC'!E22,'23_W1_EC'!G22,'23_W1_EC'!I22))</x:f>
        <x:v>96.99484522385713</x:v>
      </x:c>
      <x:c r="H823" s="90" t="n">
        <x:f>IF(E823=0,"",MIN('23_W1_EC'!C22,'23_W1_EC'!E22,'23_W1_EC'!G22,'23_W1_EC'!I22))</x:f>
        <x:v>850</x:v>
      </x:c>
      <x:c r="I823" s="90" t="n">
        <x:f>IF(E823=0,"",MAX('23_W1_EC'!C22,'23_W1_EC'!E22,'23_W1_EC'!G22,'23_W1_EC'!I22))</x:f>
        <x:v>1066</x:v>
      </x:c>
      <x:c r="J823" s="32" t="str">
        <x:v>μS/cm</x:v>
      </x:c>
    </x:row>
    <x:row r="824">
      <x:c r="A824" s="72" t="n">
        <x:v>46240.86519675926</x:v>
      </x:c>
      <x:c r="B824" s="32" t="str">
        <x:v>土壤EC</x:v>
      </x:c>
      <x:c r="C824" s="32" t="str">
        <x:v>W1</x:v>
      </x:c>
      <x:c r="D824" s="32" t="str">
        <x:v>V1</x:v>
      </x:c>
      <x:c r="E824" s="86" t="n">
        <x:f>COUNT('23_W1_EC'!B23,'23_W1_EC'!D23,'23_W1_EC'!F23,'23_W1_EC'!H23)</x:f>
        <x:v>4</x:v>
      </x:c>
      <x:c r="F824" s="90" t="n">
        <x:f>IF(E824=0,"",AVERAGE('23_W1_EC'!B23,'23_W1_EC'!D23,'23_W1_EC'!F23,'23_W1_EC'!H23))</x:f>
        <x:v>922.25</x:v>
      </x:c>
      <x:c r="G824" s="90" t="n">
        <x:f>IF(E824&lt;2,"",STDEV.S('23_W1_EC'!B23,'23_W1_EC'!D23,'23_W1_EC'!F23,'23_W1_EC'!H23))</x:f>
        <x:v>83.6117017328715</x:v>
      </x:c>
      <x:c r="H824" s="90" t="n">
        <x:f>IF(E824=0,"",MIN('23_W1_EC'!B23,'23_W1_EC'!D23,'23_W1_EC'!F23,'23_W1_EC'!H23))</x:f>
        <x:v>848</x:v>
      </x:c>
      <x:c r="I824" s="90" t="n">
        <x:f>IF(E824=0,"",MAX('23_W1_EC'!B23,'23_W1_EC'!D23,'23_W1_EC'!F23,'23_W1_EC'!H23))</x:f>
        <x:v>1038</x:v>
      </x:c>
      <x:c r="J824" s="32" t="str">
        <x:v>μS/cm</x:v>
      </x:c>
    </x:row>
    <x:row r="825">
      <x:c r="A825" s="72" t="n">
        <x:v>46240.86519675926</x:v>
      </x:c>
      <x:c r="B825" s="32" t="str">
        <x:v>土壤EC</x:v>
      </x:c>
      <x:c r="C825" s="32" t="str">
        <x:v>W1</x:v>
      </x:c>
      <x:c r="D825" s="32" t="str">
        <x:v>V2</x:v>
      </x:c>
      <x:c r="E825" s="86" t="n">
        <x:f>COUNT('23_W1_EC'!C23,'23_W1_EC'!E23,'23_W1_EC'!G23,'23_W1_EC'!I23)</x:f>
        <x:v>4</x:v>
      </x:c>
      <x:c r="F825" s="90" t="n">
        <x:f>IF(E825=0,"",AVERAGE('23_W1_EC'!C23,'23_W1_EC'!E23,'23_W1_EC'!G23,'23_W1_EC'!I23))</x:f>
        <x:v>934.25</x:v>
      </x:c>
      <x:c r="G825" s="90" t="n">
        <x:f>IF(E825&lt;2,"",STDEV.S('23_W1_EC'!C23,'23_W1_EC'!E23,'23_W1_EC'!G23,'23_W1_EC'!I23))</x:f>
        <x:v>90.49263321766401</x:v>
      </x:c>
      <x:c r="H825" s="90" t="n">
        <x:f>IF(E825=0,"",MIN('23_W1_EC'!C23,'23_W1_EC'!E23,'23_W1_EC'!G23,'23_W1_EC'!I23))</x:f>
        <x:v>856</x:v>
      </x:c>
      <x:c r="I825" s="90" t="n">
        <x:f>IF(E825=0,"",MAX('23_W1_EC'!C23,'23_W1_EC'!E23,'23_W1_EC'!G23,'23_W1_EC'!I23))</x:f>
        <x:v>1059</x:v>
      </x:c>
      <x:c r="J825" s="32" t="str">
        <x:v>μS/cm</x:v>
      </x:c>
    </x:row>
    <x:row r="826">
      <x:c r="A826" s="72" t="n">
        <x:v>46240.86866898148</x:v>
      </x:c>
      <x:c r="B826" s="32" t="str">
        <x:v>土壤EC</x:v>
      </x:c>
      <x:c r="C826" s="32" t="str">
        <x:v>W1</x:v>
      </x:c>
      <x:c r="D826" s="32" t="str">
        <x:v>V1</x:v>
      </x:c>
      <x:c r="E826" s="86" t="n">
        <x:f>COUNT('23_W1_EC'!B24,'23_W1_EC'!D24,'23_W1_EC'!F24,'23_W1_EC'!H24)</x:f>
        <x:v>4</x:v>
      </x:c>
      <x:c r="F826" s="90" t="n">
        <x:f>IF(E826=0,"",AVERAGE('23_W1_EC'!B24,'23_W1_EC'!D24,'23_W1_EC'!F24,'23_W1_EC'!H24))</x:f>
        <x:v>922.75</x:v>
      </x:c>
      <x:c r="G826" s="90" t="n">
        <x:f>IF(E826&lt;2,"",STDEV.S('23_W1_EC'!B24,'23_W1_EC'!D24,'23_W1_EC'!F24,'23_W1_EC'!H24))</x:f>
        <x:v>77.63321883489482</x:v>
      </x:c>
      <x:c r="H826" s="90" t="n">
        <x:f>IF(E826=0,"",MIN('23_W1_EC'!B24,'23_W1_EC'!D24,'23_W1_EC'!F24,'23_W1_EC'!H24))</x:f>
        <x:v>851</x:v>
      </x:c>
      <x:c r="I826" s="90" t="n">
        <x:f>IF(E826=0,"",MAX('23_W1_EC'!B24,'23_W1_EC'!D24,'23_W1_EC'!F24,'23_W1_EC'!H24))</x:f>
        <x:v>1030</x:v>
      </x:c>
      <x:c r="J826" s="32" t="str">
        <x:v>μS/cm</x:v>
      </x:c>
    </x:row>
    <x:row r="827">
      <x:c r="A827" s="72" t="n">
        <x:v>46240.86866898148</x:v>
      </x:c>
      <x:c r="B827" s="32" t="str">
        <x:v>土壤EC</x:v>
      </x:c>
      <x:c r="C827" s="32" t="str">
        <x:v>W1</x:v>
      </x:c>
      <x:c r="D827" s="32" t="str">
        <x:v>V2</x:v>
      </x:c>
      <x:c r="E827" s="86" t="n">
        <x:f>COUNT('23_W1_EC'!C24,'23_W1_EC'!E24,'23_W1_EC'!G24,'23_W1_EC'!I24)</x:f>
        <x:v>4</x:v>
      </x:c>
      <x:c r="F827" s="90" t="n">
        <x:f>IF(E827=0,"",AVERAGE('23_W1_EC'!C24,'23_W1_EC'!E24,'23_W1_EC'!G24,'23_W1_EC'!I24))</x:f>
        <x:v>934.25</x:v>
      </x:c>
      <x:c r="G827" s="90" t="n">
        <x:f>IF(E827&lt;2,"",STDEV.S('23_W1_EC'!C24,'23_W1_EC'!E24,'23_W1_EC'!G24,'23_W1_EC'!I24))</x:f>
        <x:v>83.6117017328715</x:v>
      </x:c>
      <x:c r="H827" s="90" t="n">
        <x:f>IF(E827=0,"",MIN('23_W1_EC'!C24,'23_W1_EC'!E24,'23_W1_EC'!G24,'23_W1_EC'!I24))</x:f>
        <x:v>860</x:v>
      </x:c>
      <x:c r="I827" s="90" t="n">
        <x:f>IF(E827=0,"",MAX('23_W1_EC'!C24,'23_W1_EC'!E24,'23_W1_EC'!G24,'23_W1_EC'!I24))</x:f>
        <x:v>1050</x:v>
      </x:c>
      <x:c r="J827" s="32" t="str">
        <x:v>μS/cm</x:v>
      </x:c>
    </x:row>
    <x:row r="828">
      <x:c r="A828" s="72" t="n">
        <x:v>46240.872141203705</x:v>
      </x:c>
      <x:c r="B828" s="32" t="str">
        <x:v>土壤EC</x:v>
      </x:c>
      <x:c r="C828" s="32" t="str">
        <x:v>W1</x:v>
      </x:c>
      <x:c r="D828" s="32" t="str">
        <x:v>V1</x:v>
      </x:c>
      <x:c r="E828" s="86" t="n">
        <x:f>COUNT('23_W1_EC'!B25,'23_W1_EC'!D25,'23_W1_EC'!F25,'23_W1_EC'!H25)</x:f>
        <x:v>4</x:v>
      </x:c>
      <x:c r="F828" s="90" t="n">
        <x:f>IF(E828=0,"",AVERAGE('23_W1_EC'!B25,'23_W1_EC'!D25,'23_W1_EC'!F25,'23_W1_EC'!H25))</x:f>
        <x:v>923</x:v>
      </x:c>
      <x:c r="G828" s="90" t="n">
        <x:f>IF(E828&lt;2,"",STDEV.S('23_W1_EC'!B25,'23_W1_EC'!D25,'23_W1_EC'!F25,'23_W1_EC'!H25))</x:f>
        <x:v>72.19879962067698</x:v>
      </x:c>
      <x:c r="H828" s="90" t="n">
        <x:f>IF(E828=0,"",MIN('23_W1_EC'!B25,'23_W1_EC'!D25,'23_W1_EC'!F25,'23_W1_EC'!H25))</x:f>
        <x:v>851</x:v>
      </x:c>
      <x:c r="I828" s="90" t="n">
        <x:f>IF(E828=0,"",MAX('23_W1_EC'!B25,'23_W1_EC'!D25,'23_W1_EC'!F25,'23_W1_EC'!H25))</x:f>
        <x:v>1021</x:v>
      </x:c>
      <x:c r="J828" s="32" t="str">
        <x:v>μS/cm</x:v>
      </x:c>
    </x:row>
    <x:row r="829">
      <x:c r="A829" s="72" t="n">
        <x:v>46240.872141203705</x:v>
      </x:c>
      <x:c r="B829" s="32" t="str">
        <x:v>土壤EC</x:v>
      </x:c>
      <x:c r="C829" s="32" t="str">
        <x:v>W1</x:v>
      </x:c>
      <x:c r="D829" s="32" t="str">
        <x:v>V2</x:v>
      </x:c>
      <x:c r="E829" s="86" t="n">
        <x:f>COUNT('23_W1_EC'!C25,'23_W1_EC'!E25,'23_W1_EC'!G25,'23_W1_EC'!I25)</x:f>
        <x:v>4</x:v>
      </x:c>
      <x:c r="F829" s="90" t="n">
        <x:f>IF(E829=0,"",AVERAGE('23_W1_EC'!C25,'23_W1_EC'!E25,'23_W1_EC'!G25,'23_W1_EC'!I25))</x:f>
        <x:v>934.75</x:v>
      </x:c>
      <x:c r="G829" s="90" t="n">
        <x:f>IF(E829&lt;2,"",STDEV.S('23_W1_EC'!C25,'23_W1_EC'!E25,'23_W1_EC'!G25,'23_W1_EC'!I25))</x:f>
        <x:v>77.63321883489482</x:v>
      </x:c>
      <x:c r="H829" s="90" t="n">
        <x:f>IF(E829=0,"",MIN('23_W1_EC'!C25,'23_W1_EC'!E25,'23_W1_EC'!G25,'23_W1_EC'!I25))</x:f>
        <x:v>863</x:v>
      </x:c>
      <x:c r="I829" s="90" t="n">
        <x:f>IF(E829=0,"",MAX('23_W1_EC'!C25,'23_W1_EC'!E25,'23_W1_EC'!G25,'23_W1_EC'!I25))</x:f>
        <x:v>1042</x:v>
      </x:c>
      <x:c r="J829" s="32" t="str">
        <x:v>μS/cm</x:v>
      </x:c>
    </x:row>
    <x:row r="830">
      <x:c r="A830" s="72" t="n">
        <x:v>46240.875613425924</x:v>
      </x:c>
      <x:c r="B830" s="32" t="str">
        <x:v>土壤EC</x:v>
      </x:c>
      <x:c r="C830" s="32" t="str">
        <x:v>W1</x:v>
      </x:c>
      <x:c r="D830" s="32" t="str">
        <x:v>V1</x:v>
      </x:c>
      <x:c r="E830" s="86" t="n">
        <x:f>COUNT('23_W1_EC'!B26,'23_W1_EC'!D26,'23_W1_EC'!F26,'23_W1_EC'!H26)</x:f>
        <x:v>4</x:v>
      </x:c>
      <x:c r="F830" s="90" t="n">
        <x:f>IF(E830=0,"",AVERAGE('23_W1_EC'!B26,'23_W1_EC'!D26,'23_W1_EC'!F26,'23_W1_EC'!H26))</x:f>
        <x:v>923.25</x:v>
      </x:c>
      <x:c r="G830" s="90" t="n">
        <x:f>IF(E830&lt;2,"",STDEV.S('23_W1_EC'!B26,'23_W1_EC'!D26,'23_W1_EC'!F26,'23_W1_EC'!H26))</x:f>
        <x:v>68.44158092855541</x:v>
      </x:c>
      <x:c r="H830" s="90" t="n">
        <x:f>IF(E830=0,"",MIN('23_W1_EC'!B26,'23_W1_EC'!D26,'23_W1_EC'!F26,'23_W1_EC'!H26))</x:f>
        <x:v>849</x:v>
      </x:c>
      <x:c r="I830" s="90" t="n">
        <x:f>IF(E830=0,"",MAX('23_W1_EC'!B26,'23_W1_EC'!D26,'23_W1_EC'!F26,'23_W1_EC'!H26))</x:f>
        <x:v>1013</x:v>
      </x:c>
      <x:c r="J830" s="32" t="str">
        <x:v>μS/cm</x:v>
      </x:c>
    </x:row>
    <x:row r="831">
      <x:c r="A831" s="72" t="n">
        <x:v>46240.875613425924</x:v>
      </x:c>
      <x:c r="B831" s="32" t="str">
        <x:v>土壤EC</x:v>
      </x:c>
      <x:c r="C831" s="32" t="str">
        <x:v>W1</x:v>
      </x:c>
      <x:c r="D831" s="32" t="str">
        <x:v>V2</x:v>
      </x:c>
      <x:c r="E831" s="86" t="n">
        <x:f>COUNT('23_W1_EC'!C26,'23_W1_EC'!E26,'23_W1_EC'!G26,'23_W1_EC'!I26)</x:f>
        <x:v>4</x:v>
      </x:c>
      <x:c r="F831" s="90" t="n">
        <x:f>IF(E831=0,"",AVERAGE('23_W1_EC'!C26,'23_W1_EC'!E26,'23_W1_EC'!G26,'23_W1_EC'!I26))</x:f>
        <x:v>935</x:v>
      </x:c>
      <x:c r="G831" s="90" t="n">
        <x:f>IF(E831&lt;2,"",STDEV.S('23_W1_EC'!C26,'23_W1_EC'!E26,'23_W1_EC'!G26,'23_W1_EC'!I26))</x:f>
        <x:v>72.19879962067698</x:v>
      </x:c>
      <x:c r="H831" s="90" t="n">
        <x:f>IF(E831=0,"",MIN('23_W1_EC'!C26,'23_W1_EC'!E26,'23_W1_EC'!G26,'23_W1_EC'!I26))</x:f>
        <x:v>863</x:v>
      </x:c>
      <x:c r="I831" s="90" t="n">
        <x:f>IF(E831=0,"",MAX('23_W1_EC'!C26,'23_W1_EC'!E26,'23_W1_EC'!G26,'23_W1_EC'!I26))</x:f>
        <x:v>1033</x:v>
      </x:c>
      <x:c r="J831" s="32" t="str">
        <x:v>μS/cm</x:v>
      </x:c>
    </x:row>
    <x:row r="832">
      <x:c r="A832" s="72" t="n">
        <x:v>46240.87908564815</x:v>
      </x:c>
      <x:c r="B832" s="32" t="str">
        <x:v>土壤EC</x:v>
      </x:c>
      <x:c r="C832" s="32" t="str">
        <x:v>W1</x:v>
      </x:c>
      <x:c r="D832" s="32" t="str">
        <x:v>V1</x:v>
      </x:c>
      <x:c r="E832" s="86" t="n">
        <x:f>COUNT('23_W1_EC'!B27,'23_W1_EC'!D27,'23_W1_EC'!F27,'23_W1_EC'!H27)</x:f>
        <x:v>4</x:v>
      </x:c>
      <x:c r="F832" s="90" t="n">
        <x:f>IF(E832=0,"",AVERAGE('23_W1_EC'!B27,'23_W1_EC'!D27,'23_W1_EC'!F27,'23_W1_EC'!H27))</x:f>
        <x:v>923.75</x:v>
      </x:c>
      <x:c r="G832" s="90" t="n">
        <x:f>IF(E832&lt;2,"",STDEV.S('23_W1_EC'!B27,'23_W1_EC'!D27,'23_W1_EC'!F27,'23_W1_EC'!H27))</x:f>
        <x:v>66.48496070541066</x:v>
      </x:c>
      <x:c r="H832" s="90" t="n">
        <x:f>IF(E832=0,"",MIN('23_W1_EC'!B27,'23_W1_EC'!D27,'23_W1_EC'!F27,'23_W1_EC'!H27))</x:f>
        <x:v>845</x:v>
      </x:c>
      <x:c r="I832" s="90" t="n">
        <x:f>IF(E832=0,"",MAX('23_W1_EC'!B27,'23_W1_EC'!D27,'23_W1_EC'!F27,'23_W1_EC'!H27))</x:f>
        <x:v>1006</x:v>
      </x:c>
      <x:c r="J832" s="32" t="str">
        <x:v>μS/cm</x:v>
      </x:c>
    </x:row>
    <x:row r="833">
      <x:c r="A833" s="72" t="n">
        <x:v>46240.87908564815</x:v>
      </x:c>
      <x:c r="B833" s="32" t="str">
        <x:v>土壤EC</x:v>
      </x:c>
      <x:c r="C833" s="32" t="str">
        <x:v>W1</x:v>
      </x:c>
      <x:c r="D833" s="32" t="str">
        <x:v>V2</x:v>
      </x:c>
      <x:c r="E833" s="86" t="n">
        <x:f>COUNT('23_W1_EC'!C27,'23_W1_EC'!E27,'23_W1_EC'!G27,'23_W1_EC'!I27)</x:f>
        <x:v>4</x:v>
      </x:c>
      <x:c r="F833" s="90" t="n">
        <x:f>IF(E833=0,"",AVERAGE('23_W1_EC'!C27,'23_W1_EC'!E27,'23_W1_EC'!G27,'23_W1_EC'!I27))</x:f>
        <x:v>935.25</x:v>
      </x:c>
      <x:c r="G833" s="90" t="n">
        <x:f>IF(E833&lt;2,"",STDEV.S('23_W1_EC'!C27,'23_W1_EC'!E27,'23_W1_EC'!G27,'23_W1_EC'!I27))</x:f>
        <x:v>68.44158092855541</x:v>
      </x:c>
      <x:c r="H833" s="90" t="n">
        <x:f>IF(E833=0,"",MIN('23_W1_EC'!C27,'23_W1_EC'!E27,'23_W1_EC'!G27,'23_W1_EC'!I27))</x:f>
        <x:v>861</x:v>
      </x:c>
      <x:c r="I833" s="90" t="n">
        <x:f>IF(E833=0,"",MAX('23_W1_EC'!C27,'23_W1_EC'!E27,'23_W1_EC'!G27,'23_W1_EC'!I27))</x:f>
        <x:v>1025</x:v>
      </x:c>
      <x:c r="J833" s="32" t="str">
        <x:v>μS/cm</x:v>
      </x:c>
    </x:row>
    <x:row r="834">
      <x:c r="A834" s="72" t="n">
        <x:v>46240.88255787037</x:v>
      </x:c>
      <x:c r="B834" s="32" t="str">
        <x:v>土壤EC</x:v>
      </x:c>
      <x:c r="C834" s="32" t="str">
        <x:v>W1</x:v>
      </x:c>
      <x:c r="D834" s="32" t="str">
        <x:v>V1</x:v>
      </x:c>
      <x:c r="E834" s="86" t="n">
        <x:f>COUNT('23_W1_EC'!B28,'23_W1_EC'!D28,'23_W1_EC'!F28,'23_W1_EC'!H28)</x:f>
        <x:v>4</x:v>
      </x:c>
      <x:c r="F834" s="90" t="n">
        <x:f>IF(E834=0,"",AVERAGE('23_W1_EC'!B28,'23_W1_EC'!D28,'23_W1_EC'!F28,'23_W1_EC'!H28))</x:f>
        <x:v>924.25</x:v>
      </x:c>
      <x:c r="G834" s="90" t="n">
        <x:f>IF(E834&lt;2,"",STDEV.S('23_W1_EC'!B28,'23_W1_EC'!D28,'23_W1_EC'!F28,'23_W1_EC'!H28))</x:f>
        <x:v>67.09880773903512</x:v>
      </x:c>
      <x:c r="H834" s="90" t="n">
        <x:f>IF(E834=0,"",MIN('23_W1_EC'!B28,'23_W1_EC'!D28,'23_W1_EC'!F28,'23_W1_EC'!H28))</x:f>
        <x:v>839</x:v>
      </x:c>
      <x:c r="I834" s="90" t="n">
        <x:f>IF(E834=0,"",MAX('23_W1_EC'!B28,'23_W1_EC'!D28,'23_W1_EC'!F28,'23_W1_EC'!H28))</x:f>
        <x:v>1001</x:v>
      </x:c>
      <x:c r="J834" s="32" t="str">
        <x:v>μS/cm</x:v>
      </x:c>
    </x:row>
    <x:row r="835">
      <x:c r="A835" s="72" t="n">
        <x:v>46240.88255787037</x:v>
      </x:c>
      <x:c r="B835" s="32" t="str">
        <x:v>土壤EC</x:v>
      </x:c>
      <x:c r="C835" s="32" t="str">
        <x:v>W1</x:v>
      </x:c>
      <x:c r="D835" s="32" t="str">
        <x:v>V2</x:v>
      </x:c>
      <x:c r="E835" s="86" t="n">
        <x:f>COUNT('23_W1_EC'!C28,'23_W1_EC'!E28,'23_W1_EC'!G28,'23_W1_EC'!I28)</x:f>
        <x:v>4</x:v>
      </x:c>
      <x:c r="F835" s="90" t="n">
        <x:f>IF(E835=0,"",AVERAGE('23_W1_EC'!C28,'23_W1_EC'!E28,'23_W1_EC'!G28,'23_W1_EC'!I28))</x:f>
        <x:v>935.75</x:v>
      </x:c>
      <x:c r="G835" s="90" t="n">
        <x:f>IF(E835&lt;2,"",STDEV.S('23_W1_EC'!C28,'23_W1_EC'!E28,'23_W1_EC'!G28,'23_W1_EC'!I28))</x:f>
        <x:v>66.48496070541066</x:v>
      </x:c>
      <x:c r="H835" s="90" t="n">
        <x:f>IF(E835=0,"",MIN('23_W1_EC'!C28,'23_W1_EC'!E28,'23_W1_EC'!G28,'23_W1_EC'!I28))</x:f>
        <x:v>857</x:v>
      </x:c>
      <x:c r="I835" s="90" t="n">
        <x:f>IF(E835=0,"",MAX('23_W1_EC'!C28,'23_W1_EC'!E28,'23_W1_EC'!G28,'23_W1_EC'!I28))</x:f>
        <x:v>1018</x:v>
      </x:c>
      <x:c r="J835" s="32" t="str">
        <x:v>μS/cm</x:v>
      </x:c>
    </x:row>
    <x:row r="836">
      <x:c r="A836" s="72" t="n">
        <x:v>46240.886030092595</x:v>
      </x:c>
      <x:c r="B836" s="32" t="str">
        <x:v>土壤EC</x:v>
      </x:c>
      <x:c r="C836" s="32" t="str">
        <x:v>W1</x:v>
      </x:c>
      <x:c r="D836" s="32" t="str">
        <x:v>V1</x:v>
      </x:c>
      <x:c r="E836" s="86" t="n">
        <x:f>COUNT('23_W1_EC'!B29,'23_W1_EC'!D29,'23_W1_EC'!F29,'23_W1_EC'!H29)</x:f>
        <x:v>4</x:v>
      </x:c>
      <x:c r="F836" s="90" t="n">
        <x:f>IF(E836=0,"",AVERAGE('23_W1_EC'!B29,'23_W1_EC'!D29,'23_W1_EC'!F29,'23_W1_EC'!H29))</x:f>
        <x:v>924.75</x:v>
      </x:c>
      <x:c r="G836" s="90" t="n">
        <x:f>IF(E836&lt;2,"",STDEV.S('23_W1_EC'!B29,'23_W1_EC'!D29,'23_W1_EC'!F29,'23_W1_EC'!H29))</x:f>
        <x:v>69.71071175460291</x:v>
      </x:c>
      <x:c r="H836" s="90" t="n">
        <x:f>IF(E836=0,"",MIN('23_W1_EC'!B29,'23_W1_EC'!D29,'23_W1_EC'!F29,'23_W1_EC'!H29))</x:f>
        <x:v>832</x:v>
      </x:c>
      <x:c r="I836" s="90" t="n">
        <x:f>IF(E836=0,"",MAX('23_W1_EC'!B29,'23_W1_EC'!D29,'23_W1_EC'!F29,'23_W1_EC'!H29))</x:f>
        <x:v>998</x:v>
      </x:c>
      <x:c r="J836" s="32" t="str">
        <x:v>μS/cm</x:v>
      </x:c>
    </x:row>
    <x:row r="837">
      <x:c r="A837" s="72" t="n">
        <x:v>46240.886030092595</x:v>
      </x:c>
      <x:c r="B837" s="32" t="str">
        <x:v>土壤EC</x:v>
      </x:c>
      <x:c r="C837" s="32" t="str">
        <x:v>W1</x:v>
      </x:c>
      <x:c r="D837" s="32" t="str">
        <x:v>V2</x:v>
      </x:c>
      <x:c r="E837" s="86" t="n">
        <x:f>COUNT('23_W1_EC'!C29,'23_W1_EC'!E29,'23_W1_EC'!G29,'23_W1_EC'!I29)</x:f>
        <x:v>4</x:v>
      </x:c>
      <x:c r="F837" s="90" t="n">
        <x:f>IF(E837=0,"",AVERAGE('23_W1_EC'!C29,'23_W1_EC'!E29,'23_W1_EC'!G29,'23_W1_EC'!I29))</x:f>
        <x:v>936.25</x:v>
      </x:c>
      <x:c r="G837" s="90" t="n">
        <x:f>IF(E837&lt;2,"",STDEV.S('23_W1_EC'!C29,'23_W1_EC'!E29,'23_W1_EC'!G29,'23_W1_EC'!I29))</x:f>
        <x:v>67.09880773903512</x:v>
      </x:c>
      <x:c r="H837" s="90" t="n">
        <x:f>IF(E837=0,"",MIN('23_W1_EC'!C29,'23_W1_EC'!E29,'23_W1_EC'!G29,'23_W1_EC'!I29))</x:f>
        <x:v>851</x:v>
      </x:c>
      <x:c r="I837" s="90" t="n">
        <x:f>IF(E837=0,"",MAX('23_W1_EC'!C29,'23_W1_EC'!E29,'23_W1_EC'!G29,'23_W1_EC'!I29))</x:f>
        <x:v>1013</x:v>
      </x:c>
      <x:c r="J837" s="32" t="str">
        <x:v>μS/cm</x:v>
      </x:c>
    </x:row>
    <x:row r="838">
      <x:c r="A838" s="72" t="n">
        <x:v>46240.889502314814</x:v>
      </x:c>
      <x:c r="B838" s="32" t="str">
        <x:v>土壤EC</x:v>
      </x:c>
      <x:c r="C838" s="32" t="str">
        <x:v>W1</x:v>
      </x:c>
      <x:c r="D838" s="32" t="str">
        <x:v>V1</x:v>
      </x:c>
      <x:c r="E838" s="86" t="n">
        <x:f>COUNT('23_W1_EC'!B30,'23_W1_EC'!D30,'23_W1_EC'!F30,'23_W1_EC'!H30)</x:f>
        <x:v>4</x:v>
      </x:c>
      <x:c r="F838" s="90" t="n">
        <x:f>IF(E838=0,"",AVERAGE('23_W1_EC'!B30,'23_W1_EC'!D30,'23_W1_EC'!F30,'23_W1_EC'!H30))</x:f>
        <x:v>925.25</x:v>
      </x:c>
      <x:c r="G838" s="90" t="n">
        <x:f>IF(E838&lt;2,"",STDEV.S('23_W1_EC'!B30,'23_W1_EC'!D30,'23_W1_EC'!F30,'23_W1_EC'!H30))</x:f>
        <x:v>73.96564517846556</x:v>
      </x:c>
      <x:c r="H838" s="90" t="n">
        <x:f>IF(E838=0,"",MIN('23_W1_EC'!B30,'23_W1_EC'!D30,'23_W1_EC'!F30,'23_W1_EC'!H30))</x:f>
        <x:v>824</x:v>
      </x:c>
      <x:c r="I838" s="90" t="n">
        <x:f>IF(E838=0,"",MAX('23_W1_EC'!B30,'23_W1_EC'!D30,'23_W1_EC'!F30,'23_W1_EC'!H30))</x:f>
        <x:v>997</x:v>
      </x:c>
      <x:c r="J838" s="32" t="str">
        <x:v>μS/cm</x:v>
      </x:c>
    </x:row>
    <x:row r="839">
      <x:c r="A839" s="72" t="n">
        <x:v>46240.889502314814</x:v>
      </x:c>
      <x:c r="B839" s="32" t="str">
        <x:v>土壤EC</x:v>
      </x:c>
      <x:c r="C839" s="32" t="str">
        <x:v>W1</x:v>
      </x:c>
      <x:c r="D839" s="32" t="str">
        <x:v>V2</x:v>
      </x:c>
      <x:c r="E839" s="86" t="n">
        <x:f>COUNT('23_W1_EC'!C30,'23_W1_EC'!E30,'23_W1_EC'!G30,'23_W1_EC'!I30)</x:f>
        <x:v>4</x:v>
      </x:c>
      <x:c r="F839" s="90" t="n">
        <x:f>IF(E839=0,"",AVERAGE('23_W1_EC'!C30,'23_W1_EC'!E30,'23_W1_EC'!G30,'23_W1_EC'!I30))</x:f>
        <x:v>936.75</x:v>
      </x:c>
      <x:c r="G839" s="90" t="n">
        <x:f>IF(E839&lt;2,"",STDEV.S('23_W1_EC'!C30,'23_W1_EC'!E30,'23_W1_EC'!G30,'23_W1_EC'!I30))</x:f>
        <x:v>69.71071175460291</x:v>
      </x:c>
      <x:c r="H839" s="90" t="n">
        <x:f>IF(E839=0,"",MIN('23_W1_EC'!C30,'23_W1_EC'!E30,'23_W1_EC'!G30,'23_W1_EC'!I30))</x:f>
        <x:v>844</x:v>
      </x:c>
      <x:c r="I839" s="90" t="n">
        <x:f>IF(E839=0,"",MAX('23_W1_EC'!C30,'23_W1_EC'!E30,'23_W1_EC'!G30,'23_W1_EC'!I30))</x:f>
        <x:v>1010</x:v>
      </x:c>
      <x:c r="J839" s="32" t="str">
        <x:v>μS/cm</x:v>
      </x:c>
    </x:row>
    <x:row r="840">
      <x:c r="A840" s="72" t="n">
        <x:v>46240.89297453704</x:v>
      </x:c>
      <x:c r="B840" s="32" t="str">
        <x:v>土壤EC</x:v>
      </x:c>
      <x:c r="C840" s="32" t="str">
        <x:v>W1</x:v>
      </x:c>
      <x:c r="D840" s="32" t="str">
        <x:v>V1</x:v>
      </x:c>
      <x:c r="E840" s="86" t="n">
        <x:f>COUNT('23_W1_EC'!B31,'23_W1_EC'!D31,'23_W1_EC'!F31,'23_W1_EC'!H31)</x:f>
        <x:v>4</x:v>
      </x:c>
      <x:c r="F840" s="90" t="n">
        <x:f>IF(E840=0,"",AVERAGE('23_W1_EC'!B31,'23_W1_EC'!D31,'23_W1_EC'!F31,'23_W1_EC'!H31))</x:f>
        <x:v>925.5</x:v>
      </x:c>
      <x:c r="G840" s="90" t="n">
        <x:f>IF(E840&lt;2,"",STDEV.S('23_W1_EC'!B31,'23_W1_EC'!D31,'23_W1_EC'!F31,'23_W1_EC'!H31))</x:f>
        <x:v>79.81854421122951</x:v>
      </x:c>
      <x:c r="H840" s="90" t="n">
        <x:f>IF(E840=0,"",MIN('23_W1_EC'!B31,'23_W1_EC'!D31,'23_W1_EC'!F31,'23_W1_EC'!H31))</x:f>
        <x:v>815</x:v>
      </x:c>
      <x:c r="I840" s="90" t="n">
        <x:f>IF(E840=0,"",MAX('23_W1_EC'!B31,'23_W1_EC'!D31,'23_W1_EC'!F31,'23_W1_EC'!H31))</x:f>
        <x:v>998</x:v>
      </x:c>
      <x:c r="J840" s="32" t="str">
        <x:v>μS/cm</x:v>
      </x:c>
    </x:row>
    <x:row r="841">
      <x:c r="A841" s="72" t="n">
        <x:v>46240.89297453704</x:v>
      </x:c>
      <x:c r="B841" s="32" t="str">
        <x:v>土壤EC</x:v>
      </x:c>
      <x:c r="C841" s="32" t="str">
        <x:v>W1</x:v>
      </x:c>
      <x:c r="D841" s="32" t="str">
        <x:v>V2</x:v>
      </x:c>
      <x:c r="E841" s="86" t="n">
        <x:f>COUNT('23_W1_EC'!C31,'23_W1_EC'!E31,'23_W1_EC'!G31,'23_W1_EC'!I31)</x:f>
        <x:v>4</x:v>
      </x:c>
      <x:c r="F841" s="90" t="n">
        <x:f>IF(E841=0,"",AVERAGE('23_W1_EC'!C31,'23_W1_EC'!E31,'23_W1_EC'!G31,'23_W1_EC'!I31))</x:f>
        <x:v>937.25</x:v>
      </x:c>
      <x:c r="G841" s="90" t="n">
        <x:f>IF(E841&lt;2,"",STDEV.S('23_W1_EC'!C31,'23_W1_EC'!E31,'23_W1_EC'!G31,'23_W1_EC'!I31))</x:f>
        <x:v>73.96564517846556</x:v>
      </x:c>
      <x:c r="H841" s="90" t="n">
        <x:f>IF(E841=0,"",MIN('23_W1_EC'!C31,'23_W1_EC'!E31,'23_W1_EC'!G31,'23_W1_EC'!I31))</x:f>
        <x:v>836</x:v>
      </x:c>
      <x:c r="I841" s="90" t="n">
        <x:f>IF(E841=0,"",MAX('23_W1_EC'!C31,'23_W1_EC'!E31,'23_W1_EC'!G31,'23_W1_EC'!I31))</x:f>
        <x:v>1009</x:v>
      </x:c>
      <x:c r="J841" s="32" t="str">
        <x:v>μS/cm</x:v>
      </x:c>
    </x:row>
    <x:row r="842">
      <x:c r="A842" s="72" t="n">
        <x:v>46240.89644675926</x:v>
      </x:c>
      <x:c r="B842" s="32" t="str">
        <x:v>土壤EC</x:v>
      </x:c>
      <x:c r="C842" s="32" t="str">
        <x:v>W1</x:v>
      </x:c>
      <x:c r="D842" s="32" t="str">
        <x:v>V1</x:v>
      </x:c>
      <x:c r="E842" s="86" t="n">
        <x:f>COUNT('23_W1_EC'!B32,'23_W1_EC'!D32,'23_W1_EC'!F32,'23_W1_EC'!H32)</x:f>
        <x:v>4</x:v>
      </x:c>
      <x:c r="F842" s="90" t="n">
        <x:f>IF(E842=0,"",AVERAGE('23_W1_EC'!B32,'23_W1_EC'!D32,'23_W1_EC'!F32,'23_W1_EC'!H32))</x:f>
        <x:v>925.5</x:v>
      </x:c>
      <x:c r="G842" s="90" t="n">
        <x:f>IF(E842&lt;2,"",STDEV.S('23_W1_EC'!B32,'23_W1_EC'!D32,'23_W1_EC'!F32,'23_W1_EC'!H32))</x:f>
        <x:v>86.31917515824627</x:v>
      </x:c>
      <x:c r="H842" s="90" t="n">
        <x:f>IF(E842=0,"",MIN('23_W1_EC'!B32,'23_W1_EC'!D32,'23_W1_EC'!F32,'23_W1_EC'!H32))</x:f>
        <x:v>806</x:v>
      </x:c>
      <x:c r="I842" s="90" t="n">
        <x:f>IF(E842=0,"",MAX('23_W1_EC'!B32,'23_W1_EC'!D32,'23_W1_EC'!F32,'23_W1_EC'!H32))</x:f>
        <x:v>1001</x:v>
      </x:c>
      <x:c r="J842" s="32" t="str">
        <x:v>μS/cm</x:v>
      </x:c>
    </x:row>
    <x:row r="843">
      <x:c r="A843" s="72" t="n">
        <x:v>46240.89644675926</x:v>
      </x:c>
      <x:c r="B843" s="32" t="str">
        <x:v>土壤EC</x:v>
      </x:c>
      <x:c r="C843" s="32" t="str">
        <x:v>W1</x:v>
      </x:c>
      <x:c r="D843" s="32" t="str">
        <x:v>V2</x:v>
      </x:c>
      <x:c r="E843" s="86" t="n">
        <x:f>COUNT('23_W1_EC'!C32,'23_W1_EC'!E32,'23_W1_EC'!G32,'23_W1_EC'!I32)</x:f>
        <x:v>4</x:v>
      </x:c>
      <x:c r="F843" s="90" t="n">
        <x:f>IF(E843=0,"",AVERAGE('23_W1_EC'!C32,'23_W1_EC'!E32,'23_W1_EC'!G32,'23_W1_EC'!I32))</x:f>
        <x:v>937.5</x:v>
      </x:c>
      <x:c r="G843" s="90" t="n">
        <x:f>IF(E843&lt;2,"",STDEV.S('23_W1_EC'!C32,'23_W1_EC'!E32,'23_W1_EC'!G32,'23_W1_EC'!I32))</x:f>
        <x:v>79.81854421122951</x:v>
      </x:c>
      <x:c r="H843" s="90" t="n">
        <x:f>IF(E843=0,"",MIN('23_W1_EC'!C32,'23_W1_EC'!E32,'23_W1_EC'!G32,'23_W1_EC'!I32))</x:f>
        <x:v>827</x:v>
      </x:c>
      <x:c r="I843" s="90" t="n">
        <x:f>IF(E843=0,"",MAX('23_W1_EC'!C32,'23_W1_EC'!E32,'23_W1_EC'!G32,'23_W1_EC'!I32))</x:f>
        <x:v>1010</x:v>
      </x:c>
      <x:c r="J843" s="32" t="str">
        <x:v>μS/cm</x:v>
      </x:c>
    </x:row>
    <x:row r="844">
      <x:c r="A844" s="72" t="n">
        <x:v>46240.89991898148</x:v>
      </x:c>
      <x:c r="B844" s="32" t="str">
        <x:v>土壤EC</x:v>
      </x:c>
      <x:c r="C844" s="32" t="str">
        <x:v>W1</x:v>
      </x:c>
      <x:c r="D844" s="32" t="str">
        <x:v>V1</x:v>
      </x:c>
      <x:c r="E844" s="86" t="n">
        <x:f>COUNT('23_W1_EC'!B33,'23_W1_EC'!D33,'23_W1_EC'!F33,'23_W1_EC'!H33)</x:f>
        <x:v>4</x:v>
      </x:c>
      <x:c r="F844" s="90" t="n">
        <x:f>IF(E844=0,"",AVERAGE('23_W1_EC'!B33,'23_W1_EC'!D33,'23_W1_EC'!F33,'23_W1_EC'!H33))</x:f>
        <x:v>925.75</x:v>
      </x:c>
      <x:c r="G844" s="90" t="n">
        <x:f>IF(E844&lt;2,"",STDEV.S('23_W1_EC'!B33,'23_W1_EC'!D33,'23_W1_EC'!F33,'23_W1_EC'!H33))</x:f>
        <x:v>93.0962763308322</x:v>
      </x:c>
      <x:c r="H844" s="90" t="n">
        <x:f>IF(E844=0,"",MIN('23_W1_EC'!B33,'23_W1_EC'!D33,'23_W1_EC'!F33,'23_W1_EC'!H33))</x:f>
        <x:v>798</x:v>
      </x:c>
      <x:c r="I844" s="90" t="n">
        <x:f>IF(E844=0,"",MAX('23_W1_EC'!B33,'23_W1_EC'!D33,'23_W1_EC'!F33,'23_W1_EC'!H33))</x:f>
        <x:v>1006</x:v>
      </x:c>
      <x:c r="J844" s="32" t="str">
        <x:v>μS/cm</x:v>
      </x:c>
    </x:row>
    <x:row r="845">
      <x:c r="A845" s="72" t="n">
        <x:v>46240.89991898148</x:v>
      </x:c>
      <x:c r="B845" s="32" t="str">
        <x:v>土壤EC</x:v>
      </x:c>
      <x:c r="C845" s="32" t="str">
        <x:v>W1</x:v>
      </x:c>
      <x:c r="D845" s="32" t="str">
        <x:v>V2</x:v>
      </x:c>
      <x:c r="E845" s="86" t="n">
        <x:f>COUNT('23_W1_EC'!C33,'23_W1_EC'!E33,'23_W1_EC'!G33,'23_W1_EC'!I33)</x:f>
        <x:v>4</x:v>
      </x:c>
      <x:c r="F845" s="90" t="n">
        <x:f>IF(E845=0,"",AVERAGE('23_W1_EC'!C33,'23_W1_EC'!E33,'23_W1_EC'!G33,'23_W1_EC'!I33))</x:f>
        <x:v>937.5</x:v>
      </x:c>
      <x:c r="G845" s="90" t="n">
        <x:f>IF(E845&lt;2,"",STDEV.S('23_W1_EC'!C33,'23_W1_EC'!E33,'23_W1_EC'!G33,'23_W1_EC'!I33))</x:f>
        <x:v>86.31917515824627</x:v>
      </x:c>
      <x:c r="H845" s="90" t="n">
        <x:f>IF(E845=0,"",MIN('23_W1_EC'!C33,'23_W1_EC'!E33,'23_W1_EC'!G33,'23_W1_EC'!I33))</x:f>
        <x:v>818</x:v>
      </x:c>
      <x:c r="I845" s="90" t="n">
        <x:f>IF(E845=0,"",MAX('23_W1_EC'!C33,'23_W1_EC'!E33,'23_W1_EC'!G33,'23_W1_EC'!I33))</x:f>
        <x:v>1013</x:v>
      </x:c>
      <x:c r="J845" s="32" t="str">
        <x:v>μS/cm</x:v>
      </x:c>
    </x:row>
    <x:row r="846">
      <x:c r="A846" s="72" t="n">
        <x:v>46240.903391203705</x:v>
      </x:c>
      <x:c r="B846" s="32" t="str">
        <x:v>土壤EC</x:v>
      </x:c>
      <x:c r="C846" s="32" t="str">
        <x:v>W1</x:v>
      </x:c>
      <x:c r="D846" s="32" t="str">
        <x:v>V1</x:v>
      </x:c>
      <x:c r="E846" s="86" t="n">
        <x:f>COUNT('23_W1_EC'!B34,'23_W1_EC'!D34,'23_W1_EC'!F34,'23_W1_EC'!H34)</x:f>
        <x:v>4</x:v>
      </x:c>
      <x:c r="F846" s="90" t="n">
        <x:f>IF(E846=0,"",AVERAGE('23_W1_EC'!B34,'23_W1_EC'!D34,'23_W1_EC'!F34,'23_W1_EC'!H34))</x:f>
        <x:v>925.75</x:v>
      </x:c>
      <x:c r="G846" s="90" t="n">
        <x:f>IF(E846&lt;2,"",STDEV.S('23_W1_EC'!B34,'23_W1_EC'!D34,'23_W1_EC'!F34,'23_W1_EC'!H34))</x:f>
        <x:v>99.77098776698566</x:v>
      </x:c>
      <x:c r="H846" s="90" t="n">
        <x:f>IF(E846=0,"",MIN('23_W1_EC'!B34,'23_W1_EC'!D34,'23_W1_EC'!F34,'23_W1_EC'!H34))</x:f>
        <x:v>791</x:v>
      </x:c>
      <x:c r="I846" s="90" t="n">
        <x:f>IF(E846=0,"",MAX('23_W1_EC'!B34,'23_W1_EC'!D34,'23_W1_EC'!F34,'23_W1_EC'!H34))</x:f>
        <x:v>1013</x:v>
      </x:c>
      <x:c r="J846" s="32" t="str">
        <x:v>μS/cm</x:v>
      </x:c>
    </x:row>
    <x:row r="847">
      <x:c r="A847" s="72" t="n">
        <x:v>46240.903391203705</x:v>
      </x:c>
      <x:c r="B847" s="32" t="str">
        <x:v>土壤EC</x:v>
      </x:c>
      <x:c r="C847" s="32" t="str">
        <x:v>W1</x:v>
      </x:c>
      <x:c r="D847" s="32" t="str">
        <x:v>V2</x:v>
      </x:c>
      <x:c r="E847" s="86" t="n">
        <x:f>COUNT('23_W1_EC'!C34,'23_W1_EC'!E34,'23_W1_EC'!G34,'23_W1_EC'!I34)</x:f>
        <x:v>4</x:v>
      </x:c>
      <x:c r="F847" s="90" t="n">
        <x:f>IF(E847=0,"",AVERAGE('23_W1_EC'!C34,'23_W1_EC'!E34,'23_W1_EC'!G34,'23_W1_EC'!I34))</x:f>
        <x:v>937.75</x:v>
      </x:c>
      <x:c r="G847" s="90" t="n">
        <x:f>IF(E847&lt;2,"",STDEV.S('23_W1_EC'!C34,'23_W1_EC'!E34,'23_W1_EC'!G34,'23_W1_EC'!I34))</x:f>
        <x:v>93.0962763308322</x:v>
      </x:c>
      <x:c r="H847" s="90" t="n">
        <x:f>IF(E847=0,"",MIN('23_W1_EC'!C34,'23_W1_EC'!E34,'23_W1_EC'!G34,'23_W1_EC'!I34))</x:f>
        <x:v>810</x:v>
      </x:c>
      <x:c r="I847" s="90" t="n">
        <x:f>IF(E847=0,"",MAX('23_W1_EC'!C34,'23_W1_EC'!E34,'23_W1_EC'!G34,'23_W1_EC'!I34))</x:f>
        <x:v>1018</x:v>
      </x:c>
      <x:c r="J847" s="32" t="str">
        <x:v>μS/cm</x:v>
      </x:c>
    </x:row>
    <x:row r="848">
      <x:c r="A848" s="72" t="n">
        <x:v>46240.906863425924</x:v>
      </x:c>
      <x:c r="B848" s="32" t="str">
        <x:v>土壤EC</x:v>
      </x:c>
      <x:c r="C848" s="32" t="str">
        <x:v>W1</x:v>
      </x:c>
      <x:c r="D848" s="32" t="str">
        <x:v>V1</x:v>
      </x:c>
      <x:c r="E848" s="86" t="n">
        <x:f>COUNT('23_W1_EC'!B35,'23_W1_EC'!D35,'23_W1_EC'!F35,'23_W1_EC'!H35)</x:f>
        <x:v>4</x:v>
      </x:c>
      <x:c r="F848" s="90" t="n">
        <x:f>IF(E848=0,"",AVERAGE('23_W1_EC'!B35,'23_W1_EC'!D35,'23_W1_EC'!F35,'23_W1_EC'!H35))</x:f>
        <x:v>925.75</x:v>
      </x:c>
      <x:c r="G848" s="90" t="n">
        <x:f>IF(E848&lt;2,"",STDEV.S('23_W1_EC'!B35,'23_W1_EC'!D35,'23_W1_EC'!F35,'23_W1_EC'!H35))</x:f>
        <x:v>105.61683893521273</x:v>
      </x:c>
      <x:c r="H848" s="90" t="n">
        <x:f>IF(E848=0,"",MIN('23_W1_EC'!B35,'23_W1_EC'!D35,'23_W1_EC'!F35,'23_W1_EC'!H35))</x:f>
        <x:v>786</x:v>
      </x:c>
      <x:c r="I848" s="90" t="n">
        <x:f>IF(E848=0,"",MAX('23_W1_EC'!B35,'23_W1_EC'!D35,'23_W1_EC'!F35,'23_W1_EC'!H35))</x:f>
        <x:v>1021</x:v>
      </x:c>
      <x:c r="J848" s="32" t="str">
        <x:v>μS/cm</x:v>
      </x:c>
    </x:row>
    <x:row r="849">
      <x:c r="A849" s="72" t="n">
        <x:v>46240.906863425924</x:v>
      </x:c>
      <x:c r="B849" s="32" t="str">
        <x:v>土壤EC</x:v>
      </x:c>
      <x:c r="C849" s="32" t="str">
        <x:v>W1</x:v>
      </x:c>
      <x:c r="D849" s="32" t="str">
        <x:v>V2</x:v>
      </x:c>
      <x:c r="E849" s="86" t="n">
        <x:f>COUNT('23_W1_EC'!C35,'23_W1_EC'!E35,'23_W1_EC'!G35,'23_W1_EC'!I35)</x:f>
        <x:v>4</x:v>
      </x:c>
      <x:c r="F849" s="90" t="n">
        <x:f>IF(E849=0,"",AVERAGE('23_W1_EC'!C35,'23_W1_EC'!E35,'23_W1_EC'!G35,'23_W1_EC'!I35))</x:f>
        <x:v>937.75</x:v>
      </x:c>
      <x:c r="G849" s="90" t="n">
        <x:f>IF(E849&lt;2,"",STDEV.S('23_W1_EC'!C35,'23_W1_EC'!E35,'23_W1_EC'!G35,'23_W1_EC'!I35))</x:f>
        <x:v>99.77098776698566</x:v>
      </x:c>
      <x:c r="H849" s="90" t="n">
        <x:f>IF(E849=0,"",MIN('23_W1_EC'!C35,'23_W1_EC'!E35,'23_W1_EC'!G35,'23_W1_EC'!I35))</x:f>
        <x:v>803</x:v>
      </x:c>
      <x:c r="I849" s="90" t="n">
        <x:f>IF(E849=0,"",MAX('23_W1_EC'!C35,'23_W1_EC'!E35,'23_W1_EC'!G35,'23_W1_EC'!I35))</x:f>
        <x:v>1025</x:v>
      </x:c>
      <x:c r="J849" s="32" t="str">
        <x:v>μS/cm</x:v>
      </x:c>
    </x:row>
    <x:row r="850">
      <x:c r="A850" s="72" t="n">
        <x:v>46240.91033564815</x:v>
      </x:c>
      <x:c r="B850" s="32" t="str">
        <x:v>土壤EC</x:v>
      </x:c>
      <x:c r="C850" s="32" t="str">
        <x:v>W1</x:v>
      </x:c>
      <x:c r="D850" s="32" t="str">
        <x:v>V1</x:v>
      </x:c>
      <x:c r="E850" s="86" t="n">
        <x:f>COUNT('23_W1_EC'!B36,'23_W1_EC'!D36,'23_W1_EC'!F36,'23_W1_EC'!H36)</x:f>
        <x:v>4</x:v>
      </x:c>
      <x:c r="F850" s="90" t="n">
        <x:f>IF(E850=0,"",AVERAGE('23_W1_EC'!B36,'23_W1_EC'!D36,'23_W1_EC'!F36,'23_W1_EC'!H36))</x:f>
        <x:v>925.5</x:v>
      </x:c>
      <x:c r="G850" s="90" t="n">
        <x:f>IF(E850&lt;2,"",STDEV.S('23_W1_EC'!B36,'23_W1_EC'!D36,'23_W1_EC'!F36,'23_W1_EC'!H36))</x:f>
        <x:v>111.06304515904469</x:v>
      </x:c>
      <x:c r="H850" s="90" t="n">
        <x:f>IF(E850=0,"",MIN('23_W1_EC'!B36,'23_W1_EC'!D36,'23_W1_EC'!F36,'23_W1_EC'!H36))</x:f>
        <x:v>782</x:v>
      </x:c>
      <x:c r="I850" s="90" t="n">
        <x:f>IF(E850=0,"",MAX('23_W1_EC'!B36,'23_W1_EC'!D36,'23_W1_EC'!F36,'23_W1_EC'!H36))</x:f>
        <x:v>1029</x:v>
      </x:c>
      <x:c r="J850" s="32" t="str">
        <x:v>μS/cm</x:v>
      </x:c>
    </x:row>
    <x:row r="851">
      <x:c r="A851" s="72" t="n">
        <x:v>46240.91033564815</x:v>
      </x:c>
      <x:c r="B851" s="32" t="str">
        <x:v>土壤EC</x:v>
      </x:c>
      <x:c r="C851" s="32" t="str">
        <x:v>W1</x:v>
      </x:c>
      <x:c r="D851" s="32" t="str">
        <x:v>V2</x:v>
      </x:c>
      <x:c r="E851" s="86" t="n">
        <x:f>COUNT('23_W1_EC'!C36,'23_W1_EC'!E36,'23_W1_EC'!G36,'23_W1_EC'!I36)</x:f>
        <x:v>4</x:v>
      </x:c>
      <x:c r="F851" s="90" t="n">
        <x:f>IF(E851=0,"",AVERAGE('23_W1_EC'!C36,'23_W1_EC'!E36,'23_W1_EC'!G36,'23_W1_EC'!I36))</x:f>
        <x:v>937.75</x:v>
      </x:c>
      <x:c r="G851" s="90" t="n">
        <x:f>IF(E851&lt;2,"",STDEV.S('23_W1_EC'!C36,'23_W1_EC'!E36,'23_W1_EC'!G36,'23_W1_EC'!I36))</x:f>
        <x:v>105.61683893521273</x:v>
      </x:c>
      <x:c r="H851" s="90" t="n">
        <x:f>IF(E851=0,"",MIN('23_W1_EC'!C36,'23_W1_EC'!E36,'23_W1_EC'!G36,'23_W1_EC'!I36))</x:f>
        <x:v>798</x:v>
      </x:c>
      <x:c r="I851" s="90" t="n">
        <x:f>IF(E851=0,"",MAX('23_W1_EC'!C36,'23_W1_EC'!E36,'23_W1_EC'!G36,'23_W1_EC'!I36))</x:f>
        <x:v>1033</x:v>
      </x:c>
      <x:c r="J851" s="32" t="str">
        <x:v>μS/cm</x:v>
      </x:c>
    </x:row>
    <x:row r="852">
      <x:c r="A852" s="72" t="n">
        <x:v>46240.91380787037</x:v>
      </x:c>
      <x:c r="B852" s="32" t="str">
        <x:v>土壤EC</x:v>
      </x:c>
      <x:c r="C852" s="32" t="str">
        <x:v>W1</x:v>
      </x:c>
      <x:c r="D852" s="32" t="str">
        <x:v>V1</x:v>
      </x:c>
      <x:c r="E852" s="86" t="n">
        <x:f>COUNT('23_W1_EC'!B37,'23_W1_EC'!D37,'23_W1_EC'!F37,'23_W1_EC'!H37)</x:f>
        <x:v>4</x:v>
      </x:c>
      <x:c r="F852" s="90" t="n">
        <x:f>IF(E852=0,"",AVERAGE('23_W1_EC'!B37,'23_W1_EC'!D37,'23_W1_EC'!F37,'23_W1_EC'!H37))</x:f>
        <x:v>925.25</x:v>
      </x:c>
      <x:c r="G852" s="90" t="n">
        <x:f>IF(E852&lt;2,"",STDEV.S('23_W1_EC'!B37,'23_W1_EC'!D37,'23_W1_EC'!F37,'23_W1_EC'!H37))</x:f>
        <x:v>115.25153650458056</x:v>
      </x:c>
      <x:c r="H852" s="90" t="n">
        <x:f>IF(E852=0,"",MIN('23_W1_EC'!B37,'23_W1_EC'!D37,'23_W1_EC'!F37,'23_W1_EC'!H37))</x:f>
        <x:v>781</x:v>
      </x:c>
      <x:c r="I852" s="90" t="n">
        <x:f>IF(E852=0,"",MAX('23_W1_EC'!B37,'23_W1_EC'!D37,'23_W1_EC'!F37,'23_W1_EC'!H37))</x:f>
        <x:v>1038</x:v>
      </x:c>
      <x:c r="J852" s="32" t="str">
        <x:v>μS/cm</x:v>
      </x:c>
    </x:row>
    <x:row r="853">
      <x:c r="A853" s="72" t="n">
        <x:v>46240.91380787037</x:v>
      </x:c>
      <x:c r="B853" s="32" t="str">
        <x:v>土壤EC</x:v>
      </x:c>
      <x:c r="C853" s="32" t="str">
        <x:v>W1</x:v>
      </x:c>
      <x:c r="D853" s="32" t="str">
        <x:v>V2</x:v>
      </x:c>
      <x:c r="E853" s="86" t="n">
        <x:f>COUNT('23_W1_EC'!C37,'23_W1_EC'!E37,'23_W1_EC'!G37,'23_W1_EC'!I37)</x:f>
        <x:v>4</x:v>
      </x:c>
      <x:c r="F853" s="90" t="n">
        <x:f>IF(E853=0,"",AVERAGE('23_W1_EC'!C37,'23_W1_EC'!E37,'23_W1_EC'!G37,'23_W1_EC'!I37))</x:f>
        <x:v>937.5</x:v>
      </x:c>
      <x:c r="G853" s="90" t="n">
        <x:f>IF(E853&lt;2,"",STDEV.S('23_W1_EC'!C37,'23_W1_EC'!E37,'23_W1_EC'!G37,'23_W1_EC'!I37))</x:f>
        <x:v>111.06304515904469</x:v>
      </x:c>
      <x:c r="H853" s="90" t="n">
        <x:f>IF(E853=0,"",MIN('23_W1_EC'!C37,'23_W1_EC'!E37,'23_W1_EC'!G37,'23_W1_EC'!I37))</x:f>
        <x:v>794</x:v>
      </x:c>
      <x:c r="I853" s="90" t="n">
        <x:f>IF(E853=0,"",MAX('23_W1_EC'!C37,'23_W1_EC'!E37,'23_W1_EC'!G37,'23_W1_EC'!I37))</x:f>
        <x:v>1041</x:v>
      </x:c>
      <x:c r="J853" s="32" t="str">
        <x:v>μS/cm</x:v>
      </x:c>
    </x:row>
    <x:row r="854">
      <x:c r="A854" s="72" t="n">
        <x:v>46240.917280092595</x:v>
      </x:c>
      <x:c r="B854" s="32" t="str">
        <x:v>土壤EC</x:v>
      </x:c>
      <x:c r="C854" s="32" t="str">
        <x:v>W1</x:v>
      </x:c>
      <x:c r="D854" s="32" t="str">
        <x:v>V1</x:v>
      </x:c>
      <x:c r="E854" s="86" t="n">
        <x:f>COUNT('23_W1_EC'!B38,'23_W1_EC'!D38,'23_W1_EC'!F38,'23_W1_EC'!H38)</x:f>
        <x:v>4</x:v>
      </x:c>
      <x:c r="F854" s="90" t="n">
        <x:f>IF(E854=0,"",AVERAGE('23_W1_EC'!B38,'23_W1_EC'!D38,'23_W1_EC'!F38,'23_W1_EC'!H38))</x:f>
        <x:v>924.75</x:v>
      </x:c>
      <x:c r="G854" s="90" t="n">
        <x:f>IF(E854&lt;2,"",STDEV.S('23_W1_EC'!B38,'23_W1_EC'!D38,'23_W1_EC'!F38,'23_W1_EC'!H38))</x:f>
        <x:v>118.21273197079915</x:v>
      </x:c>
      <x:c r="H854" s="90" t="n">
        <x:f>IF(E854=0,"",MIN('23_W1_EC'!B38,'23_W1_EC'!D38,'23_W1_EC'!F38,'23_W1_EC'!H38))</x:f>
        <x:v>782</x:v>
      </x:c>
      <x:c r="I854" s="90" t="n">
        <x:f>IF(E854=0,"",MAX('23_W1_EC'!B38,'23_W1_EC'!D38,'23_W1_EC'!F38,'23_W1_EC'!H38))</x:f>
        <x:v>1046</x:v>
      </x:c>
      <x:c r="J854" s="32" t="str">
        <x:v>μS/cm</x:v>
      </x:c>
    </x:row>
    <x:row r="855">
      <x:c r="A855" s="72" t="n">
        <x:v>46240.917280092595</x:v>
      </x:c>
      <x:c r="B855" s="32" t="str">
        <x:v>土壤EC</x:v>
      </x:c>
      <x:c r="C855" s="32" t="str">
        <x:v>W1</x:v>
      </x:c>
      <x:c r="D855" s="32" t="str">
        <x:v>V2</x:v>
      </x:c>
      <x:c r="E855" s="86" t="n">
        <x:f>COUNT('23_W1_EC'!C38,'23_W1_EC'!E38,'23_W1_EC'!G38,'23_W1_EC'!I38)</x:f>
        <x:v>4</x:v>
      </x:c>
      <x:c r="F855" s="90" t="n">
        <x:f>IF(E855=0,"",AVERAGE('23_W1_EC'!C38,'23_W1_EC'!E38,'23_W1_EC'!G38,'23_W1_EC'!I38))</x:f>
        <x:v>937.25</x:v>
      </x:c>
      <x:c r="G855" s="90" t="n">
        <x:f>IF(E855&lt;2,"",STDEV.S('23_W1_EC'!C38,'23_W1_EC'!E38,'23_W1_EC'!G38,'23_W1_EC'!I38))</x:f>
        <x:v>115.25153650458056</x:v>
      </x:c>
      <x:c r="H855" s="90" t="n">
        <x:f>IF(E855=0,"",MIN('23_W1_EC'!C38,'23_W1_EC'!E38,'23_W1_EC'!G38,'23_W1_EC'!I38))</x:f>
        <x:v>793</x:v>
      </x:c>
      <x:c r="I855" s="90" t="n">
        <x:f>IF(E855=0,"",MAX('23_W1_EC'!C38,'23_W1_EC'!E38,'23_W1_EC'!G38,'23_W1_EC'!I38))</x:f>
        <x:v>1050</x:v>
      </x:c>
      <x:c r="J855" s="32" t="str">
        <x:v>μS/cm</x:v>
      </x:c>
    </x:row>
    <x:row r="856">
      <x:c r="A856" s="72" t="n">
        <x:v>46240.920752314814</x:v>
      </x:c>
      <x:c r="B856" s="32" t="str">
        <x:v>土壤EC</x:v>
      </x:c>
      <x:c r="C856" s="32" t="str">
        <x:v>W1</x:v>
      </x:c>
      <x:c r="D856" s="32" t="str">
        <x:v>V1</x:v>
      </x:c>
      <x:c r="E856" s="86" t="n">
        <x:f>COUNT('23_W1_EC'!B39,'23_W1_EC'!D39,'23_W1_EC'!F39,'23_W1_EC'!H39)</x:f>
        <x:v>4</x:v>
      </x:c>
      <x:c r="F856" s="90" t="n">
        <x:f>IF(E856=0,"",AVERAGE('23_W1_EC'!B39,'23_W1_EC'!D39,'23_W1_EC'!F39,'23_W1_EC'!H39))</x:f>
        <x:v>924.5</x:v>
      </x:c>
      <x:c r="G856" s="90" t="n">
        <x:f>IF(E856&lt;2,"",STDEV.S('23_W1_EC'!B39,'23_W1_EC'!D39,'23_W1_EC'!F39,'23_W1_EC'!H39))</x:f>
        <x:v>120.223403157067</x:v>
      </x:c>
      <x:c r="H856" s="90" t="n">
        <x:f>IF(E856=0,"",MIN('23_W1_EC'!B39,'23_W1_EC'!D39,'23_W1_EC'!F39,'23_W1_EC'!H39))</x:f>
        <x:v>785</x:v>
      </x:c>
      <x:c r="I856" s="90" t="n">
        <x:f>IF(E856=0,"",MAX('23_W1_EC'!B39,'23_W1_EC'!D39,'23_W1_EC'!F39,'23_W1_EC'!H39))</x:f>
        <x:v>1054</x:v>
      </x:c>
      <x:c r="J856" s="32" t="str">
        <x:v>μS/cm</x:v>
      </x:c>
    </x:row>
    <x:row r="857">
      <x:c r="A857" s="72" t="n">
        <x:v>46240.920752314814</x:v>
      </x:c>
      <x:c r="B857" s="32" t="str">
        <x:v>土壤EC</x:v>
      </x:c>
      <x:c r="C857" s="32" t="str">
        <x:v>W1</x:v>
      </x:c>
      <x:c r="D857" s="32" t="str">
        <x:v>V2</x:v>
      </x:c>
      <x:c r="E857" s="86" t="n">
        <x:f>COUNT('23_W1_EC'!C39,'23_W1_EC'!E39,'23_W1_EC'!G39,'23_W1_EC'!I39)</x:f>
        <x:v>4</x:v>
      </x:c>
      <x:c r="F857" s="90" t="n">
        <x:f>IF(E857=0,"",AVERAGE('23_W1_EC'!C39,'23_W1_EC'!E39,'23_W1_EC'!G39,'23_W1_EC'!I39))</x:f>
        <x:v>936.75</x:v>
      </x:c>
      <x:c r="G857" s="90" t="n">
        <x:f>IF(E857&lt;2,"",STDEV.S('23_W1_EC'!C39,'23_W1_EC'!E39,'23_W1_EC'!G39,'23_W1_EC'!I39))</x:f>
        <x:v>118.21273197079915</x:v>
      </x:c>
      <x:c r="H857" s="90" t="n">
        <x:f>IF(E857=0,"",MIN('23_W1_EC'!C39,'23_W1_EC'!E39,'23_W1_EC'!G39,'23_W1_EC'!I39))</x:f>
        <x:v>794</x:v>
      </x:c>
      <x:c r="I857" s="90" t="n">
        <x:f>IF(E857=0,"",MAX('23_W1_EC'!C39,'23_W1_EC'!E39,'23_W1_EC'!G39,'23_W1_EC'!I39))</x:f>
        <x:v>1058</x:v>
      </x:c>
      <x:c r="J857" s="32" t="str">
        <x:v>μS/cm</x:v>
      </x:c>
    </x:row>
    <x:row r="858">
      <x:c r="A858" s="72" t="n">
        <x:v>46240.92422453704</x:v>
      </x:c>
      <x:c r="B858" s="32" t="str">
        <x:v>土壤EC</x:v>
      </x:c>
      <x:c r="C858" s="32" t="str">
        <x:v>W1</x:v>
      </x:c>
      <x:c r="D858" s="32" t="str">
        <x:v>V1</x:v>
      </x:c>
      <x:c r="E858" s="86" t="n">
        <x:f>COUNT('23_W1_EC'!B40,'23_W1_EC'!D40,'23_W1_EC'!F40,'23_W1_EC'!H40)</x:f>
        <x:v>4</x:v>
      </x:c>
      <x:c r="F858" s="90" t="n">
        <x:f>IF(E858=0,"",AVERAGE('23_W1_EC'!B40,'23_W1_EC'!D40,'23_W1_EC'!F40,'23_W1_EC'!H40))</x:f>
        <x:v>924</x:v>
      </x:c>
      <x:c r="G858" s="90" t="n">
        <x:f>IF(E858&lt;2,"",STDEV.S('23_W1_EC'!B40,'23_W1_EC'!D40,'23_W1_EC'!F40,'23_W1_EC'!H40))</x:f>
        <x:v>120.62890753601863</x:v>
      </x:c>
      <x:c r="H858" s="90" t="n">
        <x:f>IF(E858=0,"",MIN('23_W1_EC'!B40,'23_W1_EC'!D40,'23_W1_EC'!F40,'23_W1_EC'!H40))</x:f>
        <x:v>790</x:v>
      </x:c>
      <x:c r="I858" s="90" t="n">
        <x:f>IF(E858=0,"",MAX('23_W1_EC'!B40,'23_W1_EC'!D40,'23_W1_EC'!F40,'23_W1_EC'!H40))</x:f>
        <x:v>1060</x:v>
      </x:c>
      <x:c r="J858" s="32" t="str">
        <x:v>μS/cm</x:v>
      </x:c>
    </x:row>
    <x:row r="859">
      <x:c r="A859" s="72" t="n">
        <x:v>46240.92422453704</x:v>
      </x:c>
      <x:c r="B859" s="32" t="str">
        <x:v>土壤EC</x:v>
      </x:c>
      <x:c r="C859" s="32" t="str">
        <x:v>W1</x:v>
      </x:c>
      <x:c r="D859" s="32" t="str">
        <x:v>V2</x:v>
      </x:c>
      <x:c r="E859" s="86" t="n">
        <x:f>COUNT('23_W1_EC'!C40,'23_W1_EC'!E40,'23_W1_EC'!G40,'23_W1_EC'!I40)</x:f>
        <x:v>4</x:v>
      </x:c>
      <x:c r="F859" s="90" t="n">
        <x:f>IF(E859=0,"",AVERAGE('23_W1_EC'!C40,'23_W1_EC'!E40,'23_W1_EC'!G40,'23_W1_EC'!I40))</x:f>
        <x:v>936.5</x:v>
      </x:c>
      <x:c r="G859" s="90" t="n">
        <x:f>IF(E859&lt;2,"",STDEV.S('23_W1_EC'!C40,'23_W1_EC'!E40,'23_W1_EC'!G40,'23_W1_EC'!I40))</x:f>
        <x:v>120.223403157067</x:v>
      </x:c>
      <x:c r="H859" s="90" t="n">
        <x:f>IF(E859=0,"",MIN('23_W1_EC'!C40,'23_W1_EC'!E40,'23_W1_EC'!G40,'23_W1_EC'!I40))</x:f>
        <x:v>797</x:v>
      </x:c>
      <x:c r="I859" s="90" t="n">
        <x:f>IF(E859=0,"",MAX('23_W1_EC'!C40,'23_W1_EC'!E40,'23_W1_EC'!G40,'23_W1_EC'!I40))</x:f>
        <x:v>1066</x:v>
      </x:c>
      <x:c r="J859" s="32" t="str">
        <x:v>μS/cm</x:v>
      </x:c>
    </x:row>
    <x:row r="860">
      <x:c r="A860" s="72" t="n">
        <x:v>46240.92769675926</x:v>
      </x:c>
      <x:c r="B860" s="32" t="str">
        <x:v>土壤EC</x:v>
      </x:c>
      <x:c r="C860" s="32" t="str">
        <x:v>W1</x:v>
      </x:c>
      <x:c r="D860" s="32" t="str">
        <x:v>V1</x:v>
      </x:c>
      <x:c r="E860" s="86" t="n">
        <x:f>COUNT('23_W1_EC'!B41,'23_W1_EC'!D41,'23_W1_EC'!F41,'23_W1_EC'!H41)</x:f>
        <x:v>4</x:v>
      </x:c>
      <x:c r="F860" s="90" t="n">
        <x:f>IF(E860=0,"",AVERAGE('23_W1_EC'!B41,'23_W1_EC'!D41,'23_W1_EC'!F41,'23_W1_EC'!H41))</x:f>
        <x:v>923.5</x:v>
      </x:c>
      <x:c r="G860" s="90" t="n">
        <x:f>IF(E860&lt;2,"",STDEV.S('23_W1_EC'!B41,'23_W1_EC'!D41,'23_W1_EC'!F41,'23_W1_EC'!H41))</x:f>
        <x:v>119.78174596601382</x:v>
      </x:c>
      <x:c r="H860" s="90" t="n">
        <x:f>IF(E860=0,"",MIN('23_W1_EC'!B41,'23_W1_EC'!D41,'23_W1_EC'!F41,'23_W1_EC'!H41))</x:f>
        <x:v>796</x:v>
      </x:c>
      <x:c r="I860" s="90" t="n">
        <x:f>IF(E860=0,"",MAX('23_W1_EC'!B41,'23_W1_EC'!D41,'23_W1_EC'!F41,'23_W1_EC'!H41))</x:f>
        <x:v>1064</x:v>
      </x:c>
      <x:c r="J860" s="32" t="str">
        <x:v>μS/cm</x:v>
      </x:c>
    </x:row>
    <x:row r="861">
      <x:c r="A861" s="72" t="n">
        <x:v>46240.92769675926</x:v>
      </x:c>
      <x:c r="B861" s="32" t="str">
        <x:v>土壤EC</x:v>
      </x:c>
      <x:c r="C861" s="32" t="str">
        <x:v>W1</x:v>
      </x:c>
      <x:c r="D861" s="32" t="str">
        <x:v>V2</x:v>
      </x:c>
      <x:c r="E861" s="86" t="n">
        <x:f>COUNT('23_W1_EC'!C41,'23_W1_EC'!E41,'23_W1_EC'!G41,'23_W1_EC'!I41)</x:f>
        <x:v>4</x:v>
      </x:c>
      <x:c r="F861" s="90" t="n">
        <x:f>IF(E861=0,"",AVERAGE('23_W1_EC'!C41,'23_W1_EC'!E41,'23_W1_EC'!G41,'23_W1_EC'!I41))</x:f>
        <x:v>936</x:v>
      </x:c>
      <x:c r="G861" s="90" t="n">
        <x:f>IF(E861&lt;2,"",STDEV.S('23_W1_EC'!C41,'23_W1_EC'!E41,'23_W1_EC'!G41,'23_W1_EC'!I41))</x:f>
        <x:v>120.62890753601863</x:v>
      </x:c>
      <x:c r="H861" s="90" t="n">
        <x:f>IF(E861=0,"",MIN('23_W1_EC'!C41,'23_W1_EC'!E41,'23_W1_EC'!G41,'23_W1_EC'!I41))</x:f>
        <x:v>802</x:v>
      </x:c>
      <x:c r="I861" s="90" t="n">
        <x:f>IF(E861=0,"",MAX('23_W1_EC'!C41,'23_W1_EC'!E41,'23_W1_EC'!G41,'23_W1_EC'!I41))</x:f>
        <x:v>1072</x:v>
      </x:c>
      <x:c r="J861" s="32" t="str">
        <x:v>μS/cm</x:v>
      </x:c>
    </x:row>
    <x:row r="862">
      <x:c r="A862" s="72" t="n">
        <x:v>46240.93116898148</x:v>
      </x:c>
      <x:c r="B862" s="32" t="str">
        <x:v>土壤EC</x:v>
      </x:c>
      <x:c r="C862" s="32" t="str">
        <x:v>W1</x:v>
      </x:c>
      <x:c r="D862" s="32" t="str">
        <x:v>V1</x:v>
      </x:c>
      <x:c r="E862" s="86" t="n">
        <x:f>COUNT('23_W1_EC'!B42,'23_W1_EC'!D42,'23_W1_EC'!F42,'23_W1_EC'!H42)</x:f>
        <x:v>4</x:v>
      </x:c>
      <x:c r="F862" s="90" t="n">
        <x:f>IF(E862=0,"",AVERAGE('23_W1_EC'!B42,'23_W1_EC'!D42,'23_W1_EC'!F42,'23_W1_EC'!H42))</x:f>
        <x:v>923.25</x:v>
      </x:c>
      <x:c r="G862" s="90" t="n">
        <x:f>IF(E862&lt;2,"",STDEV.S('23_W1_EC'!B42,'23_W1_EC'!D42,'23_W1_EC'!F42,'23_W1_EC'!H42))</x:f>
        <x:v>117.87387327139123</x:v>
      </x:c>
      <x:c r="H862" s="90" t="n">
        <x:f>IF(E862=0,"",MIN('23_W1_EC'!B42,'23_W1_EC'!D42,'23_W1_EC'!F42,'23_W1_EC'!H42))</x:f>
        <x:v>804</x:v>
      </x:c>
      <x:c r="I862" s="90" t="n">
        <x:f>IF(E862=0,"",MAX('23_W1_EC'!B42,'23_W1_EC'!D42,'23_W1_EC'!F42,'23_W1_EC'!H42))</x:f>
        <x:v>1067</x:v>
      </x:c>
      <x:c r="J862" s="32" t="str">
        <x:v>μS/cm</x:v>
      </x:c>
    </x:row>
    <x:row r="863">
      <x:c r="A863" s="72" t="n">
        <x:v>46240.93116898148</x:v>
      </x:c>
      <x:c r="B863" s="32" t="str">
        <x:v>土壤EC</x:v>
      </x:c>
      <x:c r="C863" s="32" t="str">
        <x:v>W1</x:v>
      </x:c>
      <x:c r="D863" s="32" t="str">
        <x:v>V2</x:v>
      </x:c>
      <x:c r="E863" s="86" t="n">
        <x:f>COUNT('23_W1_EC'!C42,'23_W1_EC'!E42,'23_W1_EC'!G42,'23_W1_EC'!I42)</x:f>
        <x:v>4</x:v>
      </x:c>
      <x:c r="F863" s="90" t="n">
        <x:f>IF(E863=0,"",AVERAGE('23_W1_EC'!C42,'23_W1_EC'!E42,'23_W1_EC'!G42,'23_W1_EC'!I42))</x:f>
        <x:v>935.5</x:v>
      </x:c>
      <x:c r="G863" s="90" t="n">
        <x:f>IF(E863&lt;2,"",STDEV.S('23_W1_EC'!C42,'23_W1_EC'!E42,'23_W1_EC'!G42,'23_W1_EC'!I42))</x:f>
        <x:v>119.78174596601382</x:v>
      </x:c>
      <x:c r="H863" s="90" t="n">
        <x:f>IF(E863=0,"",MIN('23_W1_EC'!C42,'23_W1_EC'!E42,'23_W1_EC'!G42,'23_W1_EC'!I42))</x:f>
        <x:v>808</x:v>
      </x:c>
      <x:c r="I863" s="90" t="n">
        <x:f>IF(E863=0,"",MAX('23_W1_EC'!C42,'23_W1_EC'!E42,'23_W1_EC'!G42,'23_W1_EC'!I42))</x:f>
        <x:v>1076</x:v>
      </x:c>
      <x:c r="J863" s="32" t="str">
        <x:v>μS/cm</x:v>
      </x:c>
    </x:row>
    <x:row r="864">
      <x:c r="A864" s="72" t="n">
        <x:v>46240.934641203705</x:v>
      </x:c>
      <x:c r="B864" s="32" t="str">
        <x:v>土壤EC</x:v>
      </x:c>
      <x:c r="C864" s="32" t="str">
        <x:v>W1</x:v>
      </x:c>
      <x:c r="D864" s="32" t="str">
        <x:v>V1</x:v>
      </x:c>
      <x:c r="E864" s="86" t="n">
        <x:f>COUNT('23_W1_EC'!B43,'23_W1_EC'!D43,'23_W1_EC'!F43,'23_W1_EC'!H43)</x:f>
        <x:v>4</x:v>
      </x:c>
      <x:c r="F864" s="90" t="n">
        <x:f>IF(E864=0,"",AVERAGE('23_W1_EC'!B43,'23_W1_EC'!D43,'23_W1_EC'!F43,'23_W1_EC'!H43))</x:f>
        <x:v>922.75</x:v>
      </x:c>
      <x:c r="G864" s="90" t="n">
        <x:f>IF(E864&lt;2,"",STDEV.S('23_W1_EC'!B43,'23_W1_EC'!D43,'23_W1_EC'!F43,'23_W1_EC'!H43))</x:f>
        <x:v>114.38640653504244</x:v>
      </x:c>
      <x:c r="H864" s="90" t="n">
        <x:f>IF(E864=0,"",MIN('23_W1_EC'!B43,'23_W1_EC'!D43,'23_W1_EC'!F43,'23_W1_EC'!H43))</x:f>
        <x:v>812</x:v>
      </x:c>
      <x:c r="I864" s="90" t="n">
        <x:f>IF(E864=0,"",MAX('23_W1_EC'!B43,'23_W1_EC'!D43,'23_W1_EC'!F43,'23_W1_EC'!H43))</x:f>
        <x:v>1067</x:v>
      </x:c>
      <x:c r="J864" s="32" t="str">
        <x:v>μS/cm</x:v>
      </x:c>
    </x:row>
    <x:row r="865">
      <x:c r="A865" s="72" t="n">
        <x:v>46240.934641203705</x:v>
      </x:c>
      <x:c r="B865" s="32" t="str">
        <x:v>土壤EC</x:v>
      </x:c>
      <x:c r="C865" s="32" t="str">
        <x:v>W1</x:v>
      </x:c>
      <x:c r="D865" s="32" t="str">
        <x:v>V2</x:v>
      </x:c>
      <x:c r="E865" s="86" t="n">
        <x:f>COUNT('23_W1_EC'!C43,'23_W1_EC'!E43,'23_W1_EC'!G43,'23_W1_EC'!I43)</x:f>
        <x:v>4</x:v>
      </x:c>
      <x:c r="F865" s="90" t="n">
        <x:f>IF(E865=0,"",AVERAGE('23_W1_EC'!C43,'23_W1_EC'!E43,'23_W1_EC'!G43,'23_W1_EC'!I43))</x:f>
        <x:v>935.25</x:v>
      </x:c>
      <x:c r="G865" s="90" t="n">
        <x:f>IF(E865&lt;2,"",STDEV.S('23_W1_EC'!C43,'23_W1_EC'!E43,'23_W1_EC'!G43,'23_W1_EC'!I43))</x:f>
        <x:v>117.87387327139123</x:v>
      </x:c>
      <x:c r="H865" s="90" t="n">
        <x:f>IF(E865=0,"",MIN('23_W1_EC'!C43,'23_W1_EC'!E43,'23_W1_EC'!G43,'23_W1_EC'!I43))</x:f>
        <x:v>816</x:v>
      </x:c>
      <x:c r="I865" s="90" t="n">
        <x:f>IF(E865=0,"",MAX('23_W1_EC'!C43,'23_W1_EC'!E43,'23_W1_EC'!G43,'23_W1_EC'!I43))</x:f>
        <x:v>1079</x:v>
      </x:c>
      <x:c r="J865" s="32" t="str">
        <x:v>μS/cm</x:v>
      </x:c>
    </x:row>
    <x:row r="866">
      <x:c r="A866" s="72" t="n">
        <x:v>46240.938113425924</x:v>
      </x:c>
      <x:c r="B866" s="32" t="str">
        <x:v>土壤EC</x:v>
      </x:c>
      <x:c r="C866" s="32" t="str">
        <x:v>W1</x:v>
      </x:c>
      <x:c r="D866" s="32" t="str">
        <x:v>V1</x:v>
      </x:c>
      <x:c r="E866" s="86" t="n">
        <x:f>COUNT('23_W1_EC'!B44,'23_W1_EC'!D44,'23_W1_EC'!F44,'23_W1_EC'!H44)</x:f>
        <x:v>4</x:v>
      </x:c>
      <x:c r="F866" s="90" t="n">
        <x:f>IF(E866=0,"",AVERAGE('23_W1_EC'!B44,'23_W1_EC'!D44,'23_W1_EC'!F44,'23_W1_EC'!H44))</x:f>
        <x:v>922.5</x:v>
      </x:c>
      <x:c r="G866" s="90" t="n">
        <x:f>IF(E866&lt;2,"",STDEV.S('23_W1_EC'!B44,'23_W1_EC'!D44,'23_W1_EC'!F44,'23_W1_EC'!H44))</x:f>
        <x:v>109.63119993870357</x:v>
      </x:c>
      <x:c r="H866" s="90" t="n">
        <x:f>IF(E866=0,"",MIN('23_W1_EC'!B44,'23_W1_EC'!D44,'23_W1_EC'!F44,'23_W1_EC'!H44))</x:f>
        <x:v>821</x:v>
      </x:c>
      <x:c r="I866" s="90" t="n">
        <x:f>IF(E866=0,"",MAX('23_W1_EC'!B44,'23_W1_EC'!D44,'23_W1_EC'!F44,'23_W1_EC'!H44))</x:f>
        <x:v>1065</x:v>
      </x:c>
      <x:c r="J866" s="32" t="str">
        <x:v>μS/cm</x:v>
      </x:c>
    </x:row>
    <x:row r="867">
      <x:c r="A867" s="72" t="n">
        <x:v>46240.938113425924</x:v>
      </x:c>
      <x:c r="B867" s="32" t="str">
        <x:v>土壤EC</x:v>
      </x:c>
      <x:c r="C867" s="32" t="str">
        <x:v>W1</x:v>
      </x:c>
      <x:c r="D867" s="32" t="str">
        <x:v>V2</x:v>
      </x:c>
      <x:c r="E867" s="86" t="n">
        <x:f>COUNT('23_W1_EC'!C44,'23_W1_EC'!E44,'23_W1_EC'!G44,'23_W1_EC'!I44)</x:f>
        <x:v>4</x:v>
      </x:c>
      <x:c r="F867" s="90" t="n">
        <x:f>IF(E867=0,"",AVERAGE('23_W1_EC'!C44,'23_W1_EC'!E44,'23_W1_EC'!G44,'23_W1_EC'!I44))</x:f>
        <x:v>934.75</x:v>
      </x:c>
      <x:c r="G867" s="90" t="n">
        <x:f>IF(E867&lt;2,"",STDEV.S('23_W1_EC'!C44,'23_W1_EC'!E44,'23_W1_EC'!G44,'23_W1_EC'!I44))</x:f>
        <x:v>114.38640653504244</x:v>
      </x:c>
      <x:c r="H867" s="90" t="n">
        <x:f>IF(E867=0,"",MIN('23_W1_EC'!C44,'23_W1_EC'!E44,'23_W1_EC'!G44,'23_W1_EC'!I44))</x:f>
        <x:v>824</x:v>
      </x:c>
      <x:c r="I867" s="90" t="n">
        <x:f>IF(E867=0,"",MAX('23_W1_EC'!C44,'23_W1_EC'!E44,'23_W1_EC'!G44,'23_W1_EC'!I44))</x:f>
        <x:v>1079</x:v>
      </x:c>
      <x:c r="J867" s="32" t="str">
        <x:v>μS/cm</x:v>
      </x:c>
    </x:row>
    <x:row r="868">
      <x:c r="A868" s="72" t="n">
        <x:v>46240.94158564815</x:v>
      </x:c>
      <x:c r="B868" s="32" t="str">
        <x:v>土壤EC</x:v>
      </x:c>
      <x:c r="C868" s="32" t="str">
        <x:v>W1</x:v>
      </x:c>
      <x:c r="D868" s="32" t="str">
        <x:v>V1</x:v>
      </x:c>
      <x:c r="E868" s="86" t="n">
        <x:f>COUNT('23_W1_EC'!B45,'23_W1_EC'!D45,'23_W1_EC'!F45,'23_W1_EC'!H45)</x:f>
        <x:v>4</x:v>
      </x:c>
      <x:c r="F868" s="90" t="n">
        <x:f>IF(E868=0,"",AVERAGE('23_W1_EC'!B45,'23_W1_EC'!D45,'23_W1_EC'!F45,'23_W1_EC'!H45))</x:f>
        <x:v>922.25</x:v>
      </x:c>
      <x:c r="G868" s="90" t="n">
        <x:f>IF(E868&lt;2,"",STDEV.S('23_W1_EC'!B45,'23_W1_EC'!D45,'23_W1_EC'!F45,'23_W1_EC'!H45))</x:f>
        <x:v>104.23491097836015</x:v>
      </x:c>
      <x:c r="H868" s="90" t="n">
        <x:f>IF(E868=0,"",MIN('23_W1_EC'!B45,'23_W1_EC'!D45,'23_W1_EC'!F45,'23_W1_EC'!H45))</x:f>
        <x:v>829</x:v>
      </x:c>
      <x:c r="I868" s="90" t="n">
        <x:f>IF(E868=0,"",MAX('23_W1_EC'!B45,'23_W1_EC'!D45,'23_W1_EC'!F45,'23_W1_EC'!H45))</x:f>
        <x:v>1061</x:v>
      </x:c>
      <x:c r="J868" s="32" t="str">
        <x:v>μS/cm</x:v>
      </x:c>
    </x:row>
    <x:row r="869">
      <x:c r="A869" s="72" t="n">
        <x:v>46240.94158564815</x:v>
      </x:c>
      <x:c r="B869" s="32" t="str">
        <x:v>土壤EC</x:v>
      </x:c>
      <x:c r="C869" s="32" t="str">
        <x:v>W1</x:v>
      </x:c>
      <x:c r="D869" s="32" t="str">
        <x:v>V2</x:v>
      </x:c>
      <x:c r="E869" s="86" t="n">
        <x:f>COUNT('23_W1_EC'!C45,'23_W1_EC'!E45,'23_W1_EC'!G45,'23_W1_EC'!I45)</x:f>
        <x:v>4</x:v>
      </x:c>
      <x:c r="F869" s="90" t="n">
        <x:f>IF(E869=0,"",AVERAGE('23_W1_EC'!C45,'23_W1_EC'!E45,'23_W1_EC'!G45,'23_W1_EC'!I45))</x:f>
        <x:v>934.5</x:v>
      </x:c>
      <x:c r="G869" s="90" t="n">
        <x:f>IF(E869&lt;2,"",STDEV.S('23_W1_EC'!C45,'23_W1_EC'!E45,'23_W1_EC'!G45,'23_W1_EC'!I45))</x:f>
        <x:v>109.63119993870357</x:v>
      </x:c>
      <x:c r="H869" s="90" t="n">
        <x:f>IF(E869=0,"",MIN('23_W1_EC'!C45,'23_W1_EC'!E45,'23_W1_EC'!G45,'23_W1_EC'!I45))</x:f>
        <x:v>833</x:v>
      </x:c>
      <x:c r="I869" s="90" t="n">
        <x:f>IF(E869=0,"",MAX('23_W1_EC'!C45,'23_W1_EC'!E45,'23_W1_EC'!G45,'23_W1_EC'!I45))</x:f>
        <x:v>1077</x:v>
      </x:c>
      <x:c r="J869" s="32" t="str">
        <x:v>μS/cm</x:v>
      </x:c>
    </x:row>
    <x:row r="870">
      <x:c r="A870" s="72" t="n">
        <x:v>46240.94505787037</x:v>
      </x:c>
      <x:c r="B870" s="32" t="str">
        <x:v>土壤EC</x:v>
      </x:c>
      <x:c r="C870" s="32" t="str">
        <x:v>W1</x:v>
      </x:c>
      <x:c r="D870" s="32" t="str">
        <x:v>V1</x:v>
      </x:c>
      <x:c r="E870" s="86" t="n">
        <x:f>COUNT('23_W1_EC'!B46,'23_W1_EC'!D46,'23_W1_EC'!F46,'23_W1_EC'!H46)</x:f>
        <x:v>4</x:v>
      </x:c>
      <x:c r="F870" s="90" t="n">
        <x:f>IF(E870=0,"",AVERAGE('23_W1_EC'!B46,'23_W1_EC'!D46,'23_W1_EC'!F46,'23_W1_EC'!H46))</x:f>
        <x:v>922.25</x:v>
      </x:c>
      <x:c r="G870" s="90" t="n">
        <x:f>IF(E870&lt;2,"",STDEV.S('23_W1_EC'!B46,'23_W1_EC'!D46,'23_W1_EC'!F46,'23_W1_EC'!H46))</x:f>
        <x:v>97.7799400013452</x:v>
      </x:c>
      <x:c r="H870" s="90" t="n">
        <x:f>IF(E870=0,"",MIN('23_W1_EC'!B46,'23_W1_EC'!D46,'23_W1_EC'!F46,'23_W1_EC'!H46))</x:f>
        <x:v>837</x:v>
      </x:c>
      <x:c r="I870" s="90" t="n">
        <x:f>IF(E870=0,"",MAX('23_W1_EC'!B46,'23_W1_EC'!D46,'23_W1_EC'!F46,'23_W1_EC'!H46))</x:f>
        <x:v>1055</x:v>
      </x:c>
      <x:c r="J870" s="32" t="str">
        <x:v>μS/cm</x:v>
      </x:c>
    </x:row>
    <x:row r="871">
      <x:c r="A871" s="72" t="n">
        <x:v>46240.94505787037</x:v>
      </x:c>
      <x:c r="B871" s="32" t="str">
        <x:v>土壤EC</x:v>
      </x:c>
      <x:c r="C871" s="32" t="str">
        <x:v>W1</x:v>
      </x:c>
      <x:c r="D871" s="32" t="str">
        <x:v>V2</x:v>
      </x:c>
      <x:c r="E871" s="86" t="n">
        <x:f>COUNT('23_W1_EC'!C46,'23_W1_EC'!E46,'23_W1_EC'!G46,'23_W1_EC'!I46)</x:f>
        <x:v>4</x:v>
      </x:c>
      <x:c r="F871" s="90" t="n">
        <x:f>IF(E871=0,"",AVERAGE('23_W1_EC'!C46,'23_W1_EC'!E46,'23_W1_EC'!G46,'23_W1_EC'!I46))</x:f>
        <x:v>934.25</x:v>
      </x:c>
      <x:c r="G871" s="90" t="n">
        <x:f>IF(E871&lt;2,"",STDEV.S('23_W1_EC'!C46,'23_W1_EC'!E46,'23_W1_EC'!G46,'23_W1_EC'!I46))</x:f>
        <x:v>104.23491097836015</x:v>
      </x:c>
      <x:c r="H871" s="90" t="n">
        <x:f>IF(E871=0,"",MIN('23_W1_EC'!C46,'23_W1_EC'!E46,'23_W1_EC'!G46,'23_W1_EC'!I46))</x:f>
        <x:v>841</x:v>
      </x:c>
      <x:c r="I871" s="90" t="n">
        <x:f>IF(E871=0,"",MAX('23_W1_EC'!C46,'23_W1_EC'!E46,'23_W1_EC'!G46,'23_W1_EC'!I46))</x:f>
        <x:v>1073</x:v>
      </x:c>
      <x:c r="J871" s="32" t="str">
        <x:v>μS/cm</x:v>
      </x:c>
    </x:row>
    <x:row r="872">
      <x:c r="A872" s="72" t="n">
        <x:v>46240.948530092595</x:v>
      </x:c>
      <x:c r="B872" s="32" t="str">
        <x:v>土壤EC</x:v>
      </x:c>
      <x:c r="C872" s="32" t="str">
        <x:v>W1</x:v>
      </x:c>
      <x:c r="D872" s="32" t="str">
        <x:v>V1</x:v>
      </x:c>
      <x:c r="E872" s="86" t="n">
        <x:f>COUNT('23_W1_EC'!B47,'23_W1_EC'!D47,'23_W1_EC'!F47,'23_W1_EC'!H47)</x:f>
        <x:v>4</x:v>
      </x:c>
      <x:c r="F872" s="90" t="n">
        <x:f>IF(E872=0,"",AVERAGE('23_W1_EC'!B47,'23_W1_EC'!D47,'23_W1_EC'!F47,'23_W1_EC'!H47))</x:f>
        <x:v>922.25</x:v>
      </x:c>
      <x:c r="G872" s="90" t="n">
        <x:f>IF(E872&lt;2,"",STDEV.S('23_W1_EC'!B47,'23_W1_EC'!D47,'23_W1_EC'!F47,'23_W1_EC'!H47))</x:f>
        <x:v>91.4635628725086</x:v>
      </x:c>
      <x:c r="H872" s="90" t="n">
        <x:f>IF(E872=0,"",MIN('23_W1_EC'!B47,'23_W1_EC'!D47,'23_W1_EC'!F47,'23_W1_EC'!H47))</x:f>
        <x:v>843</x:v>
      </x:c>
      <x:c r="I872" s="90" t="n">
        <x:f>IF(E872=0,"",MAX('23_W1_EC'!B47,'23_W1_EC'!D47,'23_W1_EC'!F47,'23_W1_EC'!H47))</x:f>
        <x:v>1048</x:v>
      </x:c>
      <x:c r="J872" s="32" t="str">
        <x:v>μS/cm</x:v>
      </x:c>
    </x:row>
    <x:row r="873">
      <x:c r="A873" s="72" t="n">
        <x:v>46240.948530092595</x:v>
      </x:c>
      <x:c r="B873" s="32" t="str">
        <x:v>土壤EC</x:v>
      </x:c>
      <x:c r="C873" s="32" t="str">
        <x:v>W1</x:v>
      </x:c>
      <x:c r="D873" s="32" t="str">
        <x:v>V2</x:v>
      </x:c>
      <x:c r="E873" s="86" t="n">
        <x:f>COUNT('23_W1_EC'!C47,'23_W1_EC'!E47,'23_W1_EC'!G47,'23_W1_EC'!I47)</x:f>
        <x:v>4</x:v>
      </x:c>
      <x:c r="F873" s="90" t="n">
        <x:f>IF(E873=0,"",AVERAGE('23_W1_EC'!C47,'23_W1_EC'!E47,'23_W1_EC'!G47,'23_W1_EC'!I47))</x:f>
        <x:v>934.25</x:v>
      </x:c>
      <x:c r="G873" s="90" t="n">
        <x:f>IF(E873&lt;2,"",STDEV.S('23_W1_EC'!C47,'23_W1_EC'!E47,'23_W1_EC'!G47,'23_W1_EC'!I47))</x:f>
        <x:v>97.7799400013452</x:v>
      </x:c>
      <x:c r="H873" s="90" t="n">
        <x:f>IF(E873=0,"",MIN('23_W1_EC'!C47,'23_W1_EC'!E47,'23_W1_EC'!G47,'23_W1_EC'!I47))</x:f>
        <x:v>849</x:v>
      </x:c>
      <x:c r="I873" s="90" t="n">
        <x:f>IF(E873=0,"",MAX('23_W1_EC'!C47,'23_W1_EC'!E47,'23_W1_EC'!G47,'23_W1_EC'!I47))</x:f>
        <x:v>1067</x:v>
      </x:c>
      <x:c r="J873" s="32" t="str">
        <x:v>μS/cm</x:v>
      </x:c>
    </x:row>
    <x:row r="874">
      <x:c r="A874" s="72" t="n">
        <x:v>46240.952002314814</x:v>
      </x:c>
      <x:c r="B874" s="32" t="str">
        <x:v>土壤EC</x:v>
      </x:c>
      <x:c r="C874" s="32" t="str">
        <x:v>W1</x:v>
      </x:c>
      <x:c r="D874" s="32" t="str">
        <x:v>V1</x:v>
      </x:c>
      <x:c r="E874" s="86" t="n">
        <x:f>COUNT('23_W1_EC'!B48,'23_W1_EC'!D48,'23_W1_EC'!F48,'23_W1_EC'!H48)</x:f>
        <x:v>4</x:v>
      </x:c>
      <x:c r="F874" s="90" t="n">
        <x:f>IF(E874=0,"",AVERAGE('23_W1_EC'!B48,'23_W1_EC'!D48,'23_W1_EC'!F48,'23_W1_EC'!H48))</x:f>
        <x:v>922.5</x:v>
      </x:c>
      <x:c r="G874" s="90" t="n">
        <x:f>IF(E874&lt;2,"",STDEV.S('23_W1_EC'!B48,'23_W1_EC'!D48,'23_W1_EC'!F48,'23_W1_EC'!H48))</x:f>
        <x:v>84.71717653463199</x:v>
      </x:c>
      <x:c r="H874" s="90" t="n">
        <x:f>IF(E874=0,"",MIN('23_W1_EC'!B48,'23_W1_EC'!D48,'23_W1_EC'!F48,'23_W1_EC'!H48))</x:f>
        <x:v>848</x:v>
      </x:c>
      <x:c r="I874" s="90" t="n">
        <x:f>IF(E874=0,"",MAX('23_W1_EC'!B48,'23_W1_EC'!D48,'23_W1_EC'!F48,'23_W1_EC'!H48))</x:f>
        <x:v>1040</x:v>
      </x:c>
      <x:c r="J874" s="32" t="str">
        <x:v>μS/cm</x:v>
      </x:c>
    </x:row>
    <x:row r="875">
      <x:c r="A875" s="72" t="n">
        <x:v>46240.952002314814</x:v>
      </x:c>
      <x:c r="B875" s="32" t="str">
        <x:v>土壤EC</x:v>
      </x:c>
      <x:c r="C875" s="32" t="str">
        <x:v>W1</x:v>
      </x:c>
      <x:c r="D875" s="32" t="str">
        <x:v>V2</x:v>
      </x:c>
      <x:c r="E875" s="86" t="n">
        <x:f>COUNT('23_W1_EC'!C48,'23_W1_EC'!E48,'23_W1_EC'!G48,'23_W1_EC'!I48)</x:f>
        <x:v>4</x:v>
      </x:c>
      <x:c r="F875" s="90" t="n">
        <x:f>IF(E875=0,"",AVERAGE('23_W1_EC'!C48,'23_W1_EC'!E48,'23_W1_EC'!G48,'23_W1_EC'!I48))</x:f>
        <x:v>934.25</x:v>
      </x:c>
      <x:c r="G875" s="90" t="n">
        <x:f>IF(E875&lt;2,"",STDEV.S('23_W1_EC'!C48,'23_W1_EC'!E48,'23_W1_EC'!G48,'23_W1_EC'!I48))</x:f>
        <x:v>91.4635628725086</x:v>
      </x:c>
      <x:c r="H875" s="90" t="n">
        <x:f>IF(E875=0,"",MIN('23_W1_EC'!C48,'23_W1_EC'!E48,'23_W1_EC'!G48,'23_W1_EC'!I48))</x:f>
        <x:v>855</x:v>
      </x:c>
      <x:c r="I875" s="90" t="n">
        <x:f>IF(E875=0,"",MAX('23_W1_EC'!C48,'23_W1_EC'!E48,'23_W1_EC'!G48,'23_W1_EC'!I48))</x:f>
        <x:v>1060</x:v>
      </x:c>
      <x:c r="J875" s="32" t="str">
        <x:v>μS/cm</x:v>
      </x:c>
    </x:row>
    <x:row r="876">
      <x:c r="A876" s="72" t="n">
        <x:v>46240.95547453704</x:v>
      </x:c>
      <x:c r="B876" s="32" t="str">
        <x:v>土壤EC</x:v>
      </x:c>
      <x:c r="C876" s="32" t="str">
        <x:v>W1</x:v>
      </x:c>
      <x:c r="D876" s="32" t="str">
        <x:v>V1</x:v>
      </x:c>
      <x:c r="E876" s="86" t="n">
        <x:f>COUNT('23_W1_EC'!B49,'23_W1_EC'!D49,'23_W1_EC'!F49,'23_W1_EC'!H49)</x:f>
        <x:v>4</x:v>
      </x:c>
      <x:c r="F876" s="90" t="n">
        <x:f>IF(E876=0,"",AVERAGE('23_W1_EC'!B49,'23_W1_EC'!D49,'23_W1_EC'!F49,'23_W1_EC'!H49))</x:f>
        <x:v>922.5</x:v>
      </x:c>
      <x:c r="G876" s="90" t="n">
        <x:f>IF(E876&lt;2,"",STDEV.S('23_W1_EC'!B49,'23_W1_EC'!D49,'23_W1_EC'!F49,'23_W1_EC'!H49))</x:f>
        <x:v>78.56419880157458</x:v>
      </x:c>
      <x:c r="H876" s="90" t="n">
        <x:f>IF(E876=0,"",MIN('23_W1_EC'!B49,'23_W1_EC'!D49,'23_W1_EC'!F49,'23_W1_EC'!H49))</x:f>
        <x:v>850</x:v>
      </x:c>
      <x:c r="I876" s="90" t="n">
        <x:f>IF(E876=0,"",MAX('23_W1_EC'!B49,'23_W1_EC'!D49,'23_W1_EC'!F49,'23_W1_EC'!H49))</x:f>
        <x:v>1031</x:v>
      </x:c>
      <x:c r="J876" s="32" t="str">
        <x:v>μS/cm</x:v>
      </x:c>
    </x:row>
    <x:row r="877">
      <x:c r="A877" s="72" t="n">
        <x:v>46240.95547453704</x:v>
      </x:c>
      <x:c r="B877" s="32" t="str">
        <x:v>土壤EC</x:v>
      </x:c>
      <x:c r="C877" s="32" t="str">
        <x:v>W1</x:v>
      </x:c>
      <x:c r="D877" s="32" t="str">
        <x:v>V2</x:v>
      </x:c>
      <x:c r="E877" s="86" t="n">
        <x:f>COUNT('23_W1_EC'!C49,'23_W1_EC'!E49,'23_W1_EC'!G49,'23_W1_EC'!I49)</x:f>
        <x:v>4</x:v>
      </x:c>
      <x:c r="F877" s="90" t="n">
        <x:f>IF(E877=0,"",AVERAGE('23_W1_EC'!C49,'23_W1_EC'!E49,'23_W1_EC'!G49,'23_W1_EC'!I49))</x:f>
        <x:v>934.5</x:v>
      </x:c>
      <x:c r="G877" s="90" t="n">
        <x:f>IF(E877&lt;2,"",STDEV.S('23_W1_EC'!C49,'23_W1_EC'!E49,'23_W1_EC'!G49,'23_W1_EC'!I49))</x:f>
        <x:v>84.71717653463199</x:v>
      </x:c>
      <x:c r="H877" s="90" t="n">
        <x:f>IF(E877=0,"",MIN('23_W1_EC'!C49,'23_W1_EC'!E49,'23_W1_EC'!G49,'23_W1_EC'!I49))</x:f>
        <x:v>860</x:v>
      </x:c>
      <x:c r="I877" s="90" t="n">
        <x:f>IF(E877=0,"",MAX('23_W1_EC'!C49,'23_W1_EC'!E49,'23_W1_EC'!G49,'23_W1_EC'!I49))</x:f>
        <x:v>1052</x:v>
      </x:c>
      <x:c r="J877" s="32" t="str">
        <x:v>μS/cm</x:v>
      </x:c>
    </x:row>
    <x:row r="878">
      <x:c r="A878" s="72" t="n">
        <x:v>46240.95894675926</x:v>
      </x:c>
      <x:c r="B878" s="32" t="str">
        <x:v>土壤EC</x:v>
      </x:c>
      <x:c r="C878" s="32" t="str">
        <x:v>W1</x:v>
      </x:c>
      <x:c r="D878" s="32" t="str">
        <x:v>V1</x:v>
      </x:c>
      <x:c r="E878" s="86" t="n">
        <x:f>COUNT('23_W1_EC'!B50,'23_W1_EC'!D50,'23_W1_EC'!F50,'23_W1_EC'!H50)</x:f>
        <x:v>4</x:v>
      </x:c>
      <x:c r="F878" s="90" t="n">
        <x:f>IF(E878=0,"",AVERAGE('23_W1_EC'!B50,'23_W1_EC'!D50,'23_W1_EC'!F50,'23_W1_EC'!H50))</x:f>
        <x:v>923</x:v>
      </x:c>
      <x:c r="G878" s="90" t="n">
        <x:f>IF(E878&lt;2,"",STDEV.S('23_W1_EC'!B50,'23_W1_EC'!D50,'23_W1_EC'!F50,'23_W1_EC'!H50))</x:f>
        <x:v>72.78736154031138</x:v>
      </x:c>
      <x:c r="H878" s="90" t="n">
        <x:f>IF(E878=0,"",MIN('23_W1_EC'!B50,'23_W1_EC'!D50,'23_W1_EC'!F50,'23_W1_EC'!H50))</x:f>
        <x:v>851</x:v>
      </x:c>
      <x:c r="I878" s="90" t="n">
        <x:f>IF(E878=0,"",MAX('23_W1_EC'!B50,'23_W1_EC'!D50,'23_W1_EC'!F50,'23_W1_EC'!H50))</x:f>
        <x:v>1022</x:v>
      </x:c>
      <x:c r="J878" s="32" t="str">
        <x:v>μS/cm</x:v>
      </x:c>
    </x:row>
    <x:row r="879">
      <x:c r="A879" s="72" t="n">
        <x:v>46240.95894675926</x:v>
      </x:c>
      <x:c r="B879" s="32" t="str">
        <x:v>土壤EC</x:v>
      </x:c>
      <x:c r="C879" s="32" t="str">
        <x:v>W1</x:v>
      </x:c>
      <x:c r="D879" s="32" t="str">
        <x:v>V2</x:v>
      </x:c>
      <x:c r="E879" s="86" t="n">
        <x:f>COUNT('23_W1_EC'!C50,'23_W1_EC'!E50,'23_W1_EC'!G50,'23_W1_EC'!I50)</x:f>
        <x:v>4</x:v>
      </x:c>
      <x:c r="F879" s="90" t="n">
        <x:f>IF(E879=0,"",AVERAGE('23_W1_EC'!C50,'23_W1_EC'!E50,'23_W1_EC'!G50,'23_W1_EC'!I50))</x:f>
        <x:v>934.5</x:v>
      </x:c>
      <x:c r="G879" s="90" t="n">
        <x:f>IF(E879&lt;2,"",STDEV.S('23_W1_EC'!C50,'23_W1_EC'!E50,'23_W1_EC'!G50,'23_W1_EC'!I50))</x:f>
        <x:v>78.56419880157458</x:v>
      </x:c>
      <x:c r="H879" s="90" t="n">
        <x:f>IF(E879=0,"",MIN('23_W1_EC'!C50,'23_W1_EC'!E50,'23_W1_EC'!G50,'23_W1_EC'!I50))</x:f>
        <x:v>862</x:v>
      </x:c>
      <x:c r="I879" s="90" t="n">
        <x:f>IF(E879=0,"",MAX('23_W1_EC'!C50,'23_W1_EC'!E50,'23_W1_EC'!G50,'23_W1_EC'!I50))</x:f>
        <x:v>1043</x:v>
      </x:c>
      <x:c r="J879" s="32" t="str">
        <x:v>μS/cm</x:v>
      </x:c>
    </x:row>
    <x:row r="880">
      <x:c r="A880" s="72" t="n">
        <x:v>46240.96241898148</x:v>
      </x:c>
      <x:c r="B880" s="32" t="str">
        <x:v>土壤EC</x:v>
      </x:c>
      <x:c r="C880" s="32" t="str">
        <x:v>W1</x:v>
      </x:c>
      <x:c r="D880" s="32" t="str">
        <x:v>V1</x:v>
      </x:c>
      <x:c r="E880" s="86" t="n">
        <x:f>COUNT('23_W1_EC'!B51,'23_W1_EC'!D51,'23_W1_EC'!F51,'23_W1_EC'!H51)</x:f>
        <x:v>4</x:v>
      </x:c>
      <x:c r="F880" s="90" t="n">
        <x:f>IF(E880=0,"",AVERAGE('23_W1_EC'!B51,'23_W1_EC'!D51,'23_W1_EC'!F51,'23_W1_EC'!H51))</x:f>
        <x:v>923.25</x:v>
      </x:c>
      <x:c r="G880" s="90" t="n">
        <x:f>IF(E880&lt;2,"",STDEV.S('23_W1_EC'!B51,'23_W1_EC'!D51,'23_W1_EC'!F51,'23_W1_EC'!H51))</x:f>
        <x:v>68.98490172977466</x:v>
      </x:c>
      <x:c r="H880" s="90" t="n">
        <x:f>IF(E880=0,"",MIN('23_W1_EC'!B51,'23_W1_EC'!D51,'23_W1_EC'!F51,'23_W1_EC'!H51))</x:f>
        <x:v>849</x:v>
      </x:c>
      <x:c r="I880" s="90" t="n">
        <x:f>IF(E880=0,"",MAX('23_W1_EC'!B51,'23_W1_EC'!D51,'23_W1_EC'!F51,'23_W1_EC'!H51))</x:f>
        <x:v>1014</x:v>
      </x:c>
      <x:c r="J880" s="32" t="str">
        <x:v>μS/cm</x:v>
      </x:c>
    </x:row>
    <x:row r="881">
      <x:c r="A881" s="72" t="n">
        <x:v>46240.96241898148</x:v>
      </x:c>
      <x:c r="B881" s="32" t="str">
        <x:v>土壤EC</x:v>
      </x:c>
      <x:c r="C881" s="32" t="str">
        <x:v>W1</x:v>
      </x:c>
      <x:c r="D881" s="32" t="str">
        <x:v>V2</x:v>
      </x:c>
      <x:c r="E881" s="86" t="n">
        <x:f>COUNT('23_W1_EC'!C51,'23_W1_EC'!E51,'23_W1_EC'!G51,'23_W1_EC'!I51)</x:f>
        <x:v>4</x:v>
      </x:c>
      <x:c r="F881" s="90" t="n">
        <x:f>IF(E881=0,"",AVERAGE('23_W1_EC'!C51,'23_W1_EC'!E51,'23_W1_EC'!G51,'23_W1_EC'!I51))</x:f>
        <x:v>935</x:v>
      </x:c>
      <x:c r="G881" s="90" t="n">
        <x:f>IF(E881&lt;2,"",STDEV.S('23_W1_EC'!C51,'23_W1_EC'!E51,'23_W1_EC'!G51,'23_W1_EC'!I51))</x:f>
        <x:v>72.78736154031138</x:v>
      </x:c>
      <x:c r="H881" s="90" t="n">
        <x:f>IF(E881=0,"",MIN('23_W1_EC'!C51,'23_W1_EC'!E51,'23_W1_EC'!G51,'23_W1_EC'!I51))</x:f>
        <x:v>863</x:v>
      </x:c>
      <x:c r="I881" s="90" t="n">
        <x:f>IF(E881=0,"",MAX('23_W1_EC'!C51,'23_W1_EC'!E51,'23_W1_EC'!G51,'23_W1_EC'!I51))</x:f>
        <x:v>1034</x:v>
      </x:c>
      <x:c r="J881" s="32" t="str">
        <x:v>μS/cm</x:v>
      </x:c>
    </x:row>
    <x:row r="882">
      <x:c r="A882" s="72" t="n">
        <x:v>46240.965891203705</x:v>
      </x:c>
      <x:c r="B882" s="32" t="str">
        <x:v>土壤EC</x:v>
      </x:c>
      <x:c r="C882" s="32" t="str">
        <x:v>W1</x:v>
      </x:c>
      <x:c r="D882" s="32" t="str">
        <x:v>V1</x:v>
      </x:c>
      <x:c r="E882" s="86" t="n">
        <x:f>COUNT('23_W1_EC'!B52,'23_W1_EC'!D52,'23_W1_EC'!F52,'23_W1_EC'!H52)</x:f>
        <x:v>4</x:v>
      </x:c>
      <x:c r="F882" s="90" t="n">
        <x:f>IF(E882=0,"",AVERAGE('23_W1_EC'!B52,'23_W1_EC'!D52,'23_W1_EC'!F52,'23_W1_EC'!H52))</x:f>
        <x:v>923.75</x:v>
      </x:c>
      <x:c r="G882" s="90" t="n">
        <x:f>IF(E882&lt;2,"",STDEV.S('23_W1_EC'!B52,'23_W1_EC'!D52,'23_W1_EC'!F52,'23_W1_EC'!H52))</x:f>
        <x:v>66.96952043031716</x:v>
      </x:c>
      <x:c r="H882" s="90" t="n">
        <x:f>IF(E882=0,"",MIN('23_W1_EC'!B52,'23_W1_EC'!D52,'23_W1_EC'!F52,'23_W1_EC'!H52))</x:f>
        <x:v>845</x:v>
      </x:c>
      <x:c r="I882" s="90" t="n">
        <x:f>IF(E882=0,"",MAX('23_W1_EC'!B52,'23_W1_EC'!D52,'23_W1_EC'!F52,'23_W1_EC'!H52))</x:f>
        <x:v>1007</x:v>
      </x:c>
      <x:c r="J882" s="32" t="str">
        <x:v>μS/cm</x:v>
      </x:c>
    </x:row>
    <x:row r="883">
      <x:c r="A883" s="72" t="n">
        <x:v>46240.965891203705</x:v>
      </x:c>
      <x:c r="B883" s="32" t="str">
        <x:v>土壤EC</x:v>
      </x:c>
      <x:c r="C883" s="32" t="str">
        <x:v>W1</x:v>
      </x:c>
      <x:c r="D883" s="32" t="str">
        <x:v>V2</x:v>
      </x:c>
      <x:c r="E883" s="86" t="n">
        <x:f>COUNT('23_W1_EC'!C52,'23_W1_EC'!E52,'23_W1_EC'!G52,'23_W1_EC'!I52)</x:f>
        <x:v>4</x:v>
      </x:c>
      <x:c r="F883" s="90" t="n">
        <x:f>IF(E883=0,"",AVERAGE('23_W1_EC'!C52,'23_W1_EC'!E52,'23_W1_EC'!G52,'23_W1_EC'!I52))</x:f>
        <x:v>935.25</x:v>
      </x:c>
      <x:c r="G883" s="90" t="n">
        <x:f>IF(E883&lt;2,"",STDEV.S('23_W1_EC'!C52,'23_W1_EC'!E52,'23_W1_EC'!G52,'23_W1_EC'!I52))</x:f>
        <x:v>68.98490172977466</x:v>
      </x:c>
      <x:c r="H883" s="90" t="n">
        <x:f>IF(E883=0,"",MIN('23_W1_EC'!C52,'23_W1_EC'!E52,'23_W1_EC'!G52,'23_W1_EC'!I52))</x:f>
        <x:v>861</x:v>
      </x:c>
      <x:c r="I883" s="90" t="n">
        <x:f>IF(E883=0,"",MAX('23_W1_EC'!C52,'23_W1_EC'!E52,'23_W1_EC'!G52,'23_W1_EC'!I52))</x:f>
        <x:v>1026</x:v>
      </x:c>
      <x:c r="J883" s="32" t="str">
        <x:v>μS/cm</x:v>
      </x:c>
    </x:row>
    <x:row r="884">
      <x:c r="A884" s="72" t="n">
        <x:v>46240.969363425924</x:v>
      </x:c>
      <x:c r="B884" s="32" t="str">
        <x:v>土壤EC</x:v>
      </x:c>
      <x:c r="C884" s="32" t="str">
        <x:v>W1</x:v>
      </x:c>
      <x:c r="D884" s="32" t="str">
        <x:v>V1</x:v>
      </x:c>
      <x:c r="E884" s="86" t="n">
        <x:f>COUNT('23_W1_EC'!B53,'23_W1_EC'!D53,'23_W1_EC'!F53,'23_W1_EC'!H53)</x:f>
        <x:v>4</x:v>
      </x:c>
      <x:c r="F884" s="90" t="n">
        <x:f>IF(E884=0,"",AVERAGE('23_W1_EC'!B53,'23_W1_EC'!D53,'23_W1_EC'!F53,'23_W1_EC'!H53))</x:f>
        <x:v>924.25</x:v>
      </x:c>
      <x:c r="G884" s="90" t="n">
        <x:f>IF(E884&lt;2,"",STDEV.S('23_W1_EC'!B53,'23_W1_EC'!D53,'23_W1_EC'!F53,'23_W1_EC'!H53))</x:f>
        <x:v>67.02424934305493</x:v>
      </x:c>
      <x:c r="H884" s="90" t="n">
        <x:f>IF(E884=0,"",MIN('23_W1_EC'!B53,'23_W1_EC'!D53,'23_W1_EC'!F53,'23_W1_EC'!H53))</x:f>
        <x:v>840</x:v>
      </x:c>
      <x:c r="I884" s="90" t="n">
        <x:f>IF(E884=0,"",MAX('23_W1_EC'!B53,'23_W1_EC'!D53,'23_W1_EC'!F53,'23_W1_EC'!H53))</x:f>
        <x:v>1002</x:v>
      </x:c>
      <x:c r="J884" s="32" t="str">
        <x:v>μS/cm</x:v>
      </x:c>
    </x:row>
    <x:row r="885">
      <x:c r="A885" s="72" t="n">
        <x:v>46240.969363425924</x:v>
      </x:c>
      <x:c r="B885" s="32" t="str">
        <x:v>土壤EC</x:v>
      </x:c>
      <x:c r="C885" s="32" t="str">
        <x:v>W1</x:v>
      </x:c>
      <x:c r="D885" s="32" t="str">
        <x:v>V2</x:v>
      </x:c>
      <x:c r="E885" s="86" t="n">
        <x:f>COUNT('23_W1_EC'!C53,'23_W1_EC'!E53,'23_W1_EC'!G53,'23_W1_EC'!I53)</x:f>
        <x:v>4</x:v>
      </x:c>
      <x:c r="F885" s="90" t="n">
        <x:f>IF(E885=0,"",AVERAGE('23_W1_EC'!C53,'23_W1_EC'!E53,'23_W1_EC'!G53,'23_W1_EC'!I53))</x:f>
        <x:v>935.75</x:v>
      </x:c>
      <x:c r="G885" s="90" t="n">
        <x:f>IF(E885&lt;2,"",STDEV.S('23_W1_EC'!C53,'23_W1_EC'!E53,'23_W1_EC'!G53,'23_W1_EC'!I53))</x:f>
        <x:v>66.96952043031716</x:v>
      </x:c>
      <x:c r="H885" s="90" t="n">
        <x:f>IF(E885=0,"",MIN('23_W1_EC'!C53,'23_W1_EC'!E53,'23_W1_EC'!G53,'23_W1_EC'!I53))</x:f>
        <x:v>857</x:v>
      </x:c>
      <x:c r="I885" s="90" t="n">
        <x:f>IF(E885=0,"",MAX('23_W1_EC'!C53,'23_W1_EC'!E53,'23_W1_EC'!G53,'23_W1_EC'!I53))</x:f>
        <x:v>1019</x:v>
      </x:c>
      <x:c r="J885" s="32" t="str">
        <x:v>μS/cm</x:v>
      </x:c>
    </x:row>
    <x:row r="886">
      <x:c r="A886" s="72" t="n">
        <x:v>46240.80269675926</x:v>
      </x:c>
      <x:c r="B886" s="32" t="str">
        <x:v>土壤pH</x:v>
      </x:c>
      <x:c r="C886" s="32" t="str">
        <x:v>W1</x:v>
      </x:c>
      <x:c r="D886" s="32" t="str">
        <x:v>V1</x:v>
      </x:c>
      <x:c r="E886" s="86" t="n">
        <x:f>COUNT('24_W1_pH'!B5,'24_W1_pH'!D5,'24_W1_pH'!F5,'24_W1_pH'!H5)</x:f>
        <x:v>4</x:v>
      </x:c>
      <x:c r="F886" s="90" t="n">
        <x:f>IF(E886=0,"",AVERAGE('24_W1_pH'!B5,'24_W1_pH'!D5,'24_W1_pH'!F5,'24_W1_pH'!H5))</x:f>
        <x:v>6.4025</x:v>
      </x:c>
      <x:c r="G886" s="90" t="n">
        <x:f>IF(E886&lt;2,"",STDEV.S('24_W1_pH'!B5,'24_W1_pH'!D5,'24_W1_pH'!F5,'24_W1_pH'!H5))</x:f>
        <x:v>0.11086778913041734</x:v>
      </x:c>
      <x:c r="H886" s="90" t="n">
        <x:f>IF(E886=0,"",MIN('24_W1_pH'!B5,'24_W1_pH'!D5,'24_W1_pH'!F5,'24_W1_pH'!H5))</x:f>
        <x:v>6.3</x:v>
      </x:c>
      <x:c r="I886" s="90" t="n">
        <x:f>IF(E886=0,"",MAX('24_W1_pH'!B5,'24_W1_pH'!D5,'24_W1_pH'!F5,'24_W1_pH'!H5))</x:f>
        <x:v>6.53</x:v>
      </x:c>
      <x:c r="J886" s="32" t="str"/>
    </x:row>
    <x:row r="887">
      <x:c r="A887" s="72" t="n">
        <x:v>46240.80269675926</x:v>
      </x:c>
      <x:c r="B887" s="32" t="str">
        <x:v>土壤pH</x:v>
      </x:c>
      <x:c r="C887" s="32" t="str">
        <x:v>W1</x:v>
      </x:c>
      <x:c r="D887" s="32" t="str">
        <x:v>V2</x:v>
      </x:c>
      <x:c r="E887" s="86" t="n">
        <x:f>COUNT('24_W1_pH'!C5,'24_W1_pH'!E5,'24_W1_pH'!G5,'24_W1_pH'!I5)</x:f>
        <x:v>4</x:v>
      </x:c>
      <x:c r="F887" s="90" t="n">
        <x:f>IF(E887=0,"",AVERAGE('24_W1_pH'!C5,'24_W1_pH'!E5,'24_W1_pH'!G5,'24_W1_pH'!I5))</x:f>
        <x:v>6.3875</x:v>
      </x:c>
      <x:c r="G887" s="90" t="n">
        <x:f>IF(E887&lt;2,"",STDEV.S('24_W1_pH'!C5,'24_W1_pH'!E5,'24_W1_pH'!G5,'24_W1_pH'!I5))</x:f>
        <x:v>0.08341662504161455</x:v>
      </x:c>
      <x:c r="H887" s="90" t="n">
        <x:f>IF(E887=0,"",MIN('24_W1_pH'!C5,'24_W1_pH'!E5,'24_W1_pH'!G5,'24_W1_pH'!I5))</x:f>
        <x:v>6.33</x:v>
      </x:c>
      <x:c r="I887" s="90" t="n">
        <x:f>IF(E887=0,"",MAX('24_W1_pH'!C5,'24_W1_pH'!E5,'24_W1_pH'!G5,'24_W1_pH'!I5))</x:f>
        <x:v>6.51</x:v>
      </x:c>
      <x:c r="J887" s="32" t="str"/>
    </x:row>
    <x:row r="888">
      <x:c r="A888" s="72" t="n">
        <x:v>46240.80616898148</x:v>
      </x:c>
      <x:c r="B888" s="32" t="str">
        <x:v>土壤pH</x:v>
      </x:c>
      <x:c r="C888" s="32" t="str">
        <x:v>W1</x:v>
      </x:c>
      <x:c r="D888" s="32" t="str">
        <x:v>V1</x:v>
      </x:c>
      <x:c r="E888" s="86" t="n">
        <x:f>COUNT('24_W1_pH'!B6,'24_W1_pH'!D6,'24_W1_pH'!F6,'24_W1_pH'!H6)</x:f>
        <x:v>4</x:v>
      </x:c>
      <x:c r="F888" s="90" t="n">
        <x:f>IF(E888=0,"",AVERAGE('24_W1_pH'!B6,'24_W1_pH'!D6,'24_W1_pH'!F6,'24_W1_pH'!H6))</x:f>
        <x:v>6.4025</x:v>
      </x:c>
      <x:c r="G888" s="90" t="n">
        <x:f>IF(E888&lt;2,"",STDEV.S('24_W1_pH'!B6,'24_W1_pH'!D6,'24_W1_pH'!F6,'24_W1_pH'!H6))</x:f>
        <x:v>0.1062622541953007</x:v>
      </x:c>
      <x:c r="H888" s="90" t="n">
        <x:f>IF(E888=0,"",MIN('24_W1_pH'!B6,'24_W1_pH'!D6,'24_W1_pH'!F6,'24_W1_pH'!H6))</x:f>
        <x:v>6.31</x:v>
      </x:c>
      <x:c r="I888" s="90" t="n">
        <x:f>IF(E888=0,"",MAX('24_W1_pH'!B6,'24_W1_pH'!D6,'24_W1_pH'!F6,'24_W1_pH'!H6))</x:f>
        <x:v>6.53</x:v>
      </x:c>
      <x:c r="J888" s="32" t="str"/>
    </x:row>
    <x:row r="889">
      <x:c r="A889" s="72" t="n">
        <x:v>46240.80616898148</x:v>
      </x:c>
      <x:c r="B889" s="32" t="str">
        <x:v>土壤pH</x:v>
      </x:c>
      <x:c r="C889" s="32" t="str">
        <x:v>W1</x:v>
      </x:c>
      <x:c r="D889" s="32" t="str">
        <x:v>V2</x:v>
      </x:c>
      <x:c r="E889" s="86" t="n">
        <x:f>COUNT('24_W1_pH'!C6,'24_W1_pH'!E6,'24_W1_pH'!G6,'24_W1_pH'!I6)</x:f>
        <x:v>4</x:v>
      </x:c>
      <x:c r="F889" s="90" t="n">
        <x:f>IF(E889=0,"",AVERAGE('24_W1_pH'!C6,'24_W1_pH'!E6,'24_W1_pH'!G6,'24_W1_pH'!I6))</x:f>
        <x:v>6.39</x:v>
      </x:c>
      <x:c r="G889" s="90" t="n">
        <x:f>IF(E889&lt;2,"",STDEV.S('24_W1_pH'!C6,'24_W1_pH'!E6,'24_W1_pH'!G6,'24_W1_pH'!I6))</x:f>
        <x:v>0.08164965809277253</x:v>
      </x:c>
      <x:c r="H889" s="90" t="n">
        <x:f>IF(E889=0,"",MIN('24_W1_pH'!C6,'24_W1_pH'!E6,'24_W1_pH'!G6,'24_W1_pH'!I6))</x:f>
        <x:v>6.33</x:v>
      </x:c>
      <x:c r="I889" s="90" t="n">
        <x:f>IF(E889=0,"",MAX('24_W1_pH'!C6,'24_W1_pH'!E6,'24_W1_pH'!G6,'24_W1_pH'!I6))</x:f>
        <x:v>6.51</x:v>
      </x:c>
      <x:c r="J889" s="32" t="str"/>
    </x:row>
    <x:row r="890">
      <x:c r="A890" s="72" t="n">
        <x:v>46240.809641203705</x:v>
      </x:c>
      <x:c r="B890" s="32" t="str">
        <x:v>土壤pH</x:v>
      </x:c>
      <x:c r="C890" s="32" t="str">
        <x:v>W1</x:v>
      </x:c>
      <x:c r="D890" s="32" t="str">
        <x:v>V1</x:v>
      </x:c>
      <x:c r="E890" s="86" t="n">
        <x:f>COUNT('24_W1_pH'!B7,'24_W1_pH'!D7,'24_W1_pH'!F7,'24_W1_pH'!H7)</x:f>
        <x:v>4</x:v>
      </x:c>
      <x:c r="F890" s="90" t="n">
        <x:f>IF(E890=0,"",AVERAGE('24_W1_pH'!B7,'24_W1_pH'!D7,'24_W1_pH'!F7,'24_W1_pH'!H7))</x:f>
        <x:v>6.4</x:v>
      </x:c>
      <x:c r="G890" s="90" t="n">
        <x:f>IF(E890&lt;2,"",STDEV.S('24_W1_pH'!B7,'24_W1_pH'!D7,'24_W1_pH'!F7,'24_W1_pH'!H7))</x:f>
        <x:v>0.10488088481701534</x:v>
      </x:c>
      <x:c r="H890" s="90" t="n">
        <x:f>IF(E890=0,"",MIN('24_W1_pH'!B7,'24_W1_pH'!D7,'24_W1_pH'!F7,'24_W1_pH'!H7))</x:f>
        <x:v>6.31</x:v>
      </x:c>
      <x:c r="I890" s="90" t="n">
        <x:f>IF(E890=0,"",MAX('24_W1_pH'!B7,'24_W1_pH'!D7,'24_W1_pH'!F7,'24_W1_pH'!H7))</x:f>
        <x:v>6.53</x:v>
      </x:c>
      <x:c r="J890" s="32" t="str"/>
    </x:row>
    <x:row r="891">
      <x:c r="A891" s="72" t="n">
        <x:v>46240.809641203705</x:v>
      </x:c>
      <x:c r="B891" s="32" t="str">
        <x:v>土壤pH</x:v>
      </x:c>
      <x:c r="C891" s="32" t="str">
        <x:v>W1</x:v>
      </x:c>
      <x:c r="D891" s="32" t="str">
        <x:v>V2</x:v>
      </x:c>
      <x:c r="E891" s="86" t="n">
        <x:f>COUNT('24_W1_pH'!C7,'24_W1_pH'!E7,'24_W1_pH'!G7,'24_W1_pH'!I7)</x:f>
        <x:v>4</x:v>
      </x:c>
      <x:c r="F891" s="90" t="n">
        <x:f>IF(E891=0,"",AVERAGE('24_W1_pH'!C7,'24_W1_pH'!E7,'24_W1_pH'!G7,'24_W1_pH'!I7))</x:f>
        <x:v>6.390000000000001</x:v>
      </x:c>
      <x:c r="G891" s="90" t="n">
        <x:f>IF(E891&lt;2,"",STDEV.S('24_W1_pH'!C7,'24_W1_pH'!E7,'24_W1_pH'!G7,'24_W1_pH'!I7))</x:f>
        <x:v>0.07527726527090803</x:v>
      </x:c>
      <x:c r="H891" s="90" t="n">
        <x:f>IF(E891=0,"",MIN('24_W1_pH'!C7,'24_W1_pH'!E7,'24_W1_pH'!G7,'24_W1_pH'!I7))</x:f>
        <x:v>6.33</x:v>
      </x:c>
      <x:c r="I891" s="90" t="n">
        <x:f>IF(E891=0,"",MAX('24_W1_pH'!C7,'24_W1_pH'!E7,'24_W1_pH'!G7,'24_W1_pH'!I7))</x:f>
        <x:v>6.5</x:v>
      </x:c>
      <x:c r="J891" s="32" t="str"/>
    </x:row>
    <x:row r="892">
      <x:c r="A892" s="72" t="n">
        <x:v>46240.813113425924</x:v>
      </x:c>
      <x:c r="B892" s="32" t="str">
        <x:v>土壤pH</x:v>
      </x:c>
      <x:c r="C892" s="32" t="str">
        <x:v>W1</x:v>
      </x:c>
      <x:c r="D892" s="32" t="str">
        <x:v>V1</x:v>
      </x:c>
      <x:c r="E892" s="86" t="n">
        <x:f>COUNT('24_W1_pH'!B8,'24_W1_pH'!D8,'24_W1_pH'!F8,'24_W1_pH'!H8)</x:f>
        <x:v>4</x:v>
      </x:c>
      <x:c r="F892" s="90" t="n">
        <x:f>IF(E892=0,"",AVERAGE('24_W1_pH'!B8,'24_W1_pH'!D8,'24_W1_pH'!F8,'24_W1_pH'!H8))</x:f>
        <x:v>6.4</x:v>
      </x:c>
      <x:c r="G892" s="90" t="n">
        <x:f>IF(E892&lt;2,"",STDEV.S('24_W1_pH'!B8,'24_W1_pH'!D8,'24_W1_pH'!F8,'24_W1_pH'!H8))</x:f>
        <x:v>0.09416297927883659</x:v>
      </x:c>
      <x:c r="H892" s="90" t="n">
        <x:f>IF(E892=0,"",MIN('24_W1_pH'!B8,'24_W1_pH'!D8,'24_W1_pH'!F8,'24_W1_pH'!H8))</x:f>
        <x:v>6.32</x:v>
      </x:c>
      <x:c r="I892" s="90" t="n">
        <x:f>IF(E892=0,"",MAX('24_W1_pH'!B8,'24_W1_pH'!D8,'24_W1_pH'!F8,'24_W1_pH'!H8))</x:f>
        <x:v>6.52</x:v>
      </x:c>
      <x:c r="J892" s="32" t="str"/>
    </x:row>
    <x:row r="893">
      <x:c r="A893" s="72" t="n">
        <x:v>46240.813113425924</x:v>
      </x:c>
      <x:c r="B893" s="32" t="str">
        <x:v>土壤pH</x:v>
      </x:c>
      <x:c r="C893" s="32" t="str">
        <x:v>W1</x:v>
      </x:c>
      <x:c r="D893" s="32" t="str">
        <x:v>V2</x:v>
      </x:c>
      <x:c r="E893" s="86" t="n">
        <x:f>COUNT('24_W1_pH'!C8,'24_W1_pH'!E8,'24_W1_pH'!G8,'24_W1_pH'!I8)</x:f>
        <x:v>4</x:v>
      </x:c>
      <x:c r="F893" s="90" t="n">
        <x:f>IF(E893=0,"",AVERAGE('24_W1_pH'!C8,'24_W1_pH'!E8,'24_W1_pH'!G8,'24_W1_pH'!I8))</x:f>
        <x:v>6.3875</x:v>
      </x:c>
      <x:c r="G893" s="90" t="n">
        <x:f>IF(E893&lt;2,"",STDEV.S('24_W1_pH'!C8,'24_W1_pH'!E8,'24_W1_pH'!G8,'24_W1_pH'!I8))</x:f>
        <x:v>0.07041543391425872</x:v>
      </x:c>
      <x:c r="H893" s="90" t="n">
        <x:f>IF(E893=0,"",MIN('24_W1_pH'!C8,'24_W1_pH'!E8,'24_W1_pH'!G8,'24_W1_pH'!I8))</x:f>
        <x:v>6.33</x:v>
      </x:c>
      <x:c r="I893" s="90" t="n">
        <x:f>IF(E893=0,"",MAX('24_W1_pH'!C8,'24_W1_pH'!E8,'24_W1_pH'!G8,'24_W1_pH'!I8))</x:f>
        <x:v>6.49</x:v>
      </x:c>
      <x:c r="J893" s="32" t="str"/>
    </x:row>
    <x:row r="894">
      <x:c r="A894" s="72" t="n">
        <x:v>46240.81658564815</x:v>
      </x:c>
      <x:c r="B894" s="32" t="str">
        <x:v>土壤pH</x:v>
      </x:c>
      <x:c r="C894" s="32" t="str">
        <x:v>W1</x:v>
      </x:c>
      <x:c r="D894" s="32" t="str">
        <x:v>V1</x:v>
      </x:c>
      <x:c r="E894" s="86" t="n">
        <x:f>COUNT('24_W1_pH'!B9,'24_W1_pH'!D9,'24_W1_pH'!F9,'24_W1_pH'!H9)</x:f>
        <x:v>4</x:v>
      </x:c>
      <x:c r="F894" s="90" t="n">
        <x:f>IF(E894=0,"",AVERAGE('24_W1_pH'!B9,'24_W1_pH'!D9,'24_W1_pH'!F9,'24_W1_pH'!H9))</x:f>
        <x:v>6.4</x:v>
      </x:c>
      <x:c r="G894" s="90" t="n">
        <x:f>IF(E894&lt;2,"",STDEV.S('24_W1_pH'!B9,'24_W1_pH'!D9,'24_W1_pH'!F9,'24_W1_pH'!H9))</x:f>
        <x:v>0.09416297927883659</x:v>
      </x:c>
      <x:c r="H894" s="90" t="n">
        <x:f>IF(E894=0,"",MIN('24_W1_pH'!B9,'24_W1_pH'!D9,'24_W1_pH'!F9,'24_W1_pH'!H9))</x:f>
        <x:v>6.32</x:v>
      </x:c>
      <x:c r="I894" s="90" t="n">
        <x:f>IF(E894=0,"",MAX('24_W1_pH'!B9,'24_W1_pH'!D9,'24_W1_pH'!F9,'24_W1_pH'!H9))</x:f>
        <x:v>6.52</x:v>
      </x:c>
      <x:c r="J894" s="32" t="str"/>
    </x:row>
    <x:row r="895">
      <x:c r="A895" s="72" t="n">
        <x:v>46240.81658564815</x:v>
      </x:c>
      <x:c r="B895" s="32" t="str">
        <x:v>土壤pH</x:v>
      </x:c>
      <x:c r="C895" s="32" t="str">
        <x:v>W1</x:v>
      </x:c>
      <x:c r="D895" s="32" t="str">
        <x:v>V2</x:v>
      </x:c>
      <x:c r="E895" s="86" t="n">
        <x:f>COUNT('24_W1_pH'!C9,'24_W1_pH'!E9,'24_W1_pH'!G9,'24_W1_pH'!I9)</x:f>
        <x:v>4</x:v>
      </x:c>
      <x:c r="F895" s="90" t="n">
        <x:f>IF(E895=0,"",AVERAGE('24_W1_pH'!C9,'24_W1_pH'!E9,'24_W1_pH'!G9,'24_W1_pH'!I9))</x:f>
        <x:v>6.3875</x:v>
      </x:c>
      <x:c r="G895" s="90" t="n">
        <x:f>IF(E895&lt;2,"",STDEV.S('24_W1_pH'!C9,'24_W1_pH'!E9,'24_W1_pH'!G9,'24_W1_pH'!I9))</x:f>
        <x:v>0.06701989754294377</x:v>
      </x:c>
      <x:c r="H895" s="90" t="n">
        <x:f>IF(E895=0,"",MIN('24_W1_pH'!C9,'24_W1_pH'!E9,'24_W1_pH'!G9,'24_W1_pH'!I9))</x:f>
        <x:v>6.32</x:v>
      </x:c>
      <x:c r="I895" s="90" t="n">
        <x:f>IF(E895=0,"",MAX('24_W1_pH'!C9,'24_W1_pH'!E9,'24_W1_pH'!G9,'24_W1_pH'!I9))</x:f>
        <x:v>6.48</x:v>
      </x:c>
      <x:c r="J895" s="32" t="str"/>
    </x:row>
    <x:row r="896">
      <x:c r="A896" s="72" t="n">
        <x:v>46240.82005787037</x:v>
      </x:c>
      <x:c r="B896" s="32" t="str">
        <x:v>土壤pH</x:v>
      </x:c>
      <x:c r="C896" s="32" t="str">
        <x:v>W1</x:v>
      </x:c>
      <x:c r="D896" s="32" t="str">
        <x:v>V1</x:v>
      </x:c>
      <x:c r="E896" s="86" t="n">
        <x:f>COUNT('24_W1_pH'!B10,'24_W1_pH'!D10,'24_W1_pH'!F10,'24_W1_pH'!H10)</x:f>
        <x:v>4</x:v>
      </x:c>
      <x:c r="F896" s="90" t="n">
        <x:f>IF(E896=0,"",AVERAGE('24_W1_pH'!B10,'24_W1_pH'!D10,'24_W1_pH'!F10,'24_W1_pH'!H10))</x:f>
        <x:v>6.3999999999999995</x:v>
      </x:c>
      <x:c r="G896" s="90" t="n">
        <x:f>IF(E896&lt;2,"",STDEV.S('24_W1_pH'!B10,'24_W1_pH'!D10,'24_W1_pH'!F10,'24_W1_pH'!H10))</x:f>
        <x:v>0.08366600265340747</x:v>
      </x:c>
      <x:c r="H896" s="90" t="n">
        <x:f>IF(E896=0,"",MIN('24_W1_pH'!B10,'24_W1_pH'!D10,'24_W1_pH'!F10,'24_W1_pH'!H10))</x:f>
        <x:v>6.33</x:v>
      </x:c>
      <x:c r="I896" s="90" t="n">
        <x:f>IF(E896=0,"",MAX('24_W1_pH'!B10,'24_W1_pH'!D10,'24_W1_pH'!F10,'24_W1_pH'!H10))</x:f>
        <x:v>6.51</x:v>
      </x:c>
      <x:c r="J896" s="32" t="str"/>
    </x:row>
    <x:row r="897">
      <x:c r="A897" s="72" t="n">
        <x:v>46240.82005787037</x:v>
      </x:c>
      <x:c r="B897" s="32" t="str">
        <x:v>土壤pH</x:v>
      </x:c>
      <x:c r="C897" s="32" t="str">
        <x:v>W1</x:v>
      </x:c>
      <x:c r="D897" s="32" t="str">
        <x:v>V2</x:v>
      </x:c>
      <x:c r="E897" s="86" t="n">
        <x:f>COUNT('24_W1_pH'!C10,'24_W1_pH'!E10,'24_W1_pH'!G10,'24_W1_pH'!I10)</x:f>
        <x:v>4</x:v>
      </x:c>
      <x:c r="F897" s="90" t="n">
        <x:f>IF(E897=0,"",AVERAGE('24_W1_pH'!C10,'24_W1_pH'!E10,'24_W1_pH'!G10,'24_W1_pH'!I10))</x:f>
        <x:v>6.3875</x:v>
      </x:c>
      <x:c r="G897" s="90" t="n">
        <x:f>IF(E897&lt;2,"",STDEV.S('24_W1_pH'!C10,'24_W1_pH'!E10,'24_W1_pH'!G10,'24_W1_pH'!I10))</x:f>
        <x:v>0.06701989754294377</x:v>
      </x:c>
      <x:c r="H897" s="90" t="n">
        <x:f>IF(E897=0,"",MIN('24_W1_pH'!C10,'24_W1_pH'!E10,'24_W1_pH'!G10,'24_W1_pH'!I10))</x:f>
        <x:v>6.32</x:v>
      </x:c>
      <x:c r="I897" s="90" t="n">
        <x:f>IF(E897=0,"",MAX('24_W1_pH'!C10,'24_W1_pH'!E10,'24_W1_pH'!G10,'24_W1_pH'!I10))</x:f>
        <x:v>6.48</x:v>
      </x:c>
      <x:c r="J897" s="32" t="str"/>
    </x:row>
    <x:row r="898">
      <x:c r="A898" s="72" t="n">
        <x:v>46240.823530092595</x:v>
      </x:c>
      <x:c r="B898" s="32" t="str">
        <x:v>土壤pH</x:v>
      </x:c>
      <x:c r="C898" s="32" t="str">
        <x:v>W1</x:v>
      </x:c>
      <x:c r="D898" s="32" t="str">
        <x:v>V1</x:v>
      </x:c>
      <x:c r="E898" s="86" t="n">
        <x:f>COUNT('24_W1_pH'!B11,'24_W1_pH'!D11,'24_W1_pH'!F11,'24_W1_pH'!H11)</x:f>
        <x:v>4</x:v>
      </x:c>
      <x:c r="F898" s="90" t="n">
        <x:f>IF(E898=0,"",AVERAGE('24_W1_pH'!B11,'24_W1_pH'!D11,'24_W1_pH'!F11,'24_W1_pH'!H11))</x:f>
        <x:v>6.4025</x:v>
      </x:c>
      <x:c r="G898" s="90" t="n">
        <x:f>IF(E898&lt;2,"",STDEV.S('24_W1_pH'!B11,'24_W1_pH'!D11,'24_W1_pH'!F11,'24_W1_pH'!H11))</x:f>
        <x:v>0.08139410298049848</x:v>
      </x:c>
      <x:c r="H898" s="90" t="n">
        <x:f>IF(E898=0,"",MIN('24_W1_pH'!B11,'24_W1_pH'!D11,'24_W1_pH'!F11,'24_W1_pH'!H11))</x:f>
        <x:v>6.33</x:v>
      </x:c>
      <x:c r="I898" s="90" t="n">
        <x:f>IF(E898=0,"",MAX('24_W1_pH'!B11,'24_W1_pH'!D11,'24_W1_pH'!F11,'24_W1_pH'!H11))</x:f>
        <x:v>6.51</x:v>
      </x:c>
      <x:c r="J898" s="32" t="str"/>
    </x:row>
    <x:row r="899">
      <x:c r="A899" s="72" t="n">
        <x:v>46240.823530092595</x:v>
      </x:c>
      <x:c r="B899" s="32" t="str">
        <x:v>土壤pH</x:v>
      </x:c>
      <x:c r="C899" s="32" t="str">
        <x:v>W1</x:v>
      </x:c>
      <x:c r="D899" s="32" t="str">
        <x:v>V2</x:v>
      </x:c>
      <x:c r="E899" s="86" t="n">
        <x:f>COUNT('24_W1_pH'!C11,'24_W1_pH'!E11,'24_W1_pH'!G11,'24_W1_pH'!I11)</x:f>
        <x:v>4</x:v>
      </x:c>
      <x:c r="F899" s="90" t="n">
        <x:f>IF(E899=0,"",AVERAGE('24_W1_pH'!C11,'24_W1_pH'!E11,'24_W1_pH'!G11,'24_W1_pH'!I11))</x:f>
        <x:v>6.3875</x:v>
      </x:c>
      <x:c r="G899" s="90" t="n">
        <x:f>IF(E899&lt;2,"",STDEV.S('24_W1_pH'!C11,'24_W1_pH'!E11,'24_W1_pH'!G11,'24_W1_pH'!I11))</x:f>
        <x:v>0.06551081335677854</x:v>
      </x:c>
      <x:c r="H899" s="90" t="n">
        <x:f>IF(E899=0,"",MIN('24_W1_pH'!C11,'24_W1_pH'!E11,'24_W1_pH'!G11,'24_W1_pH'!I11))</x:f>
        <x:v>6.31</x:v>
      </x:c>
      <x:c r="I899" s="90" t="n">
        <x:f>IF(E899=0,"",MAX('24_W1_pH'!C11,'24_W1_pH'!E11,'24_W1_pH'!G11,'24_W1_pH'!I11))</x:f>
        <x:v>6.47</x:v>
      </x:c>
      <x:c r="J899" s="32" t="str"/>
    </x:row>
    <x:row r="900">
      <x:c r="A900" s="72" t="n">
        <x:v>46240.827002314814</x:v>
      </x:c>
      <x:c r="B900" s="32" t="str">
        <x:v>土壤pH</x:v>
      </x:c>
      <x:c r="C900" s="32" t="str">
        <x:v>W1</x:v>
      </x:c>
      <x:c r="D900" s="32" t="str">
        <x:v>V1</x:v>
      </x:c>
      <x:c r="E900" s="86" t="n">
        <x:f>COUNT('24_W1_pH'!B12,'24_W1_pH'!D12,'24_W1_pH'!F12,'24_W1_pH'!H12)</x:f>
        <x:v>4</x:v>
      </x:c>
      <x:c r="F900" s="90" t="n">
        <x:f>IF(E900=0,"",AVERAGE('24_W1_pH'!B12,'24_W1_pH'!D12,'24_W1_pH'!F12,'24_W1_pH'!H12))</x:f>
        <x:v>6.4025</x:v>
      </x:c>
      <x:c r="G900" s="90" t="n">
        <x:f>IF(E900&lt;2,"",STDEV.S('24_W1_pH'!B12,'24_W1_pH'!D12,'24_W1_pH'!F12,'24_W1_pH'!H12))</x:f>
        <x:v>0.07499999999999991</x:v>
      </x:c>
      <x:c r="H900" s="90" t="n">
        <x:f>IF(E900=0,"",MIN('24_W1_pH'!B12,'24_W1_pH'!D12,'24_W1_pH'!F12,'24_W1_pH'!H12))</x:f>
        <x:v>6.33</x:v>
      </x:c>
      <x:c r="I900" s="90" t="n">
        <x:f>IF(E900=0,"",MAX('24_W1_pH'!B12,'24_W1_pH'!D12,'24_W1_pH'!F12,'24_W1_pH'!H12))</x:f>
        <x:v>6.5</x:v>
      </x:c>
      <x:c r="J900" s="32" t="str"/>
    </x:row>
    <x:row r="901">
      <x:c r="A901" s="72" t="n">
        <x:v>46240.827002314814</x:v>
      </x:c>
      <x:c r="B901" s="32" t="str">
        <x:v>土壤pH</x:v>
      </x:c>
      <x:c r="C901" s="32" t="str">
        <x:v>W1</x:v>
      </x:c>
      <x:c r="D901" s="32" t="str">
        <x:v>V2</x:v>
      </x:c>
      <x:c r="E901" s="86" t="n">
        <x:f>COUNT('24_W1_pH'!C12,'24_W1_pH'!E12,'24_W1_pH'!G12,'24_W1_pH'!I12)</x:f>
        <x:v>4</x:v>
      </x:c>
      <x:c r="F901" s="90" t="n">
        <x:f>IF(E901=0,"",AVERAGE('24_W1_pH'!C12,'24_W1_pH'!E12,'24_W1_pH'!G12,'24_W1_pH'!I12))</x:f>
        <x:v>6.390000000000001</x:v>
      </x:c>
      <x:c r="G901" s="90" t="n">
        <x:f>IF(E901&lt;2,"",STDEV.S('24_W1_pH'!C12,'24_W1_pH'!E12,'24_W1_pH'!G12,'24_W1_pH'!I12))</x:f>
        <x:v>0.06582805886043841</x:v>
      </x:c>
      <x:c r="H901" s="90" t="n">
        <x:f>IF(E901=0,"",MIN('24_W1_pH'!C12,'24_W1_pH'!E12,'24_W1_pH'!G12,'24_W1_pH'!I12))</x:f>
        <x:v>6.31</x:v>
      </x:c>
      <x:c r="I901" s="90" t="n">
        <x:f>IF(E901=0,"",MAX('24_W1_pH'!C12,'24_W1_pH'!E12,'24_W1_pH'!G12,'24_W1_pH'!I12))</x:f>
        <x:v>6.47</x:v>
      </x:c>
      <x:c r="J901" s="32" t="str"/>
    </x:row>
    <x:row r="902">
      <x:c r="A902" s="72" t="n">
        <x:v>46240.83047453704</x:v>
      </x:c>
      <x:c r="B902" s="32" t="str">
        <x:v>土壤pH</x:v>
      </x:c>
      <x:c r="C902" s="32" t="str">
        <x:v>W1</x:v>
      </x:c>
      <x:c r="D902" s="32" t="str">
        <x:v>V1</x:v>
      </x:c>
      <x:c r="E902" s="86" t="n">
        <x:f>COUNT('24_W1_pH'!B13,'24_W1_pH'!D13,'24_W1_pH'!F13,'24_W1_pH'!H13)</x:f>
        <x:v>4</x:v>
      </x:c>
      <x:c r="F902" s="90" t="n">
        <x:f>IF(E902=0,"",AVERAGE('24_W1_pH'!B13,'24_W1_pH'!D13,'24_W1_pH'!F13,'24_W1_pH'!H13))</x:f>
        <x:v>6.4</x:v>
      </x:c>
      <x:c r="G902" s="90" t="n">
        <x:f>IF(E902&lt;2,"",STDEV.S('24_W1_pH'!B13,'24_W1_pH'!D13,'24_W1_pH'!F13,'24_W1_pH'!H13))</x:f>
        <x:v>0.07071067811865475</x:v>
      </x:c>
      <x:c r="H902" s="90" t="n">
        <x:f>IF(E902=0,"",MIN('24_W1_pH'!B13,'24_W1_pH'!D13,'24_W1_pH'!F13,'24_W1_pH'!H13))</x:f>
        <x:v>6.33</x:v>
      </x:c>
      <x:c r="I902" s="90" t="n">
        <x:f>IF(E902=0,"",MAX('24_W1_pH'!B13,'24_W1_pH'!D13,'24_W1_pH'!F13,'24_W1_pH'!H13))</x:f>
        <x:v>6.49</x:v>
      </x:c>
      <x:c r="J902" s="32" t="str"/>
    </x:row>
    <x:row r="903">
      <x:c r="A903" s="72" t="n">
        <x:v>46240.83047453704</x:v>
      </x:c>
      <x:c r="B903" s="32" t="str">
        <x:v>土壤pH</x:v>
      </x:c>
      <x:c r="C903" s="32" t="str">
        <x:v>W1</x:v>
      </x:c>
      <x:c r="D903" s="32" t="str">
        <x:v>V2</x:v>
      </x:c>
      <x:c r="E903" s="86" t="n">
        <x:f>COUNT('24_W1_pH'!C13,'24_W1_pH'!E13,'24_W1_pH'!G13,'24_W1_pH'!I13)</x:f>
        <x:v>4</x:v>
      </x:c>
      <x:c r="F903" s="90" t="n">
        <x:f>IF(E903=0,"",AVERAGE('24_W1_pH'!C13,'24_W1_pH'!E13,'24_W1_pH'!G13,'24_W1_pH'!I13))</x:f>
        <x:v>6.39</x:v>
      </x:c>
      <x:c r="G903" s="90" t="n">
        <x:f>IF(E903&lt;2,"",STDEV.S('24_W1_pH'!C13,'24_W1_pH'!E13,'24_W1_pH'!G13,'24_W1_pH'!I13))</x:f>
        <x:v>0.07071067811865475</x:v>
      </x:c>
      <x:c r="H903" s="90" t="n">
        <x:f>IF(E903=0,"",MIN('24_W1_pH'!C13,'24_W1_pH'!E13,'24_W1_pH'!G13,'24_W1_pH'!I13))</x:f>
        <x:v>6.3</x:v>
      </x:c>
      <x:c r="I903" s="90" t="n">
        <x:f>IF(E903=0,"",MAX('24_W1_pH'!C13,'24_W1_pH'!E13,'24_W1_pH'!G13,'24_W1_pH'!I13))</x:f>
        <x:v>6.47</x:v>
      </x:c>
      <x:c r="J903" s="32" t="str"/>
    </x:row>
    <x:row r="904">
      <x:c r="A904" s="72" t="n">
        <x:v>46240.83394675926</x:v>
      </x:c>
      <x:c r="B904" s="32" t="str">
        <x:v>土壤pH</x:v>
      </x:c>
      <x:c r="C904" s="32" t="str">
        <x:v>W1</x:v>
      </x:c>
      <x:c r="D904" s="32" t="str">
        <x:v>V1</x:v>
      </x:c>
      <x:c r="E904" s="86" t="n">
        <x:f>COUNT('24_W1_pH'!B14,'24_W1_pH'!D14,'24_W1_pH'!F14,'24_W1_pH'!H14)</x:f>
        <x:v>4</x:v>
      </x:c>
      <x:c r="F904" s="90" t="n">
        <x:f>IF(E904=0,"",AVERAGE('24_W1_pH'!B14,'24_W1_pH'!D14,'24_W1_pH'!F14,'24_W1_pH'!H14))</x:f>
        <x:v>6.3975</x:v>
      </x:c>
      <x:c r="G904" s="90" t="n">
        <x:f>IF(E904&lt;2,"",STDEV.S('24_W1_pH'!B14,'24_W1_pH'!D14,'24_W1_pH'!F14,'24_W1_pH'!H14))</x:f>
        <x:v>0.06849574196011511</x:v>
      </x:c>
      <x:c r="H904" s="90" t="n">
        <x:f>IF(E904=0,"",MIN('24_W1_pH'!B14,'24_W1_pH'!D14,'24_W1_pH'!F14,'24_W1_pH'!H14))</x:f>
        <x:v>6.32</x:v>
      </x:c>
      <x:c r="I904" s="90" t="n">
        <x:f>IF(E904=0,"",MAX('24_W1_pH'!B14,'24_W1_pH'!D14,'24_W1_pH'!F14,'24_W1_pH'!H14))</x:f>
        <x:v>6.48</x:v>
      </x:c>
      <x:c r="J904" s="32" t="str"/>
    </x:row>
    <x:row r="905">
      <x:c r="A905" s="72" t="n">
        <x:v>46240.83394675926</x:v>
      </x:c>
      <x:c r="B905" s="32" t="str">
        <x:v>土壤pH</x:v>
      </x:c>
      <x:c r="C905" s="32" t="str">
        <x:v>W1</x:v>
      </x:c>
      <x:c r="D905" s="32" t="str">
        <x:v>V2</x:v>
      </x:c>
      <x:c r="E905" s="86" t="n">
        <x:f>COUNT('24_W1_pH'!C14,'24_W1_pH'!E14,'24_W1_pH'!G14,'24_W1_pH'!I14)</x:f>
        <x:v>4</x:v>
      </x:c>
      <x:c r="F905" s="90" t="n">
        <x:f>IF(E905=0,"",AVERAGE('24_W1_pH'!C14,'24_W1_pH'!E14,'24_W1_pH'!G14,'24_W1_pH'!I14))</x:f>
        <x:v>6.3875</x:v>
      </x:c>
      <x:c r="G905" s="90" t="n">
        <x:f>IF(E905&lt;2,"",STDEV.S('24_W1_pH'!C14,'24_W1_pH'!E14,'24_W1_pH'!G14,'24_W1_pH'!I14))</x:f>
        <x:v>0.07499999999999991</x:v>
      </x:c>
      <x:c r="H905" s="90" t="n">
        <x:f>IF(E905=0,"",MIN('24_W1_pH'!C14,'24_W1_pH'!E14,'24_W1_pH'!G14,'24_W1_pH'!I14))</x:f>
        <x:v>6.29</x:v>
      </x:c>
      <x:c r="I905" s="90" t="n">
        <x:f>IF(E905=0,"",MAX('24_W1_pH'!C14,'24_W1_pH'!E14,'24_W1_pH'!G14,'24_W1_pH'!I14))</x:f>
        <x:v>6.47</x:v>
      </x:c>
      <x:c r="J905" s="32" t="str"/>
    </x:row>
    <x:row r="906">
      <x:c r="A906" s="72" t="n">
        <x:v>46240.83741898148</x:v>
      </x:c>
      <x:c r="B906" s="32" t="str">
        <x:v>土壤pH</x:v>
      </x:c>
      <x:c r="C906" s="32" t="str">
        <x:v>W1</x:v>
      </x:c>
      <x:c r="D906" s="32" t="str">
        <x:v>V1</x:v>
      </x:c>
      <x:c r="E906" s="86" t="n">
        <x:f>COUNT('24_W1_pH'!B15,'24_W1_pH'!D15,'24_W1_pH'!F15,'24_W1_pH'!H15)</x:f>
        <x:v>4</x:v>
      </x:c>
      <x:c r="F906" s="90" t="n">
        <x:f>IF(E906=0,"",AVERAGE('24_W1_pH'!B15,'24_W1_pH'!D15,'24_W1_pH'!F15,'24_W1_pH'!H15))</x:f>
        <x:v>6.4</x:v>
      </x:c>
      <x:c r="G906" s="90" t="n">
        <x:f>IF(E906&lt;2,"",STDEV.S('24_W1_pH'!B15,'24_W1_pH'!D15,'24_W1_pH'!F15,'24_W1_pH'!H15))</x:f>
        <x:v>0.06976149845485449</x:v>
      </x:c>
      <x:c r="H906" s="90" t="n">
        <x:f>IF(E906=0,"",MIN('24_W1_pH'!B15,'24_W1_pH'!D15,'24_W1_pH'!F15,'24_W1_pH'!H15))</x:f>
        <x:v>6.32</x:v>
      </x:c>
      <x:c r="I906" s="90" t="n">
        <x:f>IF(E906=0,"",MAX('24_W1_pH'!B15,'24_W1_pH'!D15,'24_W1_pH'!F15,'24_W1_pH'!H15))</x:f>
        <x:v>6.48</x:v>
      </x:c>
      <x:c r="J906" s="32" t="str"/>
    </x:row>
    <x:row r="907">
      <x:c r="A907" s="72" t="n">
        <x:v>46240.83741898148</x:v>
      </x:c>
      <x:c r="B907" s="32" t="str">
        <x:v>土壤pH</x:v>
      </x:c>
      <x:c r="C907" s="32" t="str">
        <x:v>W1</x:v>
      </x:c>
      <x:c r="D907" s="32" t="str">
        <x:v>V2</x:v>
      </x:c>
      <x:c r="E907" s="86" t="n">
        <x:f>COUNT('24_W1_pH'!C15,'24_W1_pH'!E15,'24_W1_pH'!G15,'24_W1_pH'!I15)</x:f>
        <x:v>4</x:v>
      </x:c>
      <x:c r="F907" s="90" t="n">
        <x:f>IF(E907=0,"",AVERAGE('24_W1_pH'!C15,'24_W1_pH'!E15,'24_W1_pH'!G15,'24_W1_pH'!I15))</x:f>
        <x:v>6.385</x:v>
      </x:c>
      <x:c r="G907" s="90" t="n">
        <x:f>IF(E907&lt;2,"",STDEV.S('24_W1_pH'!C15,'24_W1_pH'!E15,'24_W1_pH'!G15,'24_W1_pH'!I15))</x:f>
        <x:v>0.08103497187428792</x:v>
      </x:c>
      <x:c r="H907" s="90" t="n">
        <x:f>IF(E907=0,"",MIN('24_W1_pH'!C15,'24_W1_pH'!E15,'24_W1_pH'!G15,'24_W1_pH'!I15))</x:f>
        <x:v>6.28</x:v>
      </x:c>
      <x:c r="I907" s="90" t="n">
        <x:f>IF(E907=0,"",MAX('24_W1_pH'!C15,'24_W1_pH'!E15,'24_W1_pH'!G15,'24_W1_pH'!I15))</x:f>
        <x:v>6.47</x:v>
      </x:c>
      <x:c r="J907" s="32" t="str"/>
    </x:row>
    <x:row r="908">
      <x:c r="A908" s="72" t="n">
        <x:v>46240.840891203705</x:v>
      </x:c>
      <x:c r="B908" s="32" t="str">
        <x:v>土壤pH</x:v>
      </x:c>
      <x:c r="C908" s="32" t="str">
        <x:v>W1</x:v>
      </x:c>
      <x:c r="D908" s="32" t="str">
        <x:v>V1</x:v>
      </x:c>
      <x:c r="E908" s="86" t="n">
        <x:f>COUNT('24_W1_pH'!B16,'24_W1_pH'!D16,'24_W1_pH'!F16,'24_W1_pH'!H16)</x:f>
        <x:v>4</x:v>
      </x:c>
      <x:c r="F908" s="90" t="n">
        <x:f>IF(E908=0,"",AVERAGE('24_W1_pH'!B16,'24_W1_pH'!D16,'24_W1_pH'!F16,'24_W1_pH'!H16))</x:f>
        <x:v>6.397499999999999</x:v>
      </x:c>
      <x:c r="G908" s="90" t="n">
        <x:f>IF(E908&lt;2,"",STDEV.S('24_W1_pH'!B16,'24_W1_pH'!D16,'24_W1_pH'!F16,'24_W1_pH'!H16))</x:f>
        <x:v>0.0689806736219163</x:v>
      </x:c>
      <x:c r="H908" s="90" t="n">
        <x:f>IF(E908=0,"",MIN('24_W1_pH'!B16,'24_W1_pH'!D16,'24_W1_pH'!F16,'24_W1_pH'!H16))</x:f>
        <x:v>6.31</x:v>
      </x:c>
      <x:c r="I908" s="90" t="n">
        <x:f>IF(E908=0,"",MAX('24_W1_pH'!B16,'24_W1_pH'!D16,'24_W1_pH'!F16,'24_W1_pH'!H16))</x:f>
        <x:v>6.47</x:v>
      </x:c>
      <x:c r="J908" s="32" t="str"/>
    </x:row>
    <x:row r="909">
      <x:c r="A909" s="72" t="n">
        <x:v>46240.840891203705</x:v>
      </x:c>
      <x:c r="B909" s="32" t="str">
        <x:v>土壤pH</x:v>
      </x:c>
      <x:c r="C909" s="32" t="str">
        <x:v>W1</x:v>
      </x:c>
      <x:c r="D909" s="32" t="str">
        <x:v>V2</x:v>
      </x:c>
      <x:c r="E909" s="86" t="n">
        <x:f>COUNT('24_W1_pH'!C16,'24_W1_pH'!E16,'24_W1_pH'!G16,'24_W1_pH'!I16)</x:f>
        <x:v>4</x:v>
      </x:c>
      <x:c r="F909" s="90" t="n">
        <x:f>IF(E909=0,"",AVERAGE('24_W1_pH'!C16,'24_W1_pH'!E16,'24_W1_pH'!G16,'24_W1_pH'!I16))</x:f>
        <x:v>6.387500000000001</x:v>
      </x:c>
      <x:c r="G909" s="90" t="n">
        <x:f>IF(E909&lt;2,"",STDEV.S('24_W1_pH'!C16,'24_W1_pH'!E16,'24_W1_pH'!G16,'24_W1_pH'!I16))</x:f>
        <x:v>0.0846069343099804</x:v>
      </x:c>
      <x:c r="H909" s="90" t="n">
        <x:f>IF(E909=0,"",MIN('24_W1_pH'!C16,'24_W1_pH'!E16,'24_W1_pH'!G16,'24_W1_pH'!I16))</x:f>
        <x:v>6.28</x:v>
      </x:c>
      <x:c r="I909" s="90" t="n">
        <x:f>IF(E909=0,"",MAX('24_W1_pH'!C16,'24_W1_pH'!E16,'24_W1_pH'!G16,'24_W1_pH'!I16))</x:f>
        <x:v>6.48</x:v>
      </x:c>
      <x:c r="J909" s="32" t="str"/>
    </x:row>
    <x:row r="910">
      <x:c r="A910" s="72" t="n">
        <x:v>46240.844363425924</x:v>
      </x:c>
      <x:c r="B910" s="32" t="str">
        <x:v>土壤pH</x:v>
      </x:c>
      <x:c r="C910" s="32" t="str">
        <x:v>W1</x:v>
      </x:c>
      <x:c r="D910" s="32" t="str">
        <x:v>V1</x:v>
      </x:c>
      <x:c r="E910" s="86" t="n">
        <x:f>COUNT('24_W1_pH'!B17,'24_W1_pH'!D17,'24_W1_pH'!F17,'24_W1_pH'!H17)</x:f>
        <x:v>4</x:v>
      </x:c>
      <x:c r="F910" s="90" t="n">
        <x:f>IF(E910=0,"",AVERAGE('24_W1_pH'!B17,'24_W1_pH'!D17,'24_W1_pH'!F17,'24_W1_pH'!H17))</x:f>
        <x:v>6.3999999999999995</x:v>
      </x:c>
      <x:c r="G910" s="90" t="n">
        <x:f>IF(E910&lt;2,"",STDEV.S('24_W1_pH'!B17,'24_W1_pH'!D17,'24_W1_pH'!F17,'24_W1_pH'!H17))</x:f>
        <x:v>0.07071067811865492</x:v>
      </x:c>
      <x:c r="H910" s="90" t="n">
        <x:f>IF(E910=0,"",MIN('24_W1_pH'!B17,'24_W1_pH'!D17,'24_W1_pH'!F17,'24_W1_pH'!H17))</x:f>
        <x:v>6.31</x:v>
      </x:c>
      <x:c r="I910" s="90" t="n">
        <x:f>IF(E910=0,"",MAX('24_W1_pH'!B17,'24_W1_pH'!D17,'24_W1_pH'!F17,'24_W1_pH'!H17))</x:f>
        <x:v>6.47</x:v>
      </x:c>
      <x:c r="J910" s="32" t="str"/>
    </x:row>
    <x:row r="911">
      <x:c r="A911" s="72" t="n">
        <x:v>46240.844363425924</x:v>
      </x:c>
      <x:c r="B911" s="32" t="str">
        <x:v>土壤pH</x:v>
      </x:c>
      <x:c r="C911" s="32" t="str">
        <x:v>W1</x:v>
      </x:c>
      <x:c r="D911" s="32" t="str">
        <x:v>V2</x:v>
      </x:c>
      <x:c r="E911" s="86" t="n">
        <x:f>COUNT('24_W1_pH'!C17,'24_W1_pH'!E17,'24_W1_pH'!G17,'24_W1_pH'!I17)</x:f>
        <x:v>4</x:v>
      </x:c>
      <x:c r="F911" s="90" t="n">
        <x:f>IF(E911=0,"",AVERAGE('24_W1_pH'!C17,'24_W1_pH'!E17,'24_W1_pH'!G17,'24_W1_pH'!I17))</x:f>
        <x:v>6.385</x:v>
      </x:c>
      <x:c r="G911" s="90" t="n">
        <x:f>IF(E911&lt;2,"",STDEV.S('24_W1_pH'!C17,'24_W1_pH'!E17,'24_W1_pH'!G17,'24_W1_pH'!I17))</x:f>
        <x:v>0.09110433579144324</x:v>
      </x:c>
      <x:c r="H911" s="90" t="n">
        <x:f>IF(E911=0,"",MIN('24_W1_pH'!C17,'24_W1_pH'!E17,'24_W1_pH'!G17,'24_W1_pH'!I17))</x:f>
        <x:v>6.27</x:v>
      </x:c>
      <x:c r="I911" s="90" t="n">
        <x:f>IF(E911=0,"",MAX('24_W1_pH'!C17,'24_W1_pH'!E17,'24_W1_pH'!G17,'24_W1_pH'!I17))</x:f>
        <x:v>6.48</x:v>
      </x:c>
      <x:c r="J911" s="32" t="str"/>
    </x:row>
    <x:row r="912">
      <x:c r="A912" s="72" t="n">
        <x:v>46240.84783564815</x:v>
      </x:c>
      <x:c r="B912" s="32" t="str">
        <x:v>土壤pH</x:v>
      </x:c>
      <x:c r="C912" s="32" t="str">
        <x:v>W1</x:v>
      </x:c>
      <x:c r="D912" s="32" t="str">
        <x:v>V1</x:v>
      </x:c>
      <x:c r="E912" s="86" t="n">
        <x:f>COUNT('24_W1_pH'!B18,'24_W1_pH'!D18,'24_W1_pH'!F18,'24_W1_pH'!H18)</x:f>
        <x:v>4</x:v>
      </x:c>
      <x:c r="F912" s="90" t="n">
        <x:f>IF(E912=0,"",AVERAGE('24_W1_pH'!B18,'24_W1_pH'!D18,'24_W1_pH'!F18,'24_W1_pH'!H18))</x:f>
        <x:v>6.3999999999999995</x:v>
      </x:c>
      <x:c r="G912" s="90" t="n">
        <x:f>IF(E912&lt;2,"",STDEV.S('24_W1_pH'!B18,'24_W1_pH'!D18,'24_W1_pH'!F18,'24_W1_pH'!H18))</x:f>
        <x:v>0.077028133388609</x:v>
      </x:c>
      <x:c r="H912" s="90" t="n">
        <x:f>IF(E912=0,"",MIN('24_W1_pH'!B18,'24_W1_pH'!D18,'24_W1_pH'!F18,'24_W1_pH'!H18))</x:f>
        <x:v>6.3</x:v>
      </x:c>
      <x:c r="I912" s="90" t="n">
        <x:f>IF(E912=0,"",MAX('24_W1_pH'!B18,'24_W1_pH'!D18,'24_W1_pH'!F18,'24_W1_pH'!H18))</x:f>
        <x:v>6.47</x:v>
      </x:c>
      <x:c r="J912" s="32" t="str"/>
    </x:row>
    <x:row r="913">
      <x:c r="A913" s="72" t="n">
        <x:v>46240.84783564815</x:v>
      </x:c>
      <x:c r="B913" s="32" t="str">
        <x:v>土壤pH</x:v>
      </x:c>
      <x:c r="C913" s="32" t="str">
        <x:v>W1</x:v>
      </x:c>
      <x:c r="D913" s="32" t="str">
        <x:v>V2</x:v>
      </x:c>
      <x:c r="E913" s="86" t="n">
        <x:f>COUNT('24_W1_pH'!C18,'24_W1_pH'!E18,'24_W1_pH'!G18,'24_W1_pH'!I18)</x:f>
        <x:v>4</x:v>
      </x:c>
      <x:c r="F913" s="90" t="n">
        <x:f>IF(E913=0,"",AVERAGE('24_W1_pH'!C18,'24_W1_pH'!E18,'24_W1_pH'!G18,'24_W1_pH'!I18))</x:f>
        <x:v>6.3875</x:v>
      </x:c>
      <x:c r="G913" s="90" t="n">
        <x:f>IF(E913&lt;2,"",STDEV.S('24_W1_pH'!C18,'24_W1_pH'!E18,'24_W1_pH'!G18,'24_W1_pH'!I18))</x:f>
        <x:v>0.09464847243000474</x:v>
      </x:c>
      <x:c r="H913" s="90" t="n">
        <x:f>IF(E913=0,"",MIN('24_W1_pH'!C18,'24_W1_pH'!E18,'24_W1_pH'!G18,'24_W1_pH'!I18))</x:f>
        <x:v>6.27</x:v>
      </x:c>
      <x:c r="I913" s="90" t="n">
        <x:f>IF(E913=0,"",MAX('24_W1_pH'!C18,'24_W1_pH'!E18,'24_W1_pH'!G18,'24_W1_pH'!I18))</x:f>
        <x:v>6.49</x:v>
      </x:c>
      <x:c r="J913" s="32" t="str"/>
    </x:row>
    <x:row r="914">
      <x:c r="A914" s="72" t="n">
        <x:v>46240.85130787037</x:v>
      </x:c>
      <x:c r="B914" s="32" t="str">
        <x:v>土壤pH</x:v>
      </x:c>
      <x:c r="C914" s="32" t="str">
        <x:v>W1</x:v>
      </x:c>
      <x:c r="D914" s="32" t="str">
        <x:v>V1</x:v>
      </x:c>
      <x:c r="E914" s="86" t="n">
        <x:f>COUNT('24_W1_pH'!B19,'24_W1_pH'!D19,'24_W1_pH'!F19,'24_W1_pH'!H19)</x:f>
        <x:v>4</x:v>
      </x:c>
      <x:c r="F914" s="90" t="n">
        <x:f>IF(E914=0,"",AVERAGE('24_W1_pH'!B19,'24_W1_pH'!D19,'24_W1_pH'!F19,'24_W1_pH'!H19))</x:f>
        <x:v>6.3999999999999995</x:v>
      </x:c>
      <x:c r="G914" s="90" t="n">
        <x:f>IF(E914&lt;2,"",STDEV.S('24_W1_pH'!B19,'24_W1_pH'!D19,'24_W1_pH'!F19,'24_W1_pH'!H19))</x:f>
        <x:v>0.08366600265340747</x:v>
      </x:c>
      <x:c r="H914" s="90" t="n">
        <x:f>IF(E914=0,"",MIN('24_W1_pH'!B19,'24_W1_pH'!D19,'24_W1_pH'!F19,'24_W1_pH'!H19))</x:f>
        <x:v>6.29</x:v>
      </x:c>
      <x:c r="I914" s="90" t="n">
        <x:f>IF(E914=0,"",MAX('24_W1_pH'!B19,'24_W1_pH'!D19,'24_W1_pH'!F19,'24_W1_pH'!H19))</x:f>
        <x:v>6.47</x:v>
      </x:c>
      <x:c r="J914" s="32" t="str"/>
    </x:row>
    <x:row r="915">
      <x:c r="A915" s="72" t="n">
        <x:v>46240.85130787037</x:v>
      </x:c>
      <x:c r="B915" s="32" t="str">
        <x:v>土壤pH</x:v>
      </x:c>
      <x:c r="C915" s="32" t="str">
        <x:v>W1</x:v>
      </x:c>
      <x:c r="D915" s="32" t="str">
        <x:v>V2</x:v>
      </x:c>
      <x:c r="E915" s="86" t="n">
        <x:f>COUNT('24_W1_pH'!C19,'24_W1_pH'!E19,'24_W1_pH'!G19,'24_W1_pH'!I19)</x:f>
        <x:v>4</x:v>
      </x:c>
      <x:c r="F915" s="90" t="n">
        <x:f>IF(E915=0,"",AVERAGE('24_W1_pH'!C19,'24_W1_pH'!E19,'24_W1_pH'!G19,'24_W1_pH'!I19))</x:f>
        <x:v>6.387499999999999</x:v>
      </x:c>
      <x:c r="G915" s="90" t="n">
        <x:f>IF(E915&lt;2,"",STDEV.S('24_W1_pH'!C19,'24_W1_pH'!E19,'24_W1_pH'!G19,'24_W1_pH'!I19))</x:f>
        <x:v>0.09945685831890479</x:v>
      </x:c>
      <x:c r="H915" s="90" t="n">
        <x:f>IF(E915=0,"",MIN('24_W1_pH'!C19,'24_W1_pH'!E19,'24_W1_pH'!G19,'24_W1_pH'!I19))</x:f>
        <x:v>6.27</x:v>
      </x:c>
      <x:c r="I915" s="90" t="n">
        <x:f>IF(E915=0,"",MAX('24_W1_pH'!C19,'24_W1_pH'!E19,'24_W1_pH'!G19,'24_W1_pH'!I19))</x:f>
        <x:v>6.5</x:v>
      </x:c>
      <x:c r="J915" s="32" t="str"/>
    </x:row>
    <x:row r="916">
      <x:c r="A916" s="72" t="n">
        <x:v>46240.854780092595</x:v>
      </x:c>
      <x:c r="B916" s="32" t="str">
        <x:v>土壤pH</x:v>
      </x:c>
      <x:c r="C916" s="32" t="str">
        <x:v>W1</x:v>
      </x:c>
      <x:c r="D916" s="32" t="str">
        <x:v>V1</x:v>
      </x:c>
      <x:c r="E916" s="86" t="n">
        <x:f>COUNT('24_W1_pH'!B20,'24_W1_pH'!D20,'24_W1_pH'!F20,'24_W1_pH'!H20)</x:f>
        <x:v>4</x:v>
      </x:c>
      <x:c r="F916" s="90" t="n">
        <x:f>IF(E916=0,"",AVERAGE('24_W1_pH'!B20,'24_W1_pH'!D20,'24_W1_pH'!F20,'24_W1_pH'!H20))</x:f>
        <x:v>6.3950000000000005</x:v>
      </x:c>
      <x:c r="G916" s="90" t="n">
        <x:f>IF(E916&lt;2,"",STDEV.S('24_W1_pH'!B20,'24_W1_pH'!D20,'24_W1_pH'!F20,'24_W1_pH'!H20))</x:f>
        <x:v>0.08888194417315569</x:v>
      </x:c>
      <x:c r="H916" s="90" t="n">
        <x:f>IF(E916=0,"",MIN('24_W1_pH'!B20,'24_W1_pH'!D20,'24_W1_pH'!F20,'24_W1_pH'!H20))</x:f>
        <x:v>6.28</x:v>
      </x:c>
      <x:c r="I916" s="90" t="n">
        <x:f>IF(E916=0,"",MAX('24_W1_pH'!B20,'24_W1_pH'!D20,'24_W1_pH'!F20,'24_W1_pH'!H20))</x:f>
        <x:v>6.47</x:v>
      </x:c>
      <x:c r="J916" s="32" t="str"/>
    </x:row>
    <x:row r="917">
      <x:c r="A917" s="72" t="n">
        <x:v>46240.854780092595</x:v>
      </x:c>
      <x:c r="B917" s="32" t="str">
        <x:v>土壤pH</x:v>
      </x:c>
      <x:c r="C917" s="32" t="str">
        <x:v>W1</x:v>
      </x:c>
      <x:c r="D917" s="32" t="str">
        <x:v>V2</x:v>
      </x:c>
      <x:c r="E917" s="86" t="n">
        <x:f>COUNT('24_W1_pH'!C20,'24_W1_pH'!E20,'24_W1_pH'!G20,'24_W1_pH'!I20)</x:f>
        <x:v>4</x:v>
      </x:c>
      <x:c r="F917" s="90" t="n">
        <x:f>IF(E917=0,"",AVERAGE('24_W1_pH'!C20,'24_W1_pH'!E20,'24_W1_pH'!G20,'24_W1_pH'!I20))</x:f>
        <x:v>6.387499999999999</x:v>
      </x:c>
      <x:c r="G917" s="90" t="n">
        <x:f>IF(E917&lt;2,"",STDEV.S('24_W1_pH'!C20,'24_W1_pH'!E20,'24_W1_pH'!G20,'24_W1_pH'!I20))</x:f>
        <x:v>0.10468205831628143</x:v>
      </x:c>
      <x:c r="H917" s="90" t="n">
        <x:f>IF(E917=0,"",MIN('24_W1_pH'!C20,'24_W1_pH'!E20,'24_W1_pH'!G20,'24_W1_pH'!I20))</x:f>
        <x:v>6.27</x:v>
      </x:c>
      <x:c r="I917" s="90" t="n">
        <x:f>IF(E917=0,"",MAX('24_W1_pH'!C20,'24_W1_pH'!E20,'24_W1_pH'!G20,'24_W1_pH'!I20))</x:f>
        <x:v>6.51</x:v>
      </x:c>
      <x:c r="J917" s="32" t="str"/>
    </x:row>
    <x:row r="918">
      <x:c r="A918" s="72" t="n">
        <x:v>46240.858252314814</x:v>
      </x:c>
      <x:c r="B918" s="32" t="str">
        <x:v>土壤pH</x:v>
      </x:c>
      <x:c r="C918" s="32" t="str">
        <x:v>W1</x:v>
      </x:c>
      <x:c r="D918" s="32" t="str">
        <x:v>V1</x:v>
      </x:c>
      <x:c r="E918" s="86" t="n">
        <x:f>COUNT('24_W1_pH'!B21,'24_W1_pH'!D21,'24_W1_pH'!F21,'24_W1_pH'!H21)</x:f>
        <x:v>4</x:v>
      </x:c>
      <x:c r="F918" s="90" t="n">
        <x:f>IF(E918=0,"",AVERAGE('24_W1_pH'!B21,'24_W1_pH'!D21,'24_W1_pH'!F21,'24_W1_pH'!H21))</x:f>
        <x:v>6.4</x:v>
      </x:c>
      <x:c r="G918" s="90" t="n">
        <x:f>IF(E918&lt;2,"",STDEV.S('24_W1_pH'!B21,'24_W1_pH'!D21,'24_W1_pH'!F21,'24_W1_pH'!H21))</x:f>
        <x:v>0.09416297927883684</x:v>
      </x:c>
      <x:c r="H918" s="90" t="n">
        <x:f>IF(E918=0,"",MIN('24_W1_pH'!B21,'24_W1_pH'!D21,'24_W1_pH'!F21,'24_W1_pH'!H21))</x:f>
        <x:v>6.28</x:v>
      </x:c>
      <x:c r="I918" s="90" t="n">
        <x:f>IF(E918=0,"",MAX('24_W1_pH'!B21,'24_W1_pH'!D21,'24_W1_pH'!F21,'24_W1_pH'!H21))</x:f>
        <x:v>6.48</x:v>
      </x:c>
      <x:c r="J918" s="32" t="str"/>
    </x:row>
    <x:row r="919">
      <x:c r="A919" s="72" t="n">
        <x:v>46240.858252314814</x:v>
      </x:c>
      <x:c r="B919" s="32" t="str">
        <x:v>土壤pH</x:v>
      </x:c>
      <x:c r="C919" s="32" t="str">
        <x:v>W1</x:v>
      </x:c>
      <x:c r="D919" s="32" t="str">
        <x:v>V2</x:v>
      </x:c>
      <x:c r="E919" s="86" t="n">
        <x:f>COUNT('24_W1_pH'!C21,'24_W1_pH'!E21,'24_W1_pH'!G21,'24_W1_pH'!I21)</x:f>
        <x:v>4</x:v>
      </x:c>
      <x:c r="F919" s="90" t="n">
        <x:f>IF(E919=0,"",AVERAGE('24_W1_pH'!C21,'24_W1_pH'!E21,'24_W1_pH'!G21,'24_W1_pH'!I21))</x:f>
        <x:v>6.3825</x:v>
      </x:c>
      <x:c r="G919" s="90" t="n">
        <x:f>IF(E919&lt;2,"",STDEV.S('24_W1_pH'!C21,'24_W1_pH'!E21,'24_W1_pH'!G21,'24_W1_pH'!I21))</x:f>
        <x:v>0.10500000000000004</x:v>
      </x:c>
      <x:c r="H919" s="90" t="n">
        <x:f>IF(E919=0,"",MIN('24_W1_pH'!C21,'24_W1_pH'!E21,'24_W1_pH'!G21,'24_W1_pH'!I21))</x:f>
        <x:v>6.27</x:v>
      </x:c>
      <x:c r="I919" s="90" t="n">
        <x:f>IF(E919=0,"",MAX('24_W1_pH'!C21,'24_W1_pH'!E21,'24_W1_pH'!G21,'24_W1_pH'!I21))</x:f>
        <x:v>6.51</x:v>
      </x:c>
      <x:c r="J919" s="32" t="str"/>
    </x:row>
    <x:row r="920">
      <x:c r="A920" s="72" t="n">
        <x:v>46240.86172453704</x:v>
      </x:c>
      <x:c r="B920" s="32" t="str">
        <x:v>土壤pH</x:v>
      </x:c>
      <x:c r="C920" s="32" t="str">
        <x:v>W1</x:v>
      </x:c>
      <x:c r="D920" s="32" t="str">
        <x:v>V1</x:v>
      </x:c>
      <x:c r="E920" s="86" t="n">
        <x:f>COUNT('24_W1_pH'!B22,'24_W1_pH'!D22,'24_W1_pH'!F22,'24_W1_pH'!H22)</x:f>
        <x:v>4</x:v>
      </x:c>
      <x:c r="F920" s="90" t="n">
        <x:f>IF(E920=0,"",AVERAGE('24_W1_pH'!B22,'24_W1_pH'!D22,'24_W1_pH'!F22,'24_W1_pH'!H22))</x:f>
        <x:v>6.395</x:v>
      </x:c>
      <x:c r="G920" s="90" t="n">
        <x:f>IF(E920&lt;2,"",STDEV.S('24_W1_pH'!B22,'24_W1_pH'!D22,'24_W1_pH'!F22,'24_W1_pH'!H22))</x:f>
        <x:v>0.0994987437106622</x:v>
      </x:c>
      <x:c r="H920" s="90" t="n">
        <x:f>IF(E920=0,"",MIN('24_W1_pH'!B22,'24_W1_pH'!D22,'24_W1_pH'!F22,'24_W1_pH'!H22))</x:f>
        <x:v>6.27</x:v>
      </x:c>
      <x:c r="I920" s="90" t="n">
        <x:f>IF(E920=0,"",MAX('24_W1_pH'!B22,'24_W1_pH'!D22,'24_W1_pH'!F22,'24_W1_pH'!H22))</x:f>
        <x:v>6.48</x:v>
      </x:c>
      <x:c r="J920" s="32" t="str"/>
    </x:row>
    <x:row r="921">
      <x:c r="A921" s="72" t="n">
        <x:v>46240.86172453704</x:v>
      </x:c>
      <x:c r="B921" s="32" t="str">
        <x:v>土壤pH</x:v>
      </x:c>
      <x:c r="C921" s="32" t="str">
        <x:v>W1</x:v>
      </x:c>
      <x:c r="D921" s="32" t="str">
        <x:v>V2</x:v>
      </x:c>
      <x:c r="E921" s="86" t="n">
        <x:f>COUNT('24_W1_pH'!C22,'24_W1_pH'!E22,'24_W1_pH'!G22,'24_W1_pH'!I22)</x:f>
        <x:v>4</x:v>
      </x:c>
      <x:c r="F921" s="90" t="n">
        <x:f>IF(E921=0,"",AVERAGE('24_W1_pH'!C22,'24_W1_pH'!E22,'24_W1_pH'!G22,'24_W1_pH'!I22))</x:f>
        <x:v>6.387500000000001</x:v>
      </x:c>
      <x:c r="G921" s="90" t="n">
        <x:f>IF(E921&lt;2,"",STDEV.S('24_W1_pH'!C22,'24_W1_pH'!E22,'24_W1_pH'!G22,'24_W1_pH'!I22))</x:f>
        <x:v>0.1056330125166052</x:v>
      </x:c>
      <x:c r="H921" s="90" t="n">
        <x:f>IF(E921=0,"",MIN('24_W1_pH'!C22,'24_W1_pH'!E22,'24_W1_pH'!G22,'24_W1_pH'!I22))</x:f>
        <x:v>6.28</x:v>
      </x:c>
      <x:c r="I921" s="90" t="n">
        <x:f>IF(E921=0,"",MAX('24_W1_pH'!C22,'24_W1_pH'!E22,'24_W1_pH'!G22,'24_W1_pH'!I22))</x:f>
        <x:v>6.52</x:v>
      </x:c>
      <x:c r="J921" s="32" t="str"/>
    </x:row>
    <x:row r="922">
      <x:c r="A922" s="72" t="n">
        <x:v>46240.86519675926</x:v>
      </x:c>
      <x:c r="B922" s="32" t="str">
        <x:v>土壤pH</x:v>
      </x:c>
      <x:c r="C922" s="32" t="str">
        <x:v>W1</x:v>
      </x:c>
      <x:c r="D922" s="32" t="str">
        <x:v>V1</x:v>
      </x:c>
      <x:c r="E922" s="86" t="n">
        <x:f>COUNT('24_W1_pH'!B23,'24_W1_pH'!D23,'24_W1_pH'!F23,'24_W1_pH'!H23)</x:f>
        <x:v>4</x:v>
      </x:c>
      <x:c r="F922" s="90" t="n">
        <x:f>IF(E922=0,"",AVERAGE('24_W1_pH'!B23,'24_W1_pH'!D23,'24_W1_pH'!F23,'24_W1_pH'!H23))</x:f>
        <x:v>6.4</x:v>
      </x:c>
      <x:c r="G922" s="90" t="n">
        <x:f>IF(E922&lt;2,"",STDEV.S('24_W1_pH'!B23,'24_W1_pH'!D23,'24_W1_pH'!F23,'24_W1_pH'!H23))</x:f>
        <x:v>0.10488088481701546</x:v>
      </x:c>
      <x:c r="H922" s="90" t="n">
        <x:f>IF(E922=0,"",MIN('24_W1_pH'!B23,'24_W1_pH'!D23,'24_W1_pH'!F23,'24_W1_pH'!H23))</x:f>
        <x:v>6.27</x:v>
      </x:c>
      <x:c r="I922" s="90" t="n">
        <x:f>IF(E922=0,"",MAX('24_W1_pH'!B23,'24_W1_pH'!D23,'24_W1_pH'!F23,'24_W1_pH'!H23))</x:f>
        <x:v>6.49</x:v>
      </x:c>
      <x:c r="J922" s="32" t="str"/>
    </x:row>
    <x:row r="923">
      <x:c r="A923" s="72" t="n">
        <x:v>46240.86519675926</x:v>
      </x:c>
      <x:c r="B923" s="32" t="str">
        <x:v>土壤pH</x:v>
      </x:c>
      <x:c r="C923" s="32" t="str">
        <x:v>W1</x:v>
      </x:c>
      <x:c r="D923" s="32" t="str">
        <x:v>V2</x:v>
      </x:c>
      <x:c r="E923" s="86" t="n">
        <x:f>COUNT('24_W1_pH'!C23,'24_W1_pH'!E23,'24_W1_pH'!G23,'24_W1_pH'!I23)</x:f>
        <x:v>4</x:v>
      </x:c>
      <x:c r="F923" s="90" t="n">
        <x:f>IF(E923=0,"",AVERAGE('24_W1_pH'!C23,'24_W1_pH'!E23,'24_W1_pH'!G23,'24_W1_pH'!I23))</x:f>
        <x:v>6.3825</x:v>
      </x:c>
      <x:c r="G923" s="90" t="n">
        <x:f>IF(E923&lt;2,"",STDEV.S('24_W1_pH'!C23,'24_W1_pH'!E23,'24_W1_pH'!G23,'24_W1_pH'!I23))</x:f>
        <x:v>0.10657548185832082</x:v>
      </x:c>
      <x:c r="H923" s="90" t="n">
        <x:f>IF(E923=0,"",MIN('24_W1_pH'!C23,'24_W1_pH'!E23,'24_W1_pH'!G23,'24_W1_pH'!I23))</x:f>
        <x:v>6.28</x:v>
      </x:c>
      <x:c r="I923" s="90" t="n">
        <x:f>IF(E923=0,"",MAX('24_W1_pH'!C23,'24_W1_pH'!E23,'24_W1_pH'!G23,'24_W1_pH'!I23))</x:f>
        <x:v>6.52</x:v>
      </x:c>
      <x:c r="J923" s="32" t="str"/>
    </x:row>
    <x:row r="924">
      <x:c r="A924" s="72" t="n">
        <x:v>46240.86866898148</x:v>
      </x:c>
      <x:c r="B924" s="32" t="str">
        <x:v>土壤pH</x:v>
      </x:c>
      <x:c r="C924" s="32" t="str">
        <x:v>W1</x:v>
      </x:c>
      <x:c r="D924" s="32" t="str">
        <x:v>V1</x:v>
      </x:c>
      <x:c r="E924" s="86" t="n">
        <x:f>COUNT('24_W1_pH'!B24,'24_W1_pH'!D24,'24_W1_pH'!F24,'24_W1_pH'!H24)</x:f>
        <x:v>4</x:v>
      </x:c>
      <x:c r="F924" s="90" t="n">
        <x:f>IF(E924=0,"",AVERAGE('24_W1_pH'!B24,'24_W1_pH'!D24,'24_W1_pH'!F24,'24_W1_pH'!H24))</x:f>
        <x:v>6.4</x:v>
      </x:c>
      <x:c r="G924" s="90" t="n">
        <x:f>IF(E924&lt;2,"",STDEV.S('24_W1_pH'!B24,'24_W1_pH'!D24,'24_W1_pH'!F24,'24_W1_pH'!H24))</x:f>
        <x:v>0.1092397973878266</x:v>
      </x:c>
      <x:c r="H924" s="90" t="n">
        <x:f>IF(E924=0,"",MIN('24_W1_pH'!B24,'24_W1_pH'!D24,'24_W1_pH'!F24,'24_W1_pH'!H24))</x:f>
        <x:v>6.27</x:v>
      </x:c>
      <x:c r="I924" s="90" t="n">
        <x:f>IF(E924=0,"",MAX('24_W1_pH'!B24,'24_W1_pH'!D24,'24_W1_pH'!F24,'24_W1_pH'!H24))</x:f>
        <x:v>6.5</x:v>
      </x:c>
      <x:c r="J924" s="32" t="str"/>
    </x:row>
    <x:row r="925">
      <x:c r="A925" s="72" t="n">
        <x:v>46240.86866898148</x:v>
      </x:c>
      <x:c r="B925" s="32" t="str">
        <x:v>土壤pH</x:v>
      </x:c>
      <x:c r="C925" s="32" t="str">
        <x:v>W1</x:v>
      </x:c>
      <x:c r="D925" s="32" t="str">
        <x:v>V2</x:v>
      </x:c>
      <x:c r="E925" s="86" t="n">
        <x:f>COUNT('24_W1_pH'!C24,'24_W1_pH'!E24,'24_W1_pH'!G24,'24_W1_pH'!I24)</x:f>
        <x:v>4</x:v>
      </x:c>
      <x:c r="F925" s="90" t="n">
        <x:f>IF(E925=0,"",AVERAGE('24_W1_pH'!C24,'24_W1_pH'!E24,'24_W1_pH'!G24,'24_W1_pH'!I24))</x:f>
        <x:v>6.3875</x:v>
      </x:c>
      <x:c r="G925" s="90" t="n">
        <x:f>IF(E925&lt;2,"",STDEV.S('24_W1_pH'!C24,'24_W1_pH'!E24,'24_W1_pH'!G24,'24_W1_pH'!I24))</x:f>
        <x:v>0.10781929326423917</x:v>
      </x:c>
      <x:c r="H925" s="90" t="n">
        <x:f>IF(E925=0,"",MIN('24_W1_pH'!C24,'24_W1_pH'!E24,'24_W1_pH'!G24,'24_W1_pH'!I24))</x:f>
        <x:v>6.29</x:v>
      </x:c>
      <x:c r="I925" s="90" t="n">
        <x:f>IF(E925=0,"",MAX('24_W1_pH'!C24,'24_W1_pH'!E24,'24_W1_pH'!G24,'24_W1_pH'!I24))</x:f>
        <x:v>6.53</x:v>
      </x:c>
      <x:c r="J925" s="32" t="str"/>
    </x:row>
    <x:row r="926">
      <x:c r="A926" s="72" t="n">
        <x:v>46240.872141203705</x:v>
      </x:c>
      <x:c r="B926" s="32" t="str">
        <x:v>土壤pH</x:v>
      </x:c>
      <x:c r="C926" s="32" t="str">
        <x:v>W1</x:v>
      </x:c>
      <x:c r="D926" s="32" t="str">
        <x:v>V1</x:v>
      </x:c>
      <x:c r="E926" s="86" t="n">
        <x:f>COUNT('24_W1_pH'!B25,'24_W1_pH'!D25,'24_W1_pH'!F25,'24_W1_pH'!H25)</x:f>
        <x:v>4</x:v>
      </x:c>
      <x:c r="F926" s="90" t="n">
        <x:f>IF(E926=0,"",AVERAGE('24_W1_pH'!B25,'24_W1_pH'!D25,'24_W1_pH'!F25,'24_W1_pH'!H25))</x:f>
        <x:v>6.3999999999999995</x:v>
      </x:c>
      <x:c r="G926" s="90" t="n">
        <x:f>IF(E926&lt;2,"",STDEV.S('24_W1_pH'!B25,'24_W1_pH'!D25,'24_W1_pH'!F25,'24_W1_pH'!H25))</x:f>
        <x:v>0.11401754250991401</x:v>
      </x:c>
      <x:c r="H926" s="90" t="n">
        <x:f>IF(E926=0,"",MIN('24_W1_pH'!B25,'24_W1_pH'!D25,'24_W1_pH'!F25,'24_W1_pH'!H25))</x:f>
        <x:v>6.27</x:v>
      </x:c>
      <x:c r="I926" s="90" t="n">
        <x:f>IF(E926=0,"",MAX('24_W1_pH'!B25,'24_W1_pH'!D25,'24_W1_pH'!F25,'24_W1_pH'!H25))</x:f>
        <x:v>6.51</x:v>
      </x:c>
      <x:c r="J926" s="32" t="str"/>
    </x:row>
    <x:row r="927">
      <x:c r="A927" s="72" t="n">
        <x:v>46240.872141203705</x:v>
      </x:c>
      <x:c r="B927" s="32" t="str">
        <x:v>土壤pH</x:v>
      </x:c>
      <x:c r="C927" s="32" t="str">
        <x:v>W1</x:v>
      </x:c>
      <x:c r="D927" s="32" t="str">
        <x:v>V2</x:v>
      </x:c>
      <x:c r="E927" s="86" t="n">
        <x:f>COUNT('24_W1_pH'!C25,'24_W1_pH'!E25,'24_W1_pH'!G25,'24_W1_pH'!I25)</x:f>
        <x:v>4</x:v>
      </x:c>
      <x:c r="F927" s="90" t="n">
        <x:f>IF(E927=0,"",AVERAGE('24_W1_pH'!C25,'24_W1_pH'!E25,'24_W1_pH'!G25,'24_W1_pH'!I25))</x:f>
        <x:v>6.387499999999999</x:v>
      </x:c>
      <x:c r="G927" s="90" t="n">
        <x:f>IF(E927&lt;2,"",STDEV.S('24_W1_pH'!C25,'24_W1_pH'!E25,'24_W1_pH'!G25,'24_W1_pH'!I25))</x:f>
        <x:v>0.10436314802968856</x:v>
      </x:c>
      <x:c r="H927" s="90" t="n">
        <x:f>IF(E927=0,"",MIN('24_W1_pH'!C25,'24_W1_pH'!E25,'24_W1_pH'!G25,'24_W1_pH'!I25))</x:f>
        <x:v>6.3</x:v>
      </x:c>
      <x:c r="I927" s="90" t="n">
        <x:f>IF(E927=0,"",MAX('24_W1_pH'!C25,'24_W1_pH'!E25,'24_W1_pH'!G25,'24_W1_pH'!I25))</x:f>
        <x:v>6.53</x:v>
      </x:c>
      <x:c r="J927" s="32" t="str"/>
    </x:row>
    <x:row r="928">
      <x:c r="A928" s="72" t="n">
        <x:v>46240.875613425924</x:v>
      </x:c>
      <x:c r="B928" s="32" t="str">
        <x:v>土壤pH</x:v>
      </x:c>
      <x:c r="C928" s="32" t="str">
        <x:v>W1</x:v>
      </x:c>
      <x:c r="D928" s="32" t="str">
        <x:v>V1</x:v>
      </x:c>
      <x:c r="E928" s="86" t="n">
        <x:f>COUNT('24_W1_pH'!B26,'24_W1_pH'!D26,'24_W1_pH'!F26,'24_W1_pH'!H26)</x:f>
        <x:v>4</x:v>
      </x:c>
      <x:c r="F928" s="90" t="n">
        <x:f>IF(E928=0,"",AVERAGE('24_W1_pH'!B26,'24_W1_pH'!D26,'24_W1_pH'!F26,'24_W1_pH'!H26))</x:f>
        <x:v>6.397499999999999</x:v>
      </x:c>
      <x:c r="G928" s="90" t="n">
        <x:f>IF(E928&lt;2,"",STDEV.S('24_W1_pH'!B26,'24_W1_pH'!D26,'24_W1_pH'!F26,'24_W1_pH'!H26))</x:f>
        <x:v>0.11586630226256485</x:v>
      </x:c>
      <x:c r="H928" s="90" t="n">
        <x:f>IF(E928=0,"",MIN('24_W1_pH'!B26,'24_W1_pH'!D26,'24_W1_pH'!F26,'24_W1_pH'!H26))</x:f>
        <x:v>6.27</x:v>
      </x:c>
      <x:c r="I928" s="90" t="n">
        <x:f>IF(E928=0,"",MAX('24_W1_pH'!B26,'24_W1_pH'!D26,'24_W1_pH'!F26,'24_W1_pH'!H26))</x:f>
        <x:v>6.51</x:v>
      </x:c>
      <x:c r="J928" s="32" t="str"/>
    </x:row>
    <x:row r="929">
      <x:c r="A929" s="72" t="n">
        <x:v>46240.875613425924</x:v>
      </x:c>
      <x:c r="B929" s="32" t="str">
        <x:v>土壤pH</x:v>
      </x:c>
      <x:c r="C929" s="32" t="str">
        <x:v>W1</x:v>
      </x:c>
      <x:c r="D929" s="32" t="str">
        <x:v>V2</x:v>
      </x:c>
      <x:c r="E929" s="86" t="n">
        <x:f>COUNT('24_W1_pH'!C26,'24_W1_pH'!E26,'24_W1_pH'!G26,'24_W1_pH'!I26)</x:f>
        <x:v>4</x:v>
      </x:c>
      <x:c r="F929" s="90" t="n">
        <x:f>IF(E929=0,"",AVERAGE('24_W1_pH'!C26,'24_W1_pH'!E26,'24_W1_pH'!G26,'24_W1_pH'!I26))</x:f>
        <x:v>6.3875</x:v>
      </x:c>
      <x:c r="G929" s="90" t="n">
        <x:f>IF(E929&lt;2,"",STDEV.S('24_W1_pH'!C26,'24_W1_pH'!E26,'24_W1_pH'!G26,'24_W1_pH'!I26))</x:f>
        <x:v>0.10144785195688816</x:v>
      </x:c>
      <x:c r="H929" s="90" t="n">
        <x:f>IF(E929=0,"",MIN('24_W1_pH'!C26,'24_W1_pH'!E26,'24_W1_pH'!G26,'24_W1_pH'!I26))</x:f>
        <x:v>6.31</x:v>
      </x:c>
      <x:c r="I929" s="90" t="n">
        <x:f>IF(E929=0,"",MAX('24_W1_pH'!C26,'24_W1_pH'!E26,'24_W1_pH'!G26,'24_W1_pH'!I26))</x:f>
        <x:v>6.53</x:v>
      </x:c>
      <x:c r="J929" s="32" t="str"/>
    </x:row>
    <x:row r="930">
      <x:c r="A930" s="72" t="n">
        <x:v>46240.87908564815</x:v>
      </x:c>
      <x:c r="B930" s="32" t="str">
        <x:v>土壤pH</x:v>
      </x:c>
      <x:c r="C930" s="32" t="str">
        <x:v>W1</x:v>
      </x:c>
      <x:c r="D930" s="32" t="str">
        <x:v>V1</x:v>
      </x:c>
      <x:c r="E930" s="86" t="n">
        <x:f>COUNT('24_W1_pH'!B27,'24_W1_pH'!D27,'24_W1_pH'!F27,'24_W1_pH'!H27)</x:f>
        <x:v>4</x:v>
      </x:c>
      <x:c r="F930" s="90" t="n">
        <x:f>IF(E930=0,"",AVERAGE('24_W1_pH'!B27,'24_W1_pH'!D27,'24_W1_pH'!F27,'24_W1_pH'!H27))</x:f>
        <x:v>6.4</x:v>
      </x:c>
      <x:c r="G930" s="90" t="n">
        <x:f>IF(E930&lt;2,"",STDEV.S('24_W1_pH'!B27,'24_W1_pH'!D27,'24_W1_pH'!F27,'24_W1_pH'!H27))</x:f>
        <x:v>0.11343133018115673</x:v>
      </x:c>
      <x:c r="H930" s="90" t="n">
        <x:f>IF(E930=0,"",MIN('24_W1_pH'!B27,'24_W1_pH'!D27,'24_W1_pH'!F27,'24_W1_pH'!H27))</x:f>
        <x:v>6.28</x:v>
      </x:c>
      <x:c r="I930" s="90" t="n">
        <x:f>IF(E930=0,"",MAX('24_W1_pH'!B27,'24_W1_pH'!D27,'24_W1_pH'!F27,'24_W1_pH'!H27))</x:f>
        <x:v>6.52</x:v>
      </x:c>
      <x:c r="J930" s="32" t="str"/>
    </x:row>
    <x:row r="931">
      <x:c r="A931" s="72" t="n">
        <x:v>46240.87908564815</x:v>
      </x:c>
      <x:c r="B931" s="32" t="str">
        <x:v>土壤pH</x:v>
      </x:c>
      <x:c r="C931" s="32" t="str">
        <x:v>W1</x:v>
      </x:c>
      <x:c r="D931" s="32" t="str">
        <x:v>V2</x:v>
      </x:c>
      <x:c r="E931" s="86" t="n">
        <x:f>COUNT('24_W1_pH'!C27,'24_W1_pH'!E27,'24_W1_pH'!G27,'24_W1_pH'!I27)</x:f>
        <x:v>4</x:v>
      </x:c>
      <x:c r="F931" s="90" t="n">
        <x:f>IF(E931=0,"",AVERAGE('24_W1_pH'!C27,'24_W1_pH'!E27,'24_W1_pH'!G27,'24_W1_pH'!I27))</x:f>
        <x:v>6.385</x:v>
      </x:c>
      <x:c r="G931" s="90" t="n">
        <x:f>IF(E931&lt;2,"",STDEV.S('24_W1_pH'!C27,'24_W1_pH'!E27,'24_W1_pH'!G27,'24_W1_pH'!I27))</x:f>
        <x:v>0.10148891565092234</x:v>
      </x:c>
      <x:c r="H931" s="90" t="n">
        <x:f>IF(E931=0,"",MIN('24_W1_pH'!C27,'24_W1_pH'!E27,'24_W1_pH'!G27,'24_W1_pH'!I27))</x:f>
        <x:v>6.31</x:v>
      </x:c>
      <x:c r="I931" s="90" t="n">
        <x:f>IF(E931=0,"",MAX('24_W1_pH'!C27,'24_W1_pH'!E27,'24_W1_pH'!G27,'24_W1_pH'!I27))</x:f>
        <x:v>6.53</x:v>
      </x:c>
      <x:c r="J931" s="32" t="str"/>
    </x:row>
    <x:row r="932">
      <x:c r="A932" s="72" t="n">
        <x:v>46240.88255787037</x:v>
      </x:c>
      <x:c r="B932" s="32" t="str">
        <x:v>土壤pH</x:v>
      </x:c>
      <x:c r="C932" s="32" t="str">
        <x:v>W1</x:v>
      </x:c>
      <x:c r="D932" s="32" t="str">
        <x:v>V1</x:v>
      </x:c>
      <x:c r="E932" s="86" t="n">
        <x:f>COUNT('24_W1_pH'!B28,'24_W1_pH'!D28,'24_W1_pH'!F28,'24_W1_pH'!H28)</x:f>
        <x:v>4</x:v>
      </x:c>
      <x:c r="F932" s="90" t="n">
        <x:f>IF(E932=0,"",AVERAGE('24_W1_pH'!B28,'24_W1_pH'!D28,'24_W1_pH'!F28,'24_W1_pH'!H28))</x:f>
        <x:v>6.3975</x:v>
      </x:c>
      <x:c r="G932" s="90" t="n">
        <x:f>IF(E932&lt;2,"",STDEV.S('24_W1_pH'!B28,'24_W1_pH'!D28,'24_W1_pH'!F28,'24_W1_pH'!H28))</x:f>
        <x:v>0.11557825631723838</x:v>
      </x:c>
      <x:c r="H932" s="90" t="n">
        <x:f>IF(E932=0,"",MIN('24_W1_pH'!B28,'24_W1_pH'!D28,'24_W1_pH'!F28,'24_W1_pH'!H28))</x:f>
        <x:v>6.28</x:v>
      </x:c>
      <x:c r="I932" s="90" t="n">
        <x:f>IF(E932=0,"",MAX('24_W1_pH'!B28,'24_W1_pH'!D28,'24_W1_pH'!F28,'24_W1_pH'!H28))</x:f>
        <x:v>6.52</x:v>
      </x:c>
      <x:c r="J932" s="32" t="str"/>
    </x:row>
    <x:row r="933">
      <x:c r="A933" s="72" t="n">
        <x:v>46240.88255787037</x:v>
      </x:c>
      <x:c r="B933" s="32" t="str">
        <x:v>土壤pH</x:v>
      </x:c>
      <x:c r="C933" s="32" t="str">
        <x:v>W1</x:v>
      </x:c>
      <x:c r="D933" s="32" t="str">
        <x:v>V2</x:v>
      </x:c>
      <x:c r="E933" s="86" t="n">
        <x:f>COUNT('24_W1_pH'!C28,'24_W1_pH'!E28,'24_W1_pH'!G28,'24_W1_pH'!I28)</x:f>
        <x:v>4</x:v>
      </x:c>
      <x:c r="F933" s="90" t="n">
        <x:f>IF(E933=0,"",AVERAGE('24_W1_pH'!C28,'24_W1_pH'!E28,'24_W1_pH'!G28,'24_W1_pH'!I28))</x:f>
        <x:v>6.3875</x:v>
      </x:c>
      <x:c r="G933" s="90" t="n">
        <x:f>IF(E933&lt;2,"",STDEV.S('24_W1_pH'!C28,'24_W1_pH'!E28,'24_W1_pH'!G28,'24_W1_pH'!I28))</x:f>
        <x:v>0.09215023964519362</x:v>
      </x:c>
      <x:c r="H933" s="90" t="n">
        <x:f>IF(E933=0,"",MIN('24_W1_pH'!C28,'24_W1_pH'!E28,'24_W1_pH'!G28,'24_W1_pH'!I28))</x:f>
        <x:v>6.32</x:v>
      </x:c>
      <x:c r="I933" s="90" t="n">
        <x:f>IF(E933=0,"",MAX('24_W1_pH'!C28,'24_W1_pH'!E28,'24_W1_pH'!G28,'24_W1_pH'!I28))</x:f>
        <x:v>6.52</x:v>
      </x:c>
      <x:c r="J933" s="32" t="str"/>
    </x:row>
    <x:row r="934">
      <x:c r="A934" s="72" t="n">
        <x:v>46240.886030092595</x:v>
      </x:c>
      <x:c r="B934" s="32" t="str">
        <x:v>土壤pH</x:v>
      </x:c>
      <x:c r="C934" s="32" t="str">
        <x:v>W1</x:v>
      </x:c>
      <x:c r="D934" s="32" t="str">
        <x:v>V1</x:v>
      </x:c>
      <x:c r="E934" s="86" t="n">
        <x:f>COUNT('24_W1_pH'!B29,'24_W1_pH'!D29,'24_W1_pH'!F29,'24_W1_pH'!H29)</x:f>
        <x:v>4</x:v>
      </x:c>
      <x:c r="F934" s="90" t="n">
        <x:f>IF(E934=0,"",AVERAGE('24_W1_pH'!B29,'24_W1_pH'!D29,'24_W1_pH'!F29,'24_W1_pH'!H29))</x:f>
        <x:v>6.4</x:v>
      </x:c>
      <x:c r="G934" s="90" t="n">
        <x:f>IF(E934&lt;2,"",STDEV.S('24_W1_pH'!B29,'24_W1_pH'!D29,'24_W1_pH'!F29,'24_W1_pH'!H29))</x:f>
        <x:v>0.1140175425099138</x:v>
      </x:c>
      <x:c r="H934" s="90" t="n">
        <x:f>IF(E934=0,"",MIN('24_W1_pH'!B29,'24_W1_pH'!D29,'24_W1_pH'!F29,'24_W1_pH'!H29))</x:f>
        <x:v>6.29</x:v>
      </x:c>
      <x:c r="I934" s="90" t="n">
        <x:f>IF(E934=0,"",MAX('24_W1_pH'!B29,'24_W1_pH'!D29,'24_W1_pH'!F29,'24_W1_pH'!H29))</x:f>
        <x:v>6.53</x:v>
      </x:c>
      <x:c r="J934" s="32" t="str"/>
    </x:row>
    <x:row r="935">
      <x:c r="A935" s="72" t="n">
        <x:v>46240.886030092595</x:v>
      </x:c>
      <x:c r="B935" s="32" t="str">
        <x:v>土壤pH</x:v>
      </x:c>
      <x:c r="C935" s="32" t="str">
        <x:v>W1</x:v>
      </x:c>
      <x:c r="D935" s="32" t="str">
        <x:v>V2</x:v>
      </x:c>
      <x:c r="E935" s="86" t="n">
        <x:f>COUNT('24_W1_pH'!C29,'24_W1_pH'!E29,'24_W1_pH'!G29,'24_W1_pH'!I29)</x:f>
        <x:v>4</x:v>
      </x:c>
      <x:c r="F935" s="90" t="n">
        <x:f>IF(E935=0,"",AVERAGE('24_W1_pH'!C29,'24_W1_pH'!E29,'24_W1_pH'!G29,'24_W1_pH'!I29))</x:f>
        <x:v>6.385000000000001</x:v>
      </x:c>
      <x:c r="G935" s="90" t="n">
        <x:f>IF(E935&lt;2,"",STDEV.S('24_W1_pH'!C29,'24_W1_pH'!E29,'24_W1_pH'!G29,'24_W1_pH'!I29))</x:f>
        <x:v>0.09255628917943184</x:v>
      </x:c>
      <x:c r="H935" s="90" t="n">
        <x:f>IF(E935=0,"",MIN('24_W1_pH'!C29,'24_W1_pH'!E29,'24_W1_pH'!G29,'24_W1_pH'!I29))</x:f>
        <x:v>6.32</x:v>
      </x:c>
      <x:c r="I935" s="90" t="n">
        <x:f>IF(E935=0,"",MAX('24_W1_pH'!C29,'24_W1_pH'!E29,'24_W1_pH'!G29,'24_W1_pH'!I29))</x:f>
        <x:v>6.52</x:v>
      </x:c>
      <x:c r="J935" s="32" t="str"/>
    </x:row>
    <x:row r="936">
      <x:c r="A936" s="72" t="n">
        <x:v>46240.889502314814</x:v>
      </x:c>
      <x:c r="B936" s="32" t="str">
        <x:v>土壤pH</x:v>
      </x:c>
      <x:c r="C936" s="32" t="str">
        <x:v>W1</x:v>
      </x:c>
      <x:c r="D936" s="32" t="str">
        <x:v>V1</x:v>
      </x:c>
      <x:c r="E936" s="86" t="n">
        <x:f>COUNT('24_W1_pH'!B30,'24_W1_pH'!D30,'24_W1_pH'!F30,'24_W1_pH'!H30)</x:f>
        <x:v>4</x:v>
      </x:c>
      <x:c r="F936" s="90" t="n">
        <x:f>IF(E936=0,"",AVERAGE('24_W1_pH'!B30,'24_W1_pH'!D30,'24_W1_pH'!F30,'24_W1_pH'!H30))</x:f>
        <x:v>6.4025</x:v>
      </x:c>
      <x:c r="G936" s="90" t="n">
        <x:f>IF(E936&lt;2,"",STDEV.S('24_W1_pH'!B30,'24_W1_pH'!D30,'24_W1_pH'!F30,'24_W1_pH'!H30))</x:f>
        <x:v>0.11086778913041734</x:v>
      </x:c>
      <x:c r="H936" s="90" t="n">
        <x:f>IF(E936=0,"",MIN('24_W1_pH'!B30,'24_W1_pH'!D30,'24_W1_pH'!F30,'24_W1_pH'!H30))</x:f>
        <x:v>6.3</x:v>
      </x:c>
      <x:c r="I936" s="90" t="n">
        <x:f>IF(E936=0,"",MAX('24_W1_pH'!B30,'24_W1_pH'!D30,'24_W1_pH'!F30,'24_W1_pH'!H30))</x:f>
        <x:v>6.53</x:v>
      </x:c>
      <x:c r="J936" s="32" t="str"/>
    </x:row>
    <x:row r="937">
      <x:c r="A937" s="72" t="n">
        <x:v>46240.889502314814</x:v>
      </x:c>
      <x:c r="B937" s="32" t="str">
        <x:v>土壤pH</x:v>
      </x:c>
      <x:c r="C937" s="32" t="str">
        <x:v>W1</x:v>
      </x:c>
      <x:c r="D937" s="32" t="str">
        <x:v>V2</x:v>
      </x:c>
      <x:c r="E937" s="86" t="n">
        <x:f>COUNT('24_W1_pH'!C30,'24_W1_pH'!E30,'24_W1_pH'!G30,'24_W1_pH'!I30)</x:f>
        <x:v>4</x:v>
      </x:c>
      <x:c r="F937" s="90" t="n">
        <x:f>IF(E937=0,"",AVERAGE('24_W1_pH'!C30,'24_W1_pH'!E30,'24_W1_pH'!G30,'24_W1_pH'!I30))</x:f>
        <x:v>6.3875</x:v>
      </x:c>
      <x:c r="G937" s="90" t="n">
        <x:f>IF(E937&lt;2,"",STDEV.S('24_W1_pH'!C30,'24_W1_pH'!E30,'24_W1_pH'!G30,'24_W1_pH'!I30))</x:f>
        <x:v>0.08341662504161455</x:v>
      </x:c>
      <x:c r="H937" s="90" t="n">
        <x:f>IF(E937=0,"",MIN('24_W1_pH'!C30,'24_W1_pH'!E30,'24_W1_pH'!G30,'24_W1_pH'!I30))</x:f>
        <x:v>6.33</x:v>
      </x:c>
      <x:c r="I937" s="90" t="n">
        <x:f>IF(E937=0,"",MAX('24_W1_pH'!C30,'24_W1_pH'!E30,'24_W1_pH'!G30,'24_W1_pH'!I30))</x:f>
        <x:v>6.51</x:v>
      </x:c>
      <x:c r="J937" s="32" t="str"/>
    </x:row>
    <x:row r="938">
      <x:c r="A938" s="72" t="n">
        <x:v>46240.89297453704</x:v>
      </x:c>
      <x:c r="B938" s="32" t="str">
        <x:v>土壤pH</x:v>
      </x:c>
      <x:c r="C938" s="32" t="str">
        <x:v>W1</x:v>
      </x:c>
      <x:c r="D938" s="32" t="str">
        <x:v>V1</x:v>
      </x:c>
      <x:c r="E938" s="86" t="n">
        <x:f>COUNT('24_W1_pH'!B31,'24_W1_pH'!D31,'24_W1_pH'!F31,'24_W1_pH'!H31)</x:f>
        <x:v>4</x:v>
      </x:c>
      <x:c r="F938" s="90" t="n">
        <x:f>IF(E938=0,"",AVERAGE('24_W1_pH'!B31,'24_W1_pH'!D31,'24_W1_pH'!F31,'24_W1_pH'!H31))</x:f>
        <x:v>6.4025</x:v>
      </x:c>
      <x:c r="G938" s="90" t="n">
        <x:f>IF(E938&lt;2,"",STDEV.S('24_W1_pH'!B31,'24_W1_pH'!D31,'24_W1_pH'!F31,'24_W1_pH'!H31))</x:f>
        <x:v>0.1062622541953007</x:v>
      </x:c>
      <x:c r="H938" s="90" t="n">
        <x:f>IF(E938=0,"",MIN('24_W1_pH'!B31,'24_W1_pH'!D31,'24_W1_pH'!F31,'24_W1_pH'!H31))</x:f>
        <x:v>6.31</x:v>
      </x:c>
      <x:c r="I938" s="90" t="n">
        <x:f>IF(E938=0,"",MAX('24_W1_pH'!B31,'24_W1_pH'!D31,'24_W1_pH'!F31,'24_W1_pH'!H31))</x:f>
        <x:v>6.53</x:v>
      </x:c>
      <x:c r="J938" s="32" t="str"/>
    </x:row>
    <x:row r="939">
      <x:c r="A939" s="72" t="n">
        <x:v>46240.89297453704</x:v>
      </x:c>
      <x:c r="B939" s="32" t="str">
        <x:v>土壤pH</x:v>
      </x:c>
      <x:c r="C939" s="32" t="str">
        <x:v>W1</x:v>
      </x:c>
      <x:c r="D939" s="32" t="str">
        <x:v>V2</x:v>
      </x:c>
      <x:c r="E939" s="86" t="n">
        <x:f>COUNT('24_W1_pH'!C31,'24_W1_pH'!E31,'24_W1_pH'!G31,'24_W1_pH'!I31)</x:f>
        <x:v>4</x:v>
      </x:c>
      <x:c r="F939" s="90" t="n">
        <x:f>IF(E939=0,"",AVERAGE('24_W1_pH'!C31,'24_W1_pH'!E31,'24_W1_pH'!G31,'24_W1_pH'!I31))</x:f>
        <x:v>6.39</x:v>
      </x:c>
      <x:c r="G939" s="90" t="n">
        <x:f>IF(E939&lt;2,"",STDEV.S('24_W1_pH'!C31,'24_W1_pH'!E31,'24_W1_pH'!G31,'24_W1_pH'!I31))</x:f>
        <x:v>0.08164965809277253</x:v>
      </x:c>
      <x:c r="H939" s="90" t="n">
        <x:f>IF(E939=0,"",MIN('24_W1_pH'!C31,'24_W1_pH'!E31,'24_W1_pH'!G31,'24_W1_pH'!I31))</x:f>
        <x:v>6.33</x:v>
      </x:c>
      <x:c r="I939" s="90" t="n">
        <x:f>IF(E939=0,"",MAX('24_W1_pH'!C31,'24_W1_pH'!E31,'24_W1_pH'!G31,'24_W1_pH'!I31))</x:f>
        <x:v>6.51</x:v>
      </x:c>
      <x:c r="J939" s="32" t="str"/>
    </x:row>
    <x:row r="940">
      <x:c r="A940" s="72" t="n">
        <x:v>46240.89644675926</x:v>
      </x:c>
      <x:c r="B940" s="32" t="str">
        <x:v>土壤pH</x:v>
      </x:c>
      <x:c r="C940" s="32" t="str">
        <x:v>W1</x:v>
      </x:c>
      <x:c r="D940" s="32" t="str">
        <x:v>V1</x:v>
      </x:c>
      <x:c r="E940" s="86" t="n">
        <x:f>COUNT('24_W1_pH'!B32,'24_W1_pH'!D32,'24_W1_pH'!F32,'24_W1_pH'!H32)</x:f>
        <x:v>4</x:v>
      </x:c>
      <x:c r="F940" s="90" t="n">
        <x:f>IF(E940=0,"",AVERAGE('24_W1_pH'!B32,'24_W1_pH'!D32,'24_W1_pH'!F32,'24_W1_pH'!H32))</x:f>
        <x:v>6.4</x:v>
      </x:c>
      <x:c r="G940" s="90" t="n">
        <x:f>IF(E940&lt;2,"",STDEV.S('24_W1_pH'!B32,'24_W1_pH'!D32,'24_W1_pH'!F32,'24_W1_pH'!H32))</x:f>
        <x:v>0.10488088481701534</x:v>
      </x:c>
      <x:c r="H940" s="90" t="n">
        <x:f>IF(E940=0,"",MIN('24_W1_pH'!B32,'24_W1_pH'!D32,'24_W1_pH'!F32,'24_W1_pH'!H32))</x:f>
        <x:v>6.31</x:v>
      </x:c>
      <x:c r="I940" s="90" t="n">
        <x:f>IF(E940=0,"",MAX('24_W1_pH'!B32,'24_W1_pH'!D32,'24_W1_pH'!F32,'24_W1_pH'!H32))</x:f>
        <x:v>6.53</x:v>
      </x:c>
      <x:c r="J940" s="32" t="str"/>
    </x:row>
    <x:row r="941">
      <x:c r="A941" s="72" t="n">
        <x:v>46240.89644675926</x:v>
      </x:c>
      <x:c r="B941" s="32" t="str">
        <x:v>土壤pH</x:v>
      </x:c>
      <x:c r="C941" s="32" t="str">
        <x:v>W1</x:v>
      </x:c>
      <x:c r="D941" s="32" t="str">
        <x:v>V2</x:v>
      </x:c>
      <x:c r="E941" s="86" t="n">
        <x:f>COUNT('24_W1_pH'!C32,'24_W1_pH'!E32,'24_W1_pH'!G32,'24_W1_pH'!I32)</x:f>
        <x:v>4</x:v>
      </x:c>
      <x:c r="F941" s="90" t="n">
        <x:f>IF(E941=0,"",AVERAGE('24_W1_pH'!C32,'24_W1_pH'!E32,'24_W1_pH'!G32,'24_W1_pH'!I32))</x:f>
        <x:v>6.390000000000001</x:v>
      </x:c>
      <x:c r="G941" s="90" t="n">
        <x:f>IF(E941&lt;2,"",STDEV.S('24_W1_pH'!C32,'24_W1_pH'!E32,'24_W1_pH'!G32,'24_W1_pH'!I32))</x:f>
        <x:v>0.07527726527090803</x:v>
      </x:c>
      <x:c r="H941" s="90" t="n">
        <x:f>IF(E941=0,"",MIN('24_W1_pH'!C32,'24_W1_pH'!E32,'24_W1_pH'!G32,'24_W1_pH'!I32))</x:f>
        <x:v>6.33</x:v>
      </x:c>
      <x:c r="I941" s="90" t="n">
        <x:f>IF(E941=0,"",MAX('24_W1_pH'!C32,'24_W1_pH'!E32,'24_W1_pH'!G32,'24_W1_pH'!I32))</x:f>
        <x:v>6.5</x:v>
      </x:c>
      <x:c r="J941" s="32" t="str"/>
    </x:row>
    <x:row r="942">
      <x:c r="A942" s="72" t="n">
        <x:v>46240.89991898148</x:v>
      </x:c>
      <x:c r="B942" s="32" t="str">
        <x:v>土壤pH</x:v>
      </x:c>
      <x:c r="C942" s="32" t="str">
        <x:v>W1</x:v>
      </x:c>
      <x:c r="D942" s="32" t="str">
        <x:v>V1</x:v>
      </x:c>
      <x:c r="E942" s="86" t="n">
        <x:f>COUNT('24_W1_pH'!B33,'24_W1_pH'!D33,'24_W1_pH'!F33,'24_W1_pH'!H33)</x:f>
        <x:v>4</x:v>
      </x:c>
      <x:c r="F942" s="90" t="n">
        <x:f>IF(E942=0,"",AVERAGE('24_W1_pH'!B33,'24_W1_pH'!D33,'24_W1_pH'!F33,'24_W1_pH'!H33))</x:f>
        <x:v>6.4</x:v>
      </x:c>
      <x:c r="G942" s="90" t="n">
        <x:f>IF(E942&lt;2,"",STDEV.S('24_W1_pH'!B33,'24_W1_pH'!D33,'24_W1_pH'!F33,'24_W1_pH'!H33))</x:f>
        <x:v>0.09416297927883659</x:v>
      </x:c>
      <x:c r="H942" s="90" t="n">
        <x:f>IF(E942=0,"",MIN('24_W1_pH'!B33,'24_W1_pH'!D33,'24_W1_pH'!F33,'24_W1_pH'!H33))</x:f>
        <x:v>6.32</x:v>
      </x:c>
      <x:c r="I942" s="90" t="n">
        <x:f>IF(E942=0,"",MAX('24_W1_pH'!B33,'24_W1_pH'!D33,'24_W1_pH'!F33,'24_W1_pH'!H33))</x:f>
        <x:v>6.52</x:v>
      </x:c>
      <x:c r="J942" s="32" t="str"/>
    </x:row>
    <x:row r="943">
      <x:c r="A943" s="72" t="n">
        <x:v>46240.89991898148</x:v>
      </x:c>
      <x:c r="B943" s="32" t="str">
        <x:v>土壤pH</x:v>
      </x:c>
      <x:c r="C943" s="32" t="str">
        <x:v>W1</x:v>
      </x:c>
      <x:c r="D943" s="32" t="str">
        <x:v>V2</x:v>
      </x:c>
      <x:c r="E943" s="86" t="n">
        <x:f>COUNT('24_W1_pH'!C33,'24_W1_pH'!E33,'24_W1_pH'!G33,'24_W1_pH'!I33)</x:f>
        <x:v>4</x:v>
      </x:c>
      <x:c r="F943" s="90" t="n">
        <x:f>IF(E943=0,"",AVERAGE('24_W1_pH'!C33,'24_W1_pH'!E33,'24_W1_pH'!G33,'24_W1_pH'!I33))</x:f>
        <x:v>6.3875</x:v>
      </x:c>
      <x:c r="G943" s="90" t="n">
        <x:f>IF(E943&lt;2,"",STDEV.S('24_W1_pH'!C33,'24_W1_pH'!E33,'24_W1_pH'!G33,'24_W1_pH'!I33))</x:f>
        <x:v>0.07041543391425872</x:v>
      </x:c>
      <x:c r="H943" s="90" t="n">
        <x:f>IF(E943=0,"",MIN('24_W1_pH'!C33,'24_W1_pH'!E33,'24_W1_pH'!G33,'24_W1_pH'!I33))</x:f>
        <x:v>6.33</x:v>
      </x:c>
      <x:c r="I943" s="90" t="n">
        <x:f>IF(E943=0,"",MAX('24_W1_pH'!C33,'24_W1_pH'!E33,'24_W1_pH'!G33,'24_W1_pH'!I33))</x:f>
        <x:v>6.49</x:v>
      </x:c>
      <x:c r="J943" s="32" t="str"/>
    </x:row>
    <x:row r="944">
      <x:c r="A944" s="72" t="n">
        <x:v>46240.903391203705</x:v>
      </x:c>
      <x:c r="B944" s="32" t="str">
        <x:v>土壤pH</x:v>
      </x:c>
      <x:c r="C944" s="32" t="str">
        <x:v>W1</x:v>
      </x:c>
      <x:c r="D944" s="32" t="str">
        <x:v>V1</x:v>
      </x:c>
      <x:c r="E944" s="86" t="n">
        <x:f>COUNT('24_W1_pH'!B34,'24_W1_pH'!D34,'24_W1_pH'!F34,'24_W1_pH'!H34)</x:f>
        <x:v>4</x:v>
      </x:c>
      <x:c r="F944" s="90" t="n">
        <x:f>IF(E944=0,"",AVERAGE('24_W1_pH'!B34,'24_W1_pH'!D34,'24_W1_pH'!F34,'24_W1_pH'!H34))</x:f>
        <x:v>6.4</x:v>
      </x:c>
      <x:c r="G944" s="90" t="n">
        <x:f>IF(E944&lt;2,"",STDEV.S('24_W1_pH'!B34,'24_W1_pH'!D34,'24_W1_pH'!F34,'24_W1_pH'!H34))</x:f>
        <x:v>0.09416297927883659</x:v>
      </x:c>
      <x:c r="H944" s="90" t="n">
        <x:f>IF(E944=0,"",MIN('24_W1_pH'!B34,'24_W1_pH'!D34,'24_W1_pH'!F34,'24_W1_pH'!H34))</x:f>
        <x:v>6.32</x:v>
      </x:c>
      <x:c r="I944" s="90" t="n">
        <x:f>IF(E944=0,"",MAX('24_W1_pH'!B34,'24_W1_pH'!D34,'24_W1_pH'!F34,'24_W1_pH'!H34))</x:f>
        <x:v>6.52</x:v>
      </x:c>
      <x:c r="J944" s="32" t="str"/>
    </x:row>
    <x:row r="945">
      <x:c r="A945" s="72" t="n">
        <x:v>46240.903391203705</x:v>
      </x:c>
      <x:c r="B945" s="32" t="str">
        <x:v>土壤pH</x:v>
      </x:c>
      <x:c r="C945" s="32" t="str">
        <x:v>W1</x:v>
      </x:c>
      <x:c r="D945" s="32" t="str">
        <x:v>V2</x:v>
      </x:c>
      <x:c r="E945" s="86" t="n">
        <x:f>COUNT('24_W1_pH'!C34,'24_W1_pH'!E34,'24_W1_pH'!G34,'24_W1_pH'!I34)</x:f>
        <x:v>4</x:v>
      </x:c>
      <x:c r="F945" s="90" t="n">
        <x:f>IF(E945=0,"",AVERAGE('24_W1_pH'!C34,'24_W1_pH'!E34,'24_W1_pH'!G34,'24_W1_pH'!I34))</x:f>
        <x:v>6.3875</x:v>
      </x:c>
      <x:c r="G945" s="90" t="n">
        <x:f>IF(E945&lt;2,"",STDEV.S('24_W1_pH'!C34,'24_W1_pH'!E34,'24_W1_pH'!G34,'24_W1_pH'!I34))</x:f>
        <x:v>0.06701989754294377</x:v>
      </x:c>
      <x:c r="H945" s="90" t="n">
        <x:f>IF(E945=0,"",MIN('24_W1_pH'!C34,'24_W1_pH'!E34,'24_W1_pH'!G34,'24_W1_pH'!I34))</x:f>
        <x:v>6.32</x:v>
      </x:c>
      <x:c r="I945" s="90" t="n">
        <x:f>IF(E945=0,"",MAX('24_W1_pH'!C34,'24_W1_pH'!E34,'24_W1_pH'!G34,'24_W1_pH'!I34))</x:f>
        <x:v>6.48</x:v>
      </x:c>
      <x:c r="J945" s="32" t="str"/>
    </x:row>
    <x:row r="946">
      <x:c r="A946" s="72" t="n">
        <x:v>46240.906863425924</x:v>
      </x:c>
      <x:c r="B946" s="32" t="str">
        <x:v>土壤pH</x:v>
      </x:c>
      <x:c r="C946" s="32" t="str">
        <x:v>W1</x:v>
      </x:c>
      <x:c r="D946" s="32" t="str">
        <x:v>V1</x:v>
      </x:c>
      <x:c r="E946" s="86" t="n">
        <x:f>COUNT('24_W1_pH'!B35,'24_W1_pH'!D35,'24_W1_pH'!F35,'24_W1_pH'!H35)</x:f>
        <x:v>4</x:v>
      </x:c>
      <x:c r="F946" s="90" t="n">
        <x:f>IF(E946=0,"",AVERAGE('24_W1_pH'!B35,'24_W1_pH'!D35,'24_W1_pH'!F35,'24_W1_pH'!H35))</x:f>
        <x:v>6.3999999999999995</x:v>
      </x:c>
      <x:c r="G946" s="90" t="n">
        <x:f>IF(E946&lt;2,"",STDEV.S('24_W1_pH'!B35,'24_W1_pH'!D35,'24_W1_pH'!F35,'24_W1_pH'!H35))</x:f>
        <x:v>0.08366600265340747</x:v>
      </x:c>
      <x:c r="H946" s="90" t="n">
        <x:f>IF(E946=0,"",MIN('24_W1_pH'!B35,'24_W1_pH'!D35,'24_W1_pH'!F35,'24_W1_pH'!H35))</x:f>
        <x:v>6.33</x:v>
      </x:c>
      <x:c r="I946" s="90" t="n">
        <x:f>IF(E946=0,"",MAX('24_W1_pH'!B35,'24_W1_pH'!D35,'24_W1_pH'!F35,'24_W1_pH'!H35))</x:f>
        <x:v>6.51</x:v>
      </x:c>
      <x:c r="J946" s="32" t="str"/>
    </x:row>
    <x:row r="947">
      <x:c r="A947" s="72" t="n">
        <x:v>46240.906863425924</x:v>
      </x:c>
      <x:c r="B947" s="32" t="str">
        <x:v>土壤pH</x:v>
      </x:c>
      <x:c r="C947" s="32" t="str">
        <x:v>W1</x:v>
      </x:c>
      <x:c r="D947" s="32" t="str">
        <x:v>V2</x:v>
      </x:c>
      <x:c r="E947" s="86" t="n">
        <x:f>COUNT('24_W1_pH'!C35,'24_W1_pH'!E35,'24_W1_pH'!G35,'24_W1_pH'!I35)</x:f>
        <x:v>4</x:v>
      </x:c>
      <x:c r="F947" s="90" t="n">
        <x:f>IF(E947=0,"",AVERAGE('24_W1_pH'!C35,'24_W1_pH'!E35,'24_W1_pH'!G35,'24_W1_pH'!I35))</x:f>
        <x:v>6.3875</x:v>
      </x:c>
      <x:c r="G947" s="90" t="n">
        <x:f>IF(E947&lt;2,"",STDEV.S('24_W1_pH'!C35,'24_W1_pH'!E35,'24_W1_pH'!G35,'24_W1_pH'!I35))</x:f>
        <x:v>0.06701989754294377</x:v>
      </x:c>
      <x:c r="H947" s="90" t="n">
        <x:f>IF(E947=0,"",MIN('24_W1_pH'!C35,'24_W1_pH'!E35,'24_W1_pH'!G35,'24_W1_pH'!I35))</x:f>
        <x:v>6.32</x:v>
      </x:c>
      <x:c r="I947" s="90" t="n">
        <x:f>IF(E947=0,"",MAX('24_W1_pH'!C35,'24_W1_pH'!E35,'24_W1_pH'!G35,'24_W1_pH'!I35))</x:f>
        <x:v>6.48</x:v>
      </x:c>
      <x:c r="J947" s="32" t="str"/>
    </x:row>
    <x:row r="948">
      <x:c r="A948" s="72" t="n">
        <x:v>46240.91033564815</x:v>
      </x:c>
      <x:c r="B948" s="32" t="str">
        <x:v>土壤pH</x:v>
      </x:c>
      <x:c r="C948" s="32" t="str">
        <x:v>W1</x:v>
      </x:c>
      <x:c r="D948" s="32" t="str">
        <x:v>V1</x:v>
      </x:c>
      <x:c r="E948" s="86" t="n">
        <x:f>COUNT('24_W1_pH'!B36,'24_W1_pH'!D36,'24_W1_pH'!F36,'24_W1_pH'!H36)</x:f>
        <x:v>4</x:v>
      </x:c>
      <x:c r="F948" s="90" t="n">
        <x:f>IF(E948=0,"",AVERAGE('24_W1_pH'!B36,'24_W1_pH'!D36,'24_W1_pH'!F36,'24_W1_pH'!H36))</x:f>
        <x:v>6.4025</x:v>
      </x:c>
      <x:c r="G948" s="90" t="n">
        <x:f>IF(E948&lt;2,"",STDEV.S('24_W1_pH'!B36,'24_W1_pH'!D36,'24_W1_pH'!F36,'24_W1_pH'!H36))</x:f>
        <x:v>0.08139410298049848</x:v>
      </x:c>
      <x:c r="H948" s="90" t="n">
        <x:f>IF(E948=0,"",MIN('24_W1_pH'!B36,'24_W1_pH'!D36,'24_W1_pH'!F36,'24_W1_pH'!H36))</x:f>
        <x:v>6.33</x:v>
      </x:c>
      <x:c r="I948" s="90" t="n">
        <x:f>IF(E948=0,"",MAX('24_W1_pH'!B36,'24_W1_pH'!D36,'24_W1_pH'!F36,'24_W1_pH'!H36))</x:f>
        <x:v>6.51</x:v>
      </x:c>
      <x:c r="J948" s="32" t="str"/>
    </x:row>
    <x:row r="949">
      <x:c r="A949" s="72" t="n">
        <x:v>46240.91033564815</x:v>
      </x:c>
      <x:c r="B949" s="32" t="str">
        <x:v>土壤pH</x:v>
      </x:c>
      <x:c r="C949" s="32" t="str">
        <x:v>W1</x:v>
      </x:c>
      <x:c r="D949" s="32" t="str">
        <x:v>V2</x:v>
      </x:c>
      <x:c r="E949" s="86" t="n">
        <x:f>COUNT('24_W1_pH'!C36,'24_W1_pH'!E36,'24_W1_pH'!G36,'24_W1_pH'!I36)</x:f>
        <x:v>4</x:v>
      </x:c>
      <x:c r="F949" s="90" t="n">
        <x:f>IF(E949=0,"",AVERAGE('24_W1_pH'!C36,'24_W1_pH'!E36,'24_W1_pH'!G36,'24_W1_pH'!I36))</x:f>
        <x:v>6.3875</x:v>
      </x:c>
      <x:c r="G949" s="90" t="n">
        <x:f>IF(E949&lt;2,"",STDEV.S('24_W1_pH'!C36,'24_W1_pH'!E36,'24_W1_pH'!G36,'24_W1_pH'!I36))</x:f>
        <x:v>0.06551081335677854</x:v>
      </x:c>
      <x:c r="H949" s="90" t="n">
        <x:f>IF(E949=0,"",MIN('24_W1_pH'!C36,'24_W1_pH'!E36,'24_W1_pH'!G36,'24_W1_pH'!I36))</x:f>
        <x:v>6.31</x:v>
      </x:c>
      <x:c r="I949" s="90" t="n">
        <x:f>IF(E949=0,"",MAX('24_W1_pH'!C36,'24_W1_pH'!E36,'24_W1_pH'!G36,'24_W1_pH'!I36))</x:f>
        <x:v>6.47</x:v>
      </x:c>
      <x:c r="J949" s="32" t="str"/>
    </x:row>
    <x:row r="950">
      <x:c r="A950" s="72" t="n">
        <x:v>46240.91380787037</x:v>
      </x:c>
      <x:c r="B950" s="32" t="str">
        <x:v>土壤pH</x:v>
      </x:c>
      <x:c r="C950" s="32" t="str">
        <x:v>W1</x:v>
      </x:c>
      <x:c r="D950" s="32" t="str">
        <x:v>V1</x:v>
      </x:c>
      <x:c r="E950" s="86" t="n">
        <x:f>COUNT('24_W1_pH'!B37,'24_W1_pH'!D37,'24_W1_pH'!F37,'24_W1_pH'!H37)</x:f>
        <x:v>4</x:v>
      </x:c>
      <x:c r="F950" s="90" t="n">
        <x:f>IF(E950=0,"",AVERAGE('24_W1_pH'!B37,'24_W1_pH'!D37,'24_W1_pH'!F37,'24_W1_pH'!H37))</x:f>
        <x:v>6.4025</x:v>
      </x:c>
      <x:c r="G950" s="90" t="n">
        <x:f>IF(E950&lt;2,"",STDEV.S('24_W1_pH'!B37,'24_W1_pH'!D37,'24_W1_pH'!F37,'24_W1_pH'!H37))</x:f>
        <x:v>0.07499999999999991</x:v>
      </x:c>
      <x:c r="H950" s="90" t="n">
        <x:f>IF(E950=0,"",MIN('24_W1_pH'!B37,'24_W1_pH'!D37,'24_W1_pH'!F37,'24_W1_pH'!H37))</x:f>
        <x:v>6.33</x:v>
      </x:c>
      <x:c r="I950" s="90" t="n">
        <x:f>IF(E950=0,"",MAX('24_W1_pH'!B37,'24_W1_pH'!D37,'24_W1_pH'!F37,'24_W1_pH'!H37))</x:f>
        <x:v>6.5</x:v>
      </x:c>
      <x:c r="J950" s="32" t="str"/>
    </x:row>
    <x:row r="951">
      <x:c r="A951" s="72" t="n">
        <x:v>46240.91380787037</x:v>
      </x:c>
      <x:c r="B951" s="32" t="str">
        <x:v>土壤pH</x:v>
      </x:c>
      <x:c r="C951" s="32" t="str">
        <x:v>W1</x:v>
      </x:c>
      <x:c r="D951" s="32" t="str">
        <x:v>V2</x:v>
      </x:c>
      <x:c r="E951" s="86" t="n">
        <x:f>COUNT('24_W1_pH'!C37,'24_W1_pH'!E37,'24_W1_pH'!G37,'24_W1_pH'!I37)</x:f>
        <x:v>4</x:v>
      </x:c>
      <x:c r="F951" s="90" t="n">
        <x:f>IF(E951=0,"",AVERAGE('24_W1_pH'!C37,'24_W1_pH'!E37,'24_W1_pH'!G37,'24_W1_pH'!I37))</x:f>
        <x:v>6.390000000000001</x:v>
      </x:c>
      <x:c r="G951" s="90" t="n">
        <x:f>IF(E951&lt;2,"",STDEV.S('24_W1_pH'!C37,'24_W1_pH'!E37,'24_W1_pH'!G37,'24_W1_pH'!I37))</x:f>
        <x:v>0.06582805886043841</x:v>
      </x:c>
      <x:c r="H951" s="90" t="n">
        <x:f>IF(E951=0,"",MIN('24_W1_pH'!C37,'24_W1_pH'!E37,'24_W1_pH'!G37,'24_W1_pH'!I37))</x:f>
        <x:v>6.31</x:v>
      </x:c>
      <x:c r="I951" s="90" t="n">
        <x:f>IF(E951=0,"",MAX('24_W1_pH'!C37,'24_W1_pH'!E37,'24_W1_pH'!G37,'24_W1_pH'!I37))</x:f>
        <x:v>6.47</x:v>
      </x:c>
      <x:c r="J951" s="32" t="str"/>
    </x:row>
    <x:row r="952">
      <x:c r="A952" s="72" t="n">
        <x:v>46240.917280092595</x:v>
      </x:c>
      <x:c r="B952" s="32" t="str">
        <x:v>土壤pH</x:v>
      </x:c>
      <x:c r="C952" s="32" t="str">
        <x:v>W1</x:v>
      </x:c>
      <x:c r="D952" s="32" t="str">
        <x:v>V1</x:v>
      </x:c>
      <x:c r="E952" s="86" t="n">
        <x:f>COUNT('24_W1_pH'!B38,'24_W1_pH'!D38,'24_W1_pH'!F38,'24_W1_pH'!H38)</x:f>
        <x:v>4</x:v>
      </x:c>
      <x:c r="F952" s="90" t="n">
        <x:f>IF(E952=0,"",AVERAGE('24_W1_pH'!B38,'24_W1_pH'!D38,'24_W1_pH'!F38,'24_W1_pH'!H38))</x:f>
        <x:v>6.4</x:v>
      </x:c>
      <x:c r="G952" s="90" t="n">
        <x:f>IF(E952&lt;2,"",STDEV.S('24_W1_pH'!B38,'24_W1_pH'!D38,'24_W1_pH'!F38,'24_W1_pH'!H38))</x:f>
        <x:v>0.07071067811865475</x:v>
      </x:c>
      <x:c r="H952" s="90" t="n">
        <x:f>IF(E952=0,"",MIN('24_W1_pH'!B38,'24_W1_pH'!D38,'24_W1_pH'!F38,'24_W1_pH'!H38))</x:f>
        <x:v>6.33</x:v>
      </x:c>
      <x:c r="I952" s="90" t="n">
        <x:f>IF(E952=0,"",MAX('24_W1_pH'!B38,'24_W1_pH'!D38,'24_W1_pH'!F38,'24_W1_pH'!H38))</x:f>
        <x:v>6.49</x:v>
      </x:c>
      <x:c r="J952" s="32" t="str"/>
    </x:row>
    <x:row r="953">
      <x:c r="A953" s="72" t="n">
        <x:v>46240.917280092595</x:v>
      </x:c>
      <x:c r="B953" s="32" t="str">
        <x:v>土壤pH</x:v>
      </x:c>
      <x:c r="C953" s="32" t="str">
        <x:v>W1</x:v>
      </x:c>
      <x:c r="D953" s="32" t="str">
        <x:v>V2</x:v>
      </x:c>
      <x:c r="E953" s="86" t="n">
        <x:f>COUNT('24_W1_pH'!C38,'24_W1_pH'!E38,'24_W1_pH'!G38,'24_W1_pH'!I38)</x:f>
        <x:v>4</x:v>
      </x:c>
      <x:c r="F953" s="90" t="n">
        <x:f>IF(E953=0,"",AVERAGE('24_W1_pH'!C38,'24_W1_pH'!E38,'24_W1_pH'!G38,'24_W1_pH'!I38))</x:f>
        <x:v>6.39</x:v>
      </x:c>
      <x:c r="G953" s="90" t="n">
        <x:f>IF(E953&lt;2,"",STDEV.S('24_W1_pH'!C38,'24_W1_pH'!E38,'24_W1_pH'!G38,'24_W1_pH'!I38))</x:f>
        <x:v>0.07071067811865475</x:v>
      </x:c>
      <x:c r="H953" s="90" t="n">
        <x:f>IF(E953=0,"",MIN('24_W1_pH'!C38,'24_W1_pH'!E38,'24_W1_pH'!G38,'24_W1_pH'!I38))</x:f>
        <x:v>6.3</x:v>
      </x:c>
      <x:c r="I953" s="90" t="n">
        <x:f>IF(E953=0,"",MAX('24_W1_pH'!C38,'24_W1_pH'!E38,'24_W1_pH'!G38,'24_W1_pH'!I38))</x:f>
        <x:v>6.47</x:v>
      </x:c>
      <x:c r="J953" s="32" t="str"/>
    </x:row>
    <x:row r="954">
      <x:c r="A954" s="72" t="n">
        <x:v>46240.920752314814</x:v>
      </x:c>
      <x:c r="B954" s="32" t="str">
        <x:v>土壤pH</x:v>
      </x:c>
      <x:c r="C954" s="32" t="str">
        <x:v>W1</x:v>
      </x:c>
      <x:c r="D954" s="32" t="str">
        <x:v>V1</x:v>
      </x:c>
      <x:c r="E954" s="86" t="n">
        <x:f>COUNT('24_W1_pH'!B39,'24_W1_pH'!D39,'24_W1_pH'!F39,'24_W1_pH'!H39)</x:f>
        <x:v>4</x:v>
      </x:c>
      <x:c r="F954" s="90" t="n">
        <x:f>IF(E954=0,"",AVERAGE('24_W1_pH'!B39,'24_W1_pH'!D39,'24_W1_pH'!F39,'24_W1_pH'!H39))</x:f>
        <x:v>6.3975</x:v>
      </x:c>
      <x:c r="G954" s="90" t="n">
        <x:f>IF(E954&lt;2,"",STDEV.S('24_W1_pH'!B39,'24_W1_pH'!D39,'24_W1_pH'!F39,'24_W1_pH'!H39))</x:f>
        <x:v>0.06849574196011511</x:v>
      </x:c>
      <x:c r="H954" s="90" t="n">
        <x:f>IF(E954=0,"",MIN('24_W1_pH'!B39,'24_W1_pH'!D39,'24_W1_pH'!F39,'24_W1_pH'!H39))</x:f>
        <x:v>6.32</x:v>
      </x:c>
      <x:c r="I954" s="90" t="n">
        <x:f>IF(E954=0,"",MAX('24_W1_pH'!B39,'24_W1_pH'!D39,'24_W1_pH'!F39,'24_W1_pH'!H39))</x:f>
        <x:v>6.48</x:v>
      </x:c>
      <x:c r="J954" s="32" t="str"/>
    </x:row>
    <x:row r="955">
      <x:c r="A955" s="72" t="n">
        <x:v>46240.920752314814</x:v>
      </x:c>
      <x:c r="B955" s="32" t="str">
        <x:v>土壤pH</x:v>
      </x:c>
      <x:c r="C955" s="32" t="str">
        <x:v>W1</x:v>
      </x:c>
      <x:c r="D955" s="32" t="str">
        <x:v>V2</x:v>
      </x:c>
      <x:c r="E955" s="86" t="n">
        <x:f>COUNT('24_W1_pH'!C39,'24_W1_pH'!E39,'24_W1_pH'!G39,'24_W1_pH'!I39)</x:f>
        <x:v>4</x:v>
      </x:c>
      <x:c r="F955" s="90" t="n">
        <x:f>IF(E955=0,"",AVERAGE('24_W1_pH'!C39,'24_W1_pH'!E39,'24_W1_pH'!G39,'24_W1_pH'!I39))</x:f>
        <x:v>6.3875</x:v>
      </x:c>
      <x:c r="G955" s="90" t="n">
        <x:f>IF(E955&lt;2,"",STDEV.S('24_W1_pH'!C39,'24_W1_pH'!E39,'24_W1_pH'!G39,'24_W1_pH'!I39))</x:f>
        <x:v>0.07499999999999991</x:v>
      </x:c>
      <x:c r="H955" s="90" t="n">
        <x:f>IF(E955=0,"",MIN('24_W1_pH'!C39,'24_W1_pH'!E39,'24_W1_pH'!G39,'24_W1_pH'!I39))</x:f>
        <x:v>6.29</x:v>
      </x:c>
      <x:c r="I955" s="90" t="n">
        <x:f>IF(E955=0,"",MAX('24_W1_pH'!C39,'24_W1_pH'!E39,'24_W1_pH'!G39,'24_W1_pH'!I39))</x:f>
        <x:v>6.47</x:v>
      </x:c>
      <x:c r="J955" s="32" t="str"/>
    </x:row>
    <x:row r="956">
      <x:c r="A956" s="72" t="n">
        <x:v>46240.92422453704</x:v>
      </x:c>
      <x:c r="B956" s="32" t="str">
        <x:v>土壤pH</x:v>
      </x:c>
      <x:c r="C956" s="32" t="str">
        <x:v>W1</x:v>
      </x:c>
      <x:c r="D956" s="32" t="str">
        <x:v>V1</x:v>
      </x:c>
      <x:c r="E956" s="86" t="n">
        <x:f>COUNT('24_W1_pH'!B40,'24_W1_pH'!D40,'24_W1_pH'!F40,'24_W1_pH'!H40)</x:f>
        <x:v>4</x:v>
      </x:c>
      <x:c r="F956" s="90" t="n">
        <x:f>IF(E956=0,"",AVERAGE('24_W1_pH'!B40,'24_W1_pH'!D40,'24_W1_pH'!F40,'24_W1_pH'!H40))</x:f>
        <x:v>6.4</x:v>
      </x:c>
      <x:c r="G956" s="90" t="n">
        <x:f>IF(E956&lt;2,"",STDEV.S('24_W1_pH'!B40,'24_W1_pH'!D40,'24_W1_pH'!F40,'24_W1_pH'!H40))</x:f>
        <x:v>0.06976149845485449</x:v>
      </x:c>
      <x:c r="H956" s="90" t="n">
        <x:f>IF(E956=0,"",MIN('24_W1_pH'!B40,'24_W1_pH'!D40,'24_W1_pH'!F40,'24_W1_pH'!H40))</x:f>
        <x:v>6.32</x:v>
      </x:c>
      <x:c r="I956" s="90" t="n">
        <x:f>IF(E956=0,"",MAX('24_W1_pH'!B40,'24_W1_pH'!D40,'24_W1_pH'!F40,'24_W1_pH'!H40))</x:f>
        <x:v>6.48</x:v>
      </x:c>
      <x:c r="J956" s="32" t="str"/>
    </x:row>
    <x:row r="957">
      <x:c r="A957" s="72" t="n">
        <x:v>46240.92422453704</x:v>
      </x:c>
      <x:c r="B957" s="32" t="str">
        <x:v>土壤pH</x:v>
      </x:c>
      <x:c r="C957" s="32" t="str">
        <x:v>W1</x:v>
      </x:c>
      <x:c r="D957" s="32" t="str">
        <x:v>V2</x:v>
      </x:c>
      <x:c r="E957" s="86" t="n">
        <x:f>COUNT('24_W1_pH'!C40,'24_W1_pH'!E40,'24_W1_pH'!G40,'24_W1_pH'!I40)</x:f>
        <x:v>4</x:v>
      </x:c>
      <x:c r="F957" s="90" t="n">
        <x:f>IF(E957=0,"",AVERAGE('24_W1_pH'!C40,'24_W1_pH'!E40,'24_W1_pH'!G40,'24_W1_pH'!I40))</x:f>
        <x:v>6.385</x:v>
      </x:c>
      <x:c r="G957" s="90" t="n">
        <x:f>IF(E957&lt;2,"",STDEV.S('24_W1_pH'!C40,'24_W1_pH'!E40,'24_W1_pH'!G40,'24_W1_pH'!I40))</x:f>
        <x:v>0.08103497187428792</x:v>
      </x:c>
      <x:c r="H957" s="90" t="n">
        <x:f>IF(E957=0,"",MIN('24_W1_pH'!C40,'24_W1_pH'!E40,'24_W1_pH'!G40,'24_W1_pH'!I40))</x:f>
        <x:v>6.28</x:v>
      </x:c>
      <x:c r="I957" s="90" t="n">
        <x:f>IF(E957=0,"",MAX('24_W1_pH'!C40,'24_W1_pH'!E40,'24_W1_pH'!G40,'24_W1_pH'!I40))</x:f>
        <x:v>6.47</x:v>
      </x:c>
      <x:c r="J957" s="32" t="str"/>
    </x:row>
    <x:row r="958">
      <x:c r="A958" s="72" t="n">
        <x:v>46240.92769675926</x:v>
      </x:c>
      <x:c r="B958" s="32" t="str">
        <x:v>土壤pH</x:v>
      </x:c>
      <x:c r="C958" s="32" t="str">
        <x:v>W1</x:v>
      </x:c>
      <x:c r="D958" s="32" t="str">
        <x:v>V1</x:v>
      </x:c>
      <x:c r="E958" s="86" t="n">
        <x:f>COUNT('24_W1_pH'!B41,'24_W1_pH'!D41,'24_W1_pH'!F41,'24_W1_pH'!H41)</x:f>
        <x:v>4</x:v>
      </x:c>
      <x:c r="F958" s="90" t="n">
        <x:f>IF(E958=0,"",AVERAGE('24_W1_pH'!B41,'24_W1_pH'!D41,'24_W1_pH'!F41,'24_W1_pH'!H41))</x:f>
        <x:v>6.397499999999999</x:v>
      </x:c>
      <x:c r="G958" s="90" t="n">
        <x:f>IF(E958&lt;2,"",STDEV.S('24_W1_pH'!B41,'24_W1_pH'!D41,'24_W1_pH'!F41,'24_W1_pH'!H41))</x:f>
        <x:v>0.0689806736219163</x:v>
      </x:c>
      <x:c r="H958" s="90" t="n">
        <x:f>IF(E958=0,"",MIN('24_W1_pH'!B41,'24_W1_pH'!D41,'24_W1_pH'!F41,'24_W1_pH'!H41))</x:f>
        <x:v>6.31</x:v>
      </x:c>
      <x:c r="I958" s="90" t="n">
        <x:f>IF(E958=0,"",MAX('24_W1_pH'!B41,'24_W1_pH'!D41,'24_W1_pH'!F41,'24_W1_pH'!H41))</x:f>
        <x:v>6.47</x:v>
      </x:c>
      <x:c r="J958" s="32" t="str"/>
    </x:row>
    <x:row r="959">
      <x:c r="A959" s="72" t="n">
        <x:v>46240.92769675926</x:v>
      </x:c>
      <x:c r="B959" s="32" t="str">
        <x:v>土壤pH</x:v>
      </x:c>
      <x:c r="C959" s="32" t="str">
        <x:v>W1</x:v>
      </x:c>
      <x:c r="D959" s="32" t="str">
        <x:v>V2</x:v>
      </x:c>
      <x:c r="E959" s="86" t="n">
        <x:f>COUNT('24_W1_pH'!C41,'24_W1_pH'!E41,'24_W1_pH'!G41,'24_W1_pH'!I41)</x:f>
        <x:v>4</x:v>
      </x:c>
      <x:c r="F959" s="90" t="n">
        <x:f>IF(E959=0,"",AVERAGE('24_W1_pH'!C41,'24_W1_pH'!E41,'24_W1_pH'!G41,'24_W1_pH'!I41))</x:f>
        <x:v>6.387500000000001</x:v>
      </x:c>
      <x:c r="G959" s="90" t="n">
        <x:f>IF(E959&lt;2,"",STDEV.S('24_W1_pH'!C41,'24_W1_pH'!E41,'24_W1_pH'!G41,'24_W1_pH'!I41))</x:f>
        <x:v>0.0846069343099804</x:v>
      </x:c>
      <x:c r="H959" s="90" t="n">
        <x:f>IF(E959=0,"",MIN('24_W1_pH'!C41,'24_W1_pH'!E41,'24_W1_pH'!G41,'24_W1_pH'!I41))</x:f>
        <x:v>6.28</x:v>
      </x:c>
      <x:c r="I959" s="90" t="n">
        <x:f>IF(E959=0,"",MAX('24_W1_pH'!C41,'24_W1_pH'!E41,'24_W1_pH'!G41,'24_W1_pH'!I41))</x:f>
        <x:v>6.48</x:v>
      </x:c>
      <x:c r="J959" s="32" t="str"/>
    </x:row>
    <x:row r="960">
      <x:c r="A960" s="72" t="n">
        <x:v>46240.93116898148</x:v>
      </x:c>
      <x:c r="B960" s="32" t="str">
        <x:v>土壤pH</x:v>
      </x:c>
      <x:c r="C960" s="32" t="str">
        <x:v>W1</x:v>
      </x:c>
      <x:c r="D960" s="32" t="str">
        <x:v>V1</x:v>
      </x:c>
      <x:c r="E960" s="86" t="n">
        <x:f>COUNT('24_W1_pH'!B42,'24_W1_pH'!D42,'24_W1_pH'!F42,'24_W1_pH'!H42)</x:f>
        <x:v>4</x:v>
      </x:c>
      <x:c r="F960" s="90" t="n">
        <x:f>IF(E960=0,"",AVERAGE('24_W1_pH'!B42,'24_W1_pH'!D42,'24_W1_pH'!F42,'24_W1_pH'!H42))</x:f>
        <x:v>6.3999999999999995</x:v>
      </x:c>
      <x:c r="G960" s="90" t="n">
        <x:f>IF(E960&lt;2,"",STDEV.S('24_W1_pH'!B42,'24_W1_pH'!D42,'24_W1_pH'!F42,'24_W1_pH'!H42))</x:f>
        <x:v>0.07071067811865492</x:v>
      </x:c>
      <x:c r="H960" s="90" t="n">
        <x:f>IF(E960=0,"",MIN('24_W1_pH'!B42,'24_W1_pH'!D42,'24_W1_pH'!F42,'24_W1_pH'!H42))</x:f>
        <x:v>6.31</x:v>
      </x:c>
      <x:c r="I960" s="90" t="n">
        <x:f>IF(E960=0,"",MAX('24_W1_pH'!B42,'24_W1_pH'!D42,'24_W1_pH'!F42,'24_W1_pH'!H42))</x:f>
        <x:v>6.47</x:v>
      </x:c>
      <x:c r="J960" s="32" t="str"/>
    </x:row>
    <x:row r="961">
      <x:c r="A961" s="72" t="n">
        <x:v>46240.93116898148</x:v>
      </x:c>
      <x:c r="B961" s="32" t="str">
        <x:v>土壤pH</x:v>
      </x:c>
      <x:c r="C961" s="32" t="str">
        <x:v>W1</x:v>
      </x:c>
      <x:c r="D961" s="32" t="str">
        <x:v>V2</x:v>
      </x:c>
      <x:c r="E961" s="86" t="n">
        <x:f>COUNT('24_W1_pH'!C42,'24_W1_pH'!E42,'24_W1_pH'!G42,'24_W1_pH'!I42)</x:f>
        <x:v>4</x:v>
      </x:c>
      <x:c r="F961" s="90" t="n">
        <x:f>IF(E961=0,"",AVERAGE('24_W1_pH'!C42,'24_W1_pH'!E42,'24_W1_pH'!G42,'24_W1_pH'!I42))</x:f>
        <x:v>6.385</x:v>
      </x:c>
      <x:c r="G961" s="90" t="n">
        <x:f>IF(E961&lt;2,"",STDEV.S('24_W1_pH'!C42,'24_W1_pH'!E42,'24_W1_pH'!G42,'24_W1_pH'!I42))</x:f>
        <x:v>0.09110433579144324</x:v>
      </x:c>
      <x:c r="H961" s="90" t="n">
        <x:f>IF(E961=0,"",MIN('24_W1_pH'!C42,'24_W1_pH'!E42,'24_W1_pH'!G42,'24_W1_pH'!I42))</x:f>
        <x:v>6.27</x:v>
      </x:c>
      <x:c r="I961" s="90" t="n">
        <x:f>IF(E961=0,"",MAX('24_W1_pH'!C42,'24_W1_pH'!E42,'24_W1_pH'!G42,'24_W1_pH'!I42))</x:f>
        <x:v>6.48</x:v>
      </x:c>
      <x:c r="J961" s="32" t="str"/>
    </x:row>
    <x:row r="962">
      <x:c r="A962" s="72" t="n">
        <x:v>46240.934641203705</x:v>
      </x:c>
      <x:c r="B962" s="32" t="str">
        <x:v>土壤pH</x:v>
      </x:c>
      <x:c r="C962" s="32" t="str">
        <x:v>W1</x:v>
      </x:c>
      <x:c r="D962" s="32" t="str">
        <x:v>V1</x:v>
      </x:c>
      <x:c r="E962" s="86" t="n">
        <x:f>COUNT('24_W1_pH'!B43,'24_W1_pH'!D43,'24_W1_pH'!F43,'24_W1_pH'!H43)</x:f>
        <x:v>4</x:v>
      </x:c>
      <x:c r="F962" s="90" t="n">
        <x:f>IF(E962=0,"",AVERAGE('24_W1_pH'!B43,'24_W1_pH'!D43,'24_W1_pH'!F43,'24_W1_pH'!H43))</x:f>
        <x:v>6.3999999999999995</x:v>
      </x:c>
      <x:c r="G962" s="90" t="n">
        <x:f>IF(E962&lt;2,"",STDEV.S('24_W1_pH'!B43,'24_W1_pH'!D43,'24_W1_pH'!F43,'24_W1_pH'!H43))</x:f>
        <x:v>0.077028133388609</x:v>
      </x:c>
      <x:c r="H962" s="90" t="n">
        <x:f>IF(E962=0,"",MIN('24_W1_pH'!B43,'24_W1_pH'!D43,'24_W1_pH'!F43,'24_W1_pH'!H43))</x:f>
        <x:v>6.3</x:v>
      </x:c>
      <x:c r="I962" s="90" t="n">
        <x:f>IF(E962=0,"",MAX('24_W1_pH'!B43,'24_W1_pH'!D43,'24_W1_pH'!F43,'24_W1_pH'!H43))</x:f>
        <x:v>6.47</x:v>
      </x:c>
      <x:c r="J962" s="32" t="str"/>
    </x:row>
    <x:row r="963">
      <x:c r="A963" s="72" t="n">
        <x:v>46240.934641203705</x:v>
      </x:c>
      <x:c r="B963" s="32" t="str">
        <x:v>土壤pH</x:v>
      </x:c>
      <x:c r="C963" s="32" t="str">
        <x:v>W1</x:v>
      </x:c>
      <x:c r="D963" s="32" t="str">
        <x:v>V2</x:v>
      </x:c>
      <x:c r="E963" s="86" t="n">
        <x:f>COUNT('24_W1_pH'!C43,'24_W1_pH'!E43,'24_W1_pH'!G43,'24_W1_pH'!I43)</x:f>
        <x:v>4</x:v>
      </x:c>
      <x:c r="F963" s="90" t="n">
        <x:f>IF(E963=0,"",AVERAGE('24_W1_pH'!C43,'24_W1_pH'!E43,'24_W1_pH'!G43,'24_W1_pH'!I43))</x:f>
        <x:v>6.3875</x:v>
      </x:c>
      <x:c r="G963" s="90" t="n">
        <x:f>IF(E963&lt;2,"",STDEV.S('24_W1_pH'!C43,'24_W1_pH'!E43,'24_W1_pH'!G43,'24_W1_pH'!I43))</x:f>
        <x:v>0.09464847243000474</x:v>
      </x:c>
      <x:c r="H963" s="90" t="n">
        <x:f>IF(E963=0,"",MIN('24_W1_pH'!C43,'24_W1_pH'!E43,'24_W1_pH'!G43,'24_W1_pH'!I43))</x:f>
        <x:v>6.27</x:v>
      </x:c>
      <x:c r="I963" s="90" t="n">
        <x:f>IF(E963=0,"",MAX('24_W1_pH'!C43,'24_W1_pH'!E43,'24_W1_pH'!G43,'24_W1_pH'!I43))</x:f>
        <x:v>6.49</x:v>
      </x:c>
      <x:c r="J963" s="32" t="str"/>
    </x:row>
    <x:row r="964">
      <x:c r="A964" s="72" t="n">
        <x:v>46240.938113425924</x:v>
      </x:c>
      <x:c r="B964" s="32" t="str">
        <x:v>土壤pH</x:v>
      </x:c>
      <x:c r="C964" s="32" t="str">
        <x:v>W1</x:v>
      </x:c>
      <x:c r="D964" s="32" t="str">
        <x:v>V1</x:v>
      </x:c>
      <x:c r="E964" s="86" t="n">
        <x:f>COUNT('24_W1_pH'!B44,'24_W1_pH'!D44,'24_W1_pH'!F44,'24_W1_pH'!H44)</x:f>
        <x:v>4</x:v>
      </x:c>
      <x:c r="F964" s="90" t="n">
        <x:f>IF(E964=0,"",AVERAGE('24_W1_pH'!B44,'24_W1_pH'!D44,'24_W1_pH'!F44,'24_W1_pH'!H44))</x:f>
        <x:v>6.3975</x:v>
      </x:c>
      <x:c r="G964" s="90" t="n">
        <x:f>IF(E964&lt;2,"",STDEV.S('24_W1_pH'!B44,'24_W1_pH'!D44,'24_W1_pH'!F44,'24_W1_pH'!H44))</x:f>
        <x:v>0.08139410298049848</x:v>
      </x:c>
      <x:c r="H964" s="90" t="n">
        <x:f>IF(E964=0,"",MIN('24_W1_pH'!B44,'24_W1_pH'!D44,'24_W1_pH'!F44,'24_W1_pH'!H44))</x:f>
        <x:v>6.29</x:v>
      </x:c>
      <x:c r="I964" s="90" t="n">
        <x:f>IF(E964=0,"",MAX('24_W1_pH'!B44,'24_W1_pH'!D44,'24_W1_pH'!F44,'24_W1_pH'!H44))</x:f>
        <x:v>6.47</x:v>
      </x:c>
      <x:c r="J964" s="32" t="str"/>
    </x:row>
    <x:row r="965">
      <x:c r="A965" s="72" t="n">
        <x:v>46240.938113425924</x:v>
      </x:c>
      <x:c r="B965" s="32" t="str">
        <x:v>土壤pH</x:v>
      </x:c>
      <x:c r="C965" s="32" t="str">
        <x:v>W1</x:v>
      </x:c>
      <x:c r="D965" s="32" t="str">
        <x:v>V2</x:v>
      </x:c>
      <x:c r="E965" s="86" t="n">
        <x:f>COUNT('24_W1_pH'!C44,'24_W1_pH'!E44,'24_W1_pH'!G44,'24_W1_pH'!I44)</x:f>
        <x:v>4</x:v>
      </x:c>
      <x:c r="F965" s="90" t="n">
        <x:f>IF(E965=0,"",AVERAGE('24_W1_pH'!C44,'24_W1_pH'!E44,'24_W1_pH'!G44,'24_W1_pH'!I44))</x:f>
        <x:v>6.387499999999999</x:v>
      </x:c>
      <x:c r="G965" s="90" t="n">
        <x:f>IF(E965&lt;2,"",STDEV.S('24_W1_pH'!C44,'24_W1_pH'!E44,'24_W1_pH'!G44,'24_W1_pH'!I44))</x:f>
        <x:v>0.09945685831890479</x:v>
      </x:c>
      <x:c r="H965" s="90" t="n">
        <x:f>IF(E965=0,"",MIN('24_W1_pH'!C44,'24_W1_pH'!E44,'24_W1_pH'!G44,'24_W1_pH'!I44))</x:f>
        <x:v>6.27</x:v>
      </x:c>
      <x:c r="I965" s="90" t="n">
        <x:f>IF(E965=0,"",MAX('24_W1_pH'!C44,'24_W1_pH'!E44,'24_W1_pH'!G44,'24_W1_pH'!I44))</x:f>
        <x:v>6.5</x:v>
      </x:c>
      <x:c r="J965" s="32" t="str"/>
    </x:row>
    <x:row r="966">
      <x:c r="A966" s="72" t="n">
        <x:v>46240.94158564815</x:v>
      </x:c>
      <x:c r="B966" s="32" t="str">
        <x:v>土壤pH</x:v>
      </x:c>
      <x:c r="C966" s="32" t="str">
        <x:v>W1</x:v>
      </x:c>
      <x:c r="D966" s="32" t="str">
        <x:v>V1</x:v>
      </x:c>
      <x:c r="E966" s="86" t="n">
        <x:f>COUNT('24_W1_pH'!B45,'24_W1_pH'!D45,'24_W1_pH'!F45,'24_W1_pH'!H45)</x:f>
        <x:v>4</x:v>
      </x:c>
      <x:c r="F966" s="90" t="n">
        <x:f>IF(E966=0,"",AVERAGE('24_W1_pH'!B45,'24_W1_pH'!D45,'24_W1_pH'!F45,'24_W1_pH'!H45))</x:f>
        <x:v>6.3950000000000005</x:v>
      </x:c>
      <x:c r="G966" s="90" t="n">
        <x:f>IF(E966&lt;2,"",STDEV.S('24_W1_pH'!B45,'24_W1_pH'!D45,'24_W1_pH'!F45,'24_W1_pH'!H45))</x:f>
        <x:v>0.08888194417315569</x:v>
      </x:c>
      <x:c r="H966" s="90" t="n">
        <x:f>IF(E966=0,"",MIN('24_W1_pH'!B45,'24_W1_pH'!D45,'24_W1_pH'!F45,'24_W1_pH'!H45))</x:f>
        <x:v>6.28</x:v>
      </x:c>
      <x:c r="I966" s="90" t="n">
        <x:f>IF(E966=0,"",MAX('24_W1_pH'!B45,'24_W1_pH'!D45,'24_W1_pH'!F45,'24_W1_pH'!H45))</x:f>
        <x:v>6.47</x:v>
      </x:c>
      <x:c r="J966" s="32" t="str"/>
    </x:row>
    <x:row r="967">
      <x:c r="A967" s="72" t="n">
        <x:v>46240.94158564815</x:v>
      </x:c>
      <x:c r="B967" s="32" t="str">
        <x:v>土壤pH</x:v>
      </x:c>
      <x:c r="C967" s="32" t="str">
        <x:v>W1</x:v>
      </x:c>
      <x:c r="D967" s="32" t="str">
        <x:v>V2</x:v>
      </x:c>
      <x:c r="E967" s="86" t="n">
        <x:f>COUNT('24_W1_pH'!C45,'24_W1_pH'!E45,'24_W1_pH'!G45,'24_W1_pH'!I45)</x:f>
        <x:v>4</x:v>
      </x:c>
      <x:c r="F967" s="90" t="n">
        <x:f>IF(E967=0,"",AVERAGE('24_W1_pH'!C45,'24_W1_pH'!E45,'24_W1_pH'!G45,'24_W1_pH'!I45))</x:f>
        <x:v>6.385</x:v>
      </x:c>
      <x:c r="G967" s="90" t="n">
        <x:f>IF(E967&lt;2,"",STDEV.S('24_W1_pH'!C45,'24_W1_pH'!E45,'24_W1_pH'!G45,'24_W1_pH'!I45))</x:f>
        <x:v>0.1008298897483613</x:v>
      </x:c>
      <x:c r="H967" s="90" t="n">
        <x:f>IF(E967=0,"",MIN('24_W1_pH'!C45,'24_W1_pH'!E45,'24_W1_pH'!G45,'24_W1_pH'!I45))</x:f>
        <x:v>6.27</x:v>
      </x:c>
      <x:c r="I967" s="90" t="n">
        <x:f>IF(E967=0,"",MAX('24_W1_pH'!C45,'24_W1_pH'!E45,'24_W1_pH'!G45,'24_W1_pH'!I45))</x:f>
        <x:v>6.5</x:v>
      </x:c>
      <x:c r="J967" s="32" t="str"/>
    </x:row>
    <x:row r="968">
      <x:c r="A968" s="72" t="n">
        <x:v>46240.94505787037</x:v>
      </x:c>
      <x:c r="B968" s="32" t="str">
        <x:v>土壤pH</x:v>
      </x:c>
      <x:c r="C968" s="32" t="str">
        <x:v>W1</x:v>
      </x:c>
      <x:c r="D968" s="32" t="str">
        <x:v>V1</x:v>
      </x:c>
      <x:c r="E968" s="86" t="n">
        <x:f>COUNT('24_W1_pH'!B46,'24_W1_pH'!D46,'24_W1_pH'!F46,'24_W1_pH'!H46)</x:f>
        <x:v>4</x:v>
      </x:c>
      <x:c r="F968" s="90" t="n">
        <x:f>IF(E968=0,"",AVERAGE('24_W1_pH'!B46,'24_W1_pH'!D46,'24_W1_pH'!F46,'24_W1_pH'!H46))</x:f>
        <x:v>6.4</x:v>
      </x:c>
      <x:c r="G968" s="90" t="n">
        <x:f>IF(E968&lt;2,"",STDEV.S('24_W1_pH'!B46,'24_W1_pH'!D46,'24_W1_pH'!F46,'24_W1_pH'!H46))</x:f>
        <x:v>0.09416297927883684</x:v>
      </x:c>
      <x:c r="H968" s="90" t="n">
        <x:f>IF(E968=0,"",MIN('24_W1_pH'!B46,'24_W1_pH'!D46,'24_W1_pH'!F46,'24_W1_pH'!H46))</x:f>
        <x:v>6.28</x:v>
      </x:c>
      <x:c r="I968" s="90" t="n">
        <x:f>IF(E968=0,"",MAX('24_W1_pH'!B46,'24_W1_pH'!D46,'24_W1_pH'!F46,'24_W1_pH'!H46))</x:f>
        <x:v>6.48</x:v>
      </x:c>
      <x:c r="J968" s="32" t="str"/>
    </x:row>
    <x:row r="969">
      <x:c r="A969" s="72" t="n">
        <x:v>46240.94505787037</x:v>
      </x:c>
      <x:c r="B969" s="32" t="str">
        <x:v>土壤pH</x:v>
      </x:c>
      <x:c r="C969" s="32" t="str">
        <x:v>W1</x:v>
      </x:c>
      <x:c r="D969" s="32" t="str">
        <x:v>V2</x:v>
      </x:c>
      <x:c r="E969" s="86" t="n">
        <x:f>COUNT('24_W1_pH'!C46,'24_W1_pH'!E46,'24_W1_pH'!G46,'24_W1_pH'!I46)</x:f>
        <x:v>4</x:v>
      </x:c>
      <x:c r="F969" s="90" t="n">
        <x:f>IF(E969=0,"",AVERAGE('24_W1_pH'!C46,'24_W1_pH'!E46,'24_W1_pH'!G46,'24_W1_pH'!I46))</x:f>
        <x:v>6.3825</x:v>
      </x:c>
      <x:c r="G969" s="90" t="n">
        <x:f>IF(E969&lt;2,"",STDEV.S('24_W1_pH'!C46,'24_W1_pH'!E46,'24_W1_pH'!G46,'24_W1_pH'!I46))</x:f>
        <x:v>0.10500000000000004</x:v>
      </x:c>
      <x:c r="H969" s="90" t="n">
        <x:f>IF(E969=0,"",MIN('24_W1_pH'!C46,'24_W1_pH'!E46,'24_W1_pH'!G46,'24_W1_pH'!I46))</x:f>
        <x:v>6.27</x:v>
      </x:c>
      <x:c r="I969" s="90" t="n">
        <x:f>IF(E969=0,"",MAX('24_W1_pH'!C46,'24_W1_pH'!E46,'24_W1_pH'!G46,'24_W1_pH'!I46))</x:f>
        <x:v>6.51</x:v>
      </x:c>
      <x:c r="J969" s="32" t="str"/>
    </x:row>
    <x:row r="970">
      <x:c r="A970" s="72" t="n">
        <x:v>46240.948530092595</x:v>
      </x:c>
      <x:c r="B970" s="32" t="str">
        <x:v>土壤pH</x:v>
      </x:c>
      <x:c r="C970" s="32" t="str">
        <x:v>W1</x:v>
      </x:c>
      <x:c r="D970" s="32" t="str">
        <x:v>V1</x:v>
      </x:c>
      <x:c r="E970" s="86" t="n">
        <x:f>COUNT('24_W1_pH'!B47,'24_W1_pH'!D47,'24_W1_pH'!F47,'24_W1_pH'!H47)</x:f>
        <x:v>4</x:v>
      </x:c>
      <x:c r="F970" s="90" t="n">
        <x:f>IF(E970=0,"",AVERAGE('24_W1_pH'!B47,'24_W1_pH'!D47,'24_W1_pH'!F47,'24_W1_pH'!H47))</x:f>
        <x:v>6.395</x:v>
      </x:c>
      <x:c r="G970" s="90" t="n">
        <x:f>IF(E970&lt;2,"",STDEV.S('24_W1_pH'!B47,'24_W1_pH'!D47,'24_W1_pH'!F47,'24_W1_pH'!H47))</x:f>
        <x:v>0.0994987437106622</x:v>
      </x:c>
      <x:c r="H970" s="90" t="n">
        <x:f>IF(E970=0,"",MIN('24_W1_pH'!B47,'24_W1_pH'!D47,'24_W1_pH'!F47,'24_W1_pH'!H47))</x:f>
        <x:v>6.27</x:v>
      </x:c>
      <x:c r="I970" s="90" t="n">
        <x:f>IF(E970=0,"",MAX('24_W1_pH'!B47,'24_W1_pH'!D47,'24_W1_pH'!F47,'24_W1_pH'!H47))</x:f>
        <x:v>6.48</x:v>
      </x:c>
      <x:c r="J970" s="32" t="str"/>
    </x:row>
    <x:row r="971">
      <x:c r="A971" s="72" t="n">
        <x:v>46240.948530092595</x:v>
      </x:c>
      <x:c r="B971" s="32" t="str">
        <x:v>土壤pH</x:v>
      </x:c>
      <x:c r="C971" s="32" t="str">
        <x:v>W1</x:v>
      </x:c>
      <x:c r="D971" s="32" t="str">
        <x:v>V2</x:v>
      </x:c>
      <x:c r="E971" s="86" t="n">
        <x:f>COUNT('24_W1_pH'!C47,'24_W1_pH'!E47,'24_W1_pH'!G47,'24_W1_pH'!I47)</x:f>
        <x:v>4</x:v>
      </x:c>
      <x:c r="F971" s="90" t="n">
        <x:f>IF(E971=0,"",AVERAGE('24_W1_pH'!C47,'24_W1_pH'!E47,'24_W1_pH'!G47,'24_W1_pH'!I47))</x:f>
        <x:v>6.387500000000001</x:v>
      </x:c>
      <x:c r="G971" s="90" t="n">
        <x:f>IF(E971&lt;2,"",STDEV.S('24_W1_pH'!C47,'24_W1_pH'!E47,'24_W1_pH'!G47,'24_W1_pH'!I47))</x:f>
        <x:v>0.1056330125166052</x:v>
      </x:c>
      <x:c r="H971" s="90" t="n">
        <x:f>IF(E971=0,"",MIN('24_W1_pH'!C47,'24_W1_pH'!E47,'24_W1_pH'!G47,'24_W1_pH'!I47))</x:f>
        <x:v>6.28</x:v>
      </x:c>
      <x:c r="I971" s="90" t="n">
        <x:f>IF(E971=0,"",MAX('24_W1_pH'!C47,'24_W1_pH'!E47,'24_W1_pH'!G47,'24_W1_pH'!I47))</x:f>
        <x:v>6.52</x:v>
      </x:c>
      <x:c r="J971" s="32" t="str"/>
    </x:row>
    <x:row r="972">
      <x:c r="A972" s="72" t="n">
        <x:v>46240.952002314814</x:v>
      </x:c>
      <x:c r="B972" s="32" t="str">
        <x:v>土壤pH</x:v>
      </x:c>
      <x:c r="C972" s="32" t="str">
        <x:v>W1</x:v>
      </x:c>
      <x:c r="D972" s="32" t="str">
        <x:v>V1</x:v>
      </x:c>
      <x:c r="E972" s="86" t="n">
        <x:f>COUNT('24_W1_pH'!B48,'24_W1_pH'!D48,'24_W1_pH'!F48,'24_W1_pH'!H48)</x:f>
        <x:v>4</x:v>
      </x:c>
      <x:c r="F972" s="90" t="n">
        <x:f>IF(E972=0,"",AVERAGE('24_W1_pH'!B48,'24_W1_pH'!D48,'24_W1_pH'!F48,'24_W1_pH'!H48))</x:f>
        <x:v>6.4</x:v>
      </x:c>
      <x:c r="G972" s="90" t="n">
        <x:f>IF(E972&lt;2,"",STDEV.S('24_W1_pH'!B48,'24_W1_pH'!D48,'24_W1_pH'!F48,'24_W1_pH'!H48))</x:f>
        <x:v>0.10488088481701546</x:v>
      </x:c>
      <x:c r="H972" s="90" t="n">
        <x:f>IF(E972=0,"",MIN('24_W1_pH'!B48,'24_W1_pH'!D48,'24_W1_pH'!F48,'24_W1_pH'!H48))</x:f>
        <x:v>6.27</x:v>
      </x:c>
      <x:c r="I972" s="90" t="n">
        <x:f>IF(E972=0,"",MAX('24_W1_pH'!B48,'24_W1_pH'!D48,'24_W1_pH'!F48,'24_W1_pH'!H48))</x:f>
        <x:v>6.49</x:v>
      </x:c>
      <x:c r="J972" s="32" t="str"/>
    </x:row>
    <x:row r="973">
      <x:c r="A973" s="72" t="n">
        <x:v>46240.952002314814</x:v>
      </x:c>
      <x:c r="B973" s="32" t="str">
        <x:v>土壤pH</x:v>
      </x:c>
      <x:c r="C973" s="32" t="str">
        <x:v>W1</x:v>
      </x:c>
      <x:c r="D973" s="32" t="str">
        <x:v>V2</x:v>
      </x:c>
      <x:c r="E973" s="86" t="n">
        <x:f>COUNT('24_W1_pH'!C48,'24_W1_pH'!E48,'24_W1_pH'!G48,'24_W1_pH'!I48)</x:f>
        <x:v>4</x:v>
      </x:c>
      <x:c r="F973" s="90" t="n">
        <x:f>IF(E973=0,"",AVERAGE('24_W1_pH'!C48,'24_W1_pH'!E48,'24_W1_pH'!G48,'24_W1_pH'!I48))</x:f>
        <x:v>6.3825</x:v>
      </x:c>
      <x:c r="G973" s="90" t="n">
        <x:f>IF(E973&lt;2,"",STDEV.S('24_W1_pH'!C48,'24_W1_pH'!E48,'24_W1_pH'!G48,'24_W1_pH'!I48))</x:f>
        <x:v>0.10657548185832082</x:v>
      </x:c>
      <x:c r="H973" s="90" t="n">
        <x:f>IF(E973=0,"",MIN('24_W1_pH'!C48,'24_W1_pH'!E48,'24_W1_pH'!G48,'24_W1_pH'!I48))</x:f>
        <x:v>6.28</x:v>
      </x:c>
      <x:c r="I973" s="90" t="n">
        <x:f>IF(E973=0,"",MAX('24_W1_pH'!C48,'24_W1_pH'!E48,'24_W1_pH'!G48,'24_W1_pH'!I48))</x:f>
        <x:v>6.52</x:v>
      </x:c>
      <x:c r="J973" s="32" t="str"/>
    </x:row>
    <x:row r="974">
      <x:c r="A974" s="72" t="n">
        <x:v>46240.95547453704</x:v>
      </x:c>
      <x:c r="B974" s="32" t="str">
        <x:v>土壤pH</x:v>
      </x:c>
      <x:c r="C974" s="32" t="str">
        <x:v>W1</x:v>
      </x:c>
      <x:c r="D974" s="32" t="str">
        <x:v>V1</x:v>
      </x:c>
      <x:c r="E974" s="86" t="n">
        <x:f>COUNT('24_W1_pH'!B49,'24_W1_pH'!D49,'24_W1_pH'!F49,'24_W1_pH'!H49)</x:f>
        <x:v>4</x:v>
      </x:c>
      <x:c r="F974" s="90" t="n">
        <x:f>IF(E974=0,"",AVERAGE('24_W1_pH'!B49,'24_W1_pH'!D49,'24_W1_pH'!F49,'24_W1_pH'!H49))</x:f>
        <x:v>6.4</x:v>
      </x:c>
      <x:c r="G974" s="90" t="n">
        <x:f>IF(E974&lt;2,"",STDEV.S('24_W1_pH'!B49,'24_W1_pH'!D49,'24_W1_pH'!F49,'24_W1_pH'!H49))</x:f>
        <x:v>0.1092397973878266</x:v>
      </x:c>
      <x:c r="H974" s="90" t="n">
        <x:f>IF(E974=0,"",MIN('24_W1_pH'!B49,'24_W1_pH'!D49,'24_W1_pH'!F49,'24_W1_pH'!H49))</x:f>
        <x:v>6.27</x:v>
      </x:c>
      <x:c r="I974" s="90" t="n">
        <x:f>IF(E974=0,"",MAX('24_W1_pH'!B49,'24_W1_pH'!D49,'24_W1_pH'!F49,'24_W1_pH'!H49))</x:f>
        <x:v>6.5</x:v>
      </x:c>
      <x:c r="J974" s="32" t="str"/>
    </x:row>
    <x:row r="975">
      <x:c r="A975" s="72" t="n">
        <x:v>46240.95547453704</x:v>
      </x:c>
      <x:c r="B975" s="32" t="str">
        <x:v>土壤pH</x:v>
      </x:c>
      <x:c r="C975" s="32" t="str">
        <x:v>W1</x:v>
      </x:c>
      <x:c r="D975" s="32" t="str">
        <x:v>V2</x:v>
      </x:c>
      <x:c r="E975" s="86" t="n">
        <x:f>COUNT('24_W1_pH'!C49,'24_W1_pH'!E49,'24_W1_pH'!G49,'24_W1_pH'!I49)</x:f>
        <x:v>4</x:v>
      </x:c>
      <x:c r="F975" s="90" t="n">
        <x:f>IF(E975=0,"",AVERAGE('24_W1_pH'!C49,'24_W1_pH'!E49,'24_W1_pH'!G49,'24_W1_pH'!I49))</x:f>
        <x:v>6.3875</x:v>
      </x:c>
      <x:c r="G975" s="90" t="n">
        <x:f>IF(E975&lt;2,"",STDEV.S('24_W1_pH'!C49,'24_W1_pH'!E49,'24_W1_pH'!G49,'24_W1_pH'!I49))</x:f>
        <x:v>0.10781929326423917</x:v>
      </x:c>
      <x:c r="H975" s="90" t="n">
        <x:f>IF(E975=0,"",MIN('24_W1_pH'!C49,'24_W1_pH'!E49,'24_W1_pH'!G49,'24_W1_pH'!I49))</x:f>
        <x:v>6.29</x:v>
      </x:c>
      <x:c r="I975" s="90" t="n">
        <x:f>IF(E975=0,"",MAX('24_W1_pH'!C49,'24_W1_pH'!E49,'24_W1_pH'!G49,'24_W1_pH'!I49))</x:f>
        <x:v>6.53</x:v>
      </x:c>
      <x:c r="J975" s="32" t="str"/>
    </x:row>
    <x:row r="976">
      <x:c r="A976" s="72" t="n">
        <x:v>46240.95894675926</x:v>
      </x:c>
      <x:c r="B976" s="32" t="str">
        <x:v>土壤pH</x:v>
      </x:c>
      <x:c r="C976" s="32" t="str">
        <x:v>W1</x:v>
      </x:c>
      <x:c r="D976" s="32" t="str">
        <x:v>V1</x:v>
      </x:c>
      <x:c r="E976" s="86" t="n">
        <x:f>COUNT('24_W1_pH'!B50,'24_W1_pH'!D50,'24_W1_pH'!F50,'24_W1_pH'!H50)</x:f>
        <x:v>4</x:v>
      </x:c>
      <x:c r="F976" s="90" t="n">
        <x:f>IF(E976=0,"",AVERAGE('24_W1_pH'!B50,'24_W1_pH'!D50,'24_W1_pH'!F50,'24_W1_pH'!H50))</x:f>
        <x:v>6.3975</x:v>
      </x:c>
      <x:c r="G976" s="90" t="n">
        <x:f>IF(E976&lt;2,"",STDEV.S('24_W1_pH'!B50,'24_W1_pH'!D50,'24_W1_pH'!F50,'24_W1_pH'!H50))</x:f>
        <x:v>0.11086778913041756</x:v>
      </x:c>
      <x:c r="H976" s="90" t="n">
        <x:f>IF(E976=0,"",MIN('24_W1_pH'!B50,'24_W1_pH'!D50,'24_W1_pH'!F50,'24_W1_pH'!H50))</x:f>
        <x:v>6.27</x:v>
      </x:c>
      <x:c r="I976" s="90" t="n">
        <x:f>IF(E976=0,"",MAX('24_W1_pH'!B50,'24_W1_pH'!D50,'24_W1_pH'!F50,'24_W1_pH'!H50))</x:f>
        <x:v>6.5</x:v>
      </x:c>
      <x:c r="J976" s="32" t="str"/>
    </x:row>
    <x:row r="977">
      <x:c r="A977" s="72" t="n">
        <x:v>46240.95894675926</x:v>
      </x:c>
      <x:c r="B977" s="32" t="str">
        <x:v>土壤pH</x:v>
      </x:c>
      <x:c r="C977" s="32" t="str">
        <x:v>W1</x:v>
      </x:c>
      <x:c r="D977" s="32" t="str">
        <x:v>V2</x:v>
      </x:c>
      <x:c r="E977" s="86" t="n">
        <x:f>COUNT('24_W1_pH'!C50,'24_W1_pH'!E50,'24_W1_pH'!G50,'24_W1_pH'!I50)</x:f>
        <x:v>4</x:v>
      </x:c>
      <x:c r="F977" s="90" t="n">
        <x:f>IF(E977=0,"",AVERAGE('24_W1_pH'!C50,'24_W1_pH'!E50,'24_W1_pH'!G50,'24_W1_pH'!I50))</x:f>
        <x:v>6.387499999999999</x:v>
      </x:c>
      <x:c r="G977" s="90" t="n">
        <x:f>IF(E977&lt;2,"",STDEV.S('24_W1_pH'!C50,'24_W1_pH'!E50,'24_W1_pH'!G50,'24_W1_pH'!I50))</x:f>
        <x:v>0.10436314802968856</x:v>
      </x:c>
      <x:c r="H977" s="90" t="n">
        <x:f>IF(E977=0,"",MIN('24_W1_pH'!C50,'24_W1_pH'!E50,'24_W1_pH'!G50,'24_W1_pH'!I50))</x:f>
        <x:v>6.3</x:v>
      </x:c>
      <x:c r="I977" s="90" t="n">
        <x:f>IF(E977=0,"",MAX('24_W1_pH'!C50,'24_W1_pH'!E50,'24_W1_pH'!G50,'24_W1_pH'!I50))</x:f>
        <x:v>6.53</x:v>
      </x:c>
      <x:c r="J977" s="32" t="str"/>
    </x:row>
    <x:row r="978">
      <x:c r="A978" s="72" t="n">
        <x:v>46240.96241898148</x:v>
      </x:c>
      <x:c r="B978" s="32" t="str">
        <x:v>土壤pH</x:v>
      </x:c>
      <x:c r="C978" s="32" t="str">
        <x:v>W1</x:v>
      </x:c>
      <x:c r="D978" s="32" t="str">
        <x:v>V1</x:v>
      </x:c>
      <x:c r="E978" s="86" t="n">
        <x:f>COUNT('24_W1_pH'!B51,'24_W1_pH'!D51,'24_W1_pH'!F51,'24_W1_pH'!H51)</x:f>
        <x:v>4</x:v>
      </x:c>
      <x:c r="F978" s="90" t="n">
        <x:f>IF(E978=0,"",AVERAGE('24_W1_pH'!B51,'24_W1_pH'!D51,'24_W1_pH'!F51,'24_W1_pH'!H51))</x:f>
        <x:v>6.397499999999999</x:v>
      </x:c>
      <x:c r="G978" s="90" t="n">
        <x:f>IF(E978&lt;2,"",STDEV.S('24_W1_pH'!B51,'24_W1_pH'!D51,'24_W1_pH'!F51,'24_W1_pH'!H51))</x:f>
        <x:v>0.11586630226256485</x:v>
      </x:c>
      <x:c r="H978" s="90" t="n">
        <x:f>IF(E978=0,"",MIN('24_W1_pH'!B51,'24_W1_pH'!D51,'24_W1_pH'!F51,'24_W1_pH'!H51))</x:f>
        <x:v>6.27</x:v>
      </x:c>
      <x:c r="I978" s="90" t="n">
        <x:f>IF(E978=0,"",MAX('24_W1_pH'!B51,'24_W1_pH'!D51,'24_W1_pH'!F51,'24_W1_pH'!H51))</x:f>
        <x:v>6.51</x:v>
      </x:c>
      <x:c r="J978" s="32" t="str"/>
    </x:row>
    <x:row r="979">
      <x:c r="A979" s="72" t="n">
        <x:v>46240.96241898148</x:v>
      </x:c>
      <x:c r="B979" s="32" t="str">
        <x:v>土壤pH</x:v>
      </x:c>
      <x:c r="C979" s="32" t="str">
        <x:v>W1</x:v>
      </x:c>
      <x:c r="D979" s="32" t="str">
        <x:v>V2</x:v>
      </x:c>
      <x:c r="E979" s="86" t="n">
        <x:f>COUNT('24_W1_pH'!C51,'24_W1_pH'!E51,'24_W1_pH'!G51,'24_W1_pH'!I51)</x:f>
        <x:v>4</x:v>
      </x:c>
      <x:c r="F979" s="90" t="n">
        <x:f>IF(E979=0,"",AVERAGE('24_W1_pH'!C51,'24_W1_pH'!E51,'24_W1_pH'!G51,'24_W1_pH'!I51))</x:f>
        <x:v>6.385</x:v>
      </x:c>
      <x:c r="G979" s="90" t="n">
        <x:f>IF(E979&lt;2,"",STDEV.S('24_W1_pH'!C51,'24_W1_pH'!E51,'24_W1_pH'!G51,'24_W1_pH'!I51))</x:f>
        <x:v>0.10408329997330674</x:v>
      </x:c>
      <x:c r="H979" s="90" t="n">
        <x:f>IF(E979=0,"",MIN('24_W1_pH'!C51,'24_W1_pH'!E51,'24_W1_pH'!G51,'24_W1_pH'!I51))</x:f>
        <x:v>6.3</x:v>
      </x:c>
      <x:c r="I979" s="90" t="n">
        <x:f>IF(E979=0,"",MAX('24_W1_pH'!C51,'24_W1_pH'!E51,'24_W1_pH'!G51,'24_W1_pH'!I51))</x:f>
        <x:v>6.53</x:v>
      </x:c>
      <x:c r="J979" s="32" t="str"/>
    </x:row>
    <x:row r="980">
      <x:c r="A980" s="72" t="n">
        <x:v>46240.965891203705</x:v>
      </x:c>
      <x:c r="B980" s="32" t="str">
        <x:v>土壤pH</x:v>
      </x:c>
      <x:c r="C980" s="32" t="str">
        <x:v>W1</x:v>
      </x:c>
      <x:c r="D980" s="32" t="str">
        <x:v>V1</x:v>
      </x:c>
      <x:c r="E980" s="86" t="n">
        <x:f>COUNT('24_W1_pH'!B52,'24_W1_pH'!D52,'24_W1_pH'!F52,'24_W1_pH'!H52)</x:f>
        <x:v>4</x:v>
      </x:c>
      <x:c r="F980" s="90" t="n">
        <x:f>IF(E980=0,"",AVERAGE('24_W1_pH'!B52,'24_W1_pH'!D52,'24_W1_pH'!F52,'24_W1_pH'!H52))</x:f>
        <x:v>6.4025</x:v>
      </x:c>
      <x:c r="G980" s="90" t="n">
        <x:f>IF(E980&lt;2,"",STDEV.S('24_W1_pH'!B52,'24_W1_pH'!D52,'24_W1_pH'!F52,'24_W1_pH'!H52))</x:f>
        <x:v>0.11557825631723857</x:v>
      </x:c>
      <x:c r="H980" s="90" t="n">
        <x:f>IF(E980=0,"",MIN('24_W1_pH'!B52,'24_W1_pH'!D52,'24_W1_pH'!F52,'24_W1_pH'!H52))</x:f>
        <x:v>6.28</x:v>
      </x:c>
      <x:c r="I980" s="90" t="n">
        <x:f>IF(E980=0,"",MAX('24_W1_pH'!B52,'24_W1_pH'!D52,'24_W1_pH'!F52,'24_W1_pH'!H52))</x:f>
        <x:v>6.52</x:v>
      </x:c>
      <x:c r="J980" s="32" t="str"/>
    </x:row>
    <x:row r="981">
      <x:c r="A981" s="72" t="n">
        <x:v>46240.965891203705</x:v>
      </x:c>
      <x:c r="B981" s="32" t="str">
        <x:v>土壤pH</x:v>
      </x:c>
      <x:c r="C981" s="32" t="str">
        <x:v>W1</x:v>
      </x:c>
      <x:c r="D981" s="32" t="str">
        <x:v>V2</x:v>
      </x:c>
      <x:c r="E981" s="86" t="n">
        <x:f>COUNT('24_W1_pH'!C52,'24_W1_pH'!E52,'24_W1_pH'!G52,'24_W1_pH'!I52)</x:f>
        <x:v>4</x:v>
      </x:c>
      <x:c r="F981" s="90" t="n">
        <x:f>IF(E981=0,"",AVERAGE('24_W1_pH'!C52,'24_W1_pH'!E52,'24_W1_pH'!G52,'24_W1_pH'!I52))</x:f>
        <x:v>6.385</x:v>
      </x:c>
      <x:c r="G981" s="90" t="n">
        <x:f>IF(E981&lt;2,"",STDEV.S('24_W1_pH'!C52,'24_W1_pH'!E52,'24_W1_pH'!G52,'24_W1_pH'!I52))</x:f>
        <x:v>0.10148891565092234</x:v>
      </x:c>
      <x:c r="H981" s="90" t="n">
        <x:f>IF(E981=0,"",MIN('24_W1_pH'!C52,'24_W1_pH'!E52,'24_W1_pH'!G52,'24_W1_pH'!I52))</x:f>
        <x:v>6.31</x:v>
      </x:c>
      <x:c r="I981" s="90" t="n">
        <x:f>IF(E981=0,"",MAX('24_W1_pH'!C52,'24_W1_pH'!E52,'24_W1_pH'!G52,'24_W1_pH'!I52))</x:f>
        <x:v>6.53</x:v>
      </x:c>
      <x:c r="J981" s="32" t="str"/>
    </x:row>
    <x:row r="982">
      <x:c r="A982" s="72" t="n">
        <x:v>46240.969363425924</x:v>
      </x:c>
      <x:c r="B982" s="32" t="str">
        <x:v>土壤pH</x:v>
      </x:c>
      <x:c r="C982" s="32" t="str">
        <x:v>W1</x:v>
      </x:c>
      <x:c r="D982" s="32" t="str">
        <x:v>V1</x:v>
      </x:c>
      <x:c r="E982" s="86" t="n">
        <x:f>COUNT('24_W1_pH'!B53,'24_W1_pH'!D53,'24_W1_pH'!F53,'24_W1_pH'!H53)</x:f>
        <x:v>4</x:v>
      </x:c>
      <x:c r="F982" s="90" t="n">
        <x:f>IF(E982=0,"",AVERAGE('24_W1_pH'!B53,'24_W1_pH'!D53,'24_W1_pH'!F53,'24_W1_pH'!H53))</x:f>
        <x:v>6.3975</x:v>
      </x:c>
      <x:c r="G982" s="90" t="n">
        <x:f>IF(E982&lt;2,"",STDEV.S('24_W1_pH'!B53,'24_W1_pH'!D53,'24_W1_pH'!F53,'24_W1_pH'!H53))</x:f>
        <x:v>0.11557825631723838</x:v>
      </x:c>
      <x:c r="H982" s="90" t="n">
        <x:f>IF(E982=0,"",MIN('24_W1_pH'!B53,'24_W1_pH'!D53,'24_W1_pH'!F53,'24_W1_pH'!H53))</x:f>
        <x:v>6.28</x:v>
      </x:c>
      <x:c r="I982" s="90" t="n">
        <x:f>IF(E982=0,"",MAX('24_W1_pH'!B53,'24_W1_pH'!D53,'24_W1_pH'!F53,'24_W1_pH'!H53))</x:f>
        <x:v>6.52</x:v>
      </x:c>
      <x:c r="J982" s="32" t="str"/>
    </x:row>
    <x:row r="983">
      <x:c r="A983" s="72" t="n">
        <x:v>46240.969363425924</x:v>
      </x:c>
      <x:c r="B983" s="32" t="str">
        <x:v>土壤pH</x:v>
      </x:c>
      <x:c r="C983" s="32" t="str">
        <x:v>W1</x:v>
      </x:c>
      <x:c r="D983" s="32" t="str">
        <x:v>V2</x:v>
      </x:c>
      <x:c r="E983" s="86" t="n">
        <x:f>COUNT('24_W1_pH'!C53,'24_W1_pH'!E53,'24_W1_pH'!G53,'24_W1_pH'!I53)</x:f>
        <x:v>4</x:v>
      </x:c>
      <x:c r="F983" s="90" t="n">
        <x:f>IF(E983=0,"",AVERAGE('24_W1_pH'!C53,'24_W1_pH'!E53,'24_W1_pH'!G53,'24_W1_pH'!I53))</x:f>
        <x:v>6.39</x:v>
      </x:c>
      <x:c r="G983" s="90" t="n">
        <x:f>IF(E983&lt;2,"",STDEV.S('24_W1_pH'!C53,'24_W1_pH'!E53,'24_W1_pH'!G53,'24_W1_pH'!I53))</x:f>
        <x:v>0.09695359714832662</x:v>
      </x:c>
      <x:c r="H983" s="90" t="n">
        <x:f>IF(E983=0,"",MIN('24_W1_pH'!C53,'24_W1_pH'!E53,'24_W1_pH'!G53,'24_W1_pH'!I53))</x:f>
        <x:v>6.32</x:v>
      </x:c>
      <x:c r="I983" s="90" t="n">
        <x:f>IF(E983=0,"",MAX('24_W1_pH'!C53,'24_W1_pH'!E53,'24_W1_pH'!G53,'24_W1_pH'!I53))</x:f>
        <x:v>6.53</x:v>
      </x:c>
      <x:c r="J983" s="32" t="str"/>
    </x:row>
    <x:row r="984">
      <x:c r="A984" s="72" t="n">
        <x:v>46240.80269675926</x:v>
      </x:c>
      <x:c r="B984" s="32" t="str">
        <x:v>土壤张力</x:v>
      </x:c>
      <x:c r="C984" s="32" t="str">
        <x:v>W2</x:v>
      </x:c>
      <x:c r="D984" s="32" t="str">
        <x:v>V1</x:v>
      </x:c>
      <x:c r="E984" s="86" t="n">
        <x:f>COUNT('30_W2_张力'!B5,'30_W2_张力'!D5,'30_W2_张力'!F5,'30_W2_张力'!H5)</x:f>
        <x:v>4</x:v>
      </x:c>
      <x:c r="F984" s="90" t="n">
        <x:f>IF(E984=0,"",AVERAGE('30_W2_张力'!B5,'30_W2_张力'!D5,'30_W2_张力'!F5,'30_W2_张力'!H5))</x:f>
        <x:v>-35.525000000000006</x:v>
      </x:c>
      <x:c r="G984" s="90" t="n">
        <x:f>IF(E984&lt;2,"",STDEV.S('30_W2_张力'!B5,'30_W2_张力'!D5,'30_W2_张力'!F5,'30_W2_张力'!H5))</x:f>
        <x:v>0.7274384280931738</x:v>
      </x:c>
      <x:c r="H984" s="90" t="n">
        <x:f>IF(E984=0,"",MIN('30_W2_张力'!B5,'30_W2_张力'!D5,'30_W2_张力'!F5,'30_W2_张力'!H5))</x:f>
        <x:v>-36.6</x:v>
      </x:c>
      <x:c r="I984" s="90" t="n">
        <x:f>IF(E984=0,"",MAX('30_W2_张力'!B5,'30_W2_张力'!D5,'30_W2_张力'!F5,'30_W2_张力'!H5))</x:f>
        <x:v>-35</x:v>
      </x:c>
      <x:c r="J984" s="32" t="str">
        <x:v>kPa</x:v>
      </x:c>
    </x:row>
    <x:row r="985">
      <x:c r="A985" s="72" t="n">
        <x:v>46240.80269675926</x:v>
      </x:c>
      <x:c r="B985" s="32" t="str">
        <x:v>土壤张力</x:v>
      </x:c>
      <x:c r="C985" s="32" t="str">
        <x:v>W2</x:v>
      </x:c>
      <x:c r="D985" s="32" t="str">
        <x:v>V2</x:v>
      </x:c>
      <x:c r="E985" s="86" t="n">
        <x:f>COUNT('30_W2_张力'!C5,'30_W2_张力'!E5,'30_W2_张力'!G5,'30_W2_张力'!I5)</x:f>
        <x:v>4</x:v>
      </x:c>
      <x:c r="F985" s="90" t="n">
        <x:f>IF(E985=0,"",AVERAGE('30_W2_张力'!C5,'30_W2_张力'!E5,'30_W2_张力'!G5,'30_W2_张力'!I5))</x:f>
        <x:v>-36.5</x:v>
      </x:c>
      <x:c r="G985" s="90" t="n">
        <x:f>IF(E985&lt;2,"",STDEV.S('30_W2_张力'!C5,'30_W2_张力'!E5,'30_W2_张力'!G5,'30_W2_张力'!I5))</x:f>
        <x:v>0.6976149845485433</x:v>
      </x:c>
      <x:c r="H985" s="90" t="n">
        <x:f>IF(E985=0,"",MIN('30_W2_张力'!C5,'30_W2_张力'!E5,'30_W2_张力'!G5,'30_W2_张力'!I5))</x:f>
        <x:v>-37.3</x:v>
      </x:c>
      <x:c r="I985" s="90" t="n">
        <x:f>IF(E985=0,"",MAX('30_W2_张力'!C5,'30_W2_张力'!E5,'30_W2_张力'!G5,'30_W2_张力'!I5))</x:f>
        <x:v>-35.6</x:v>
      </x:c>
      <x:c r="J985" s="32" t="str">
        <x:v>kPa</x:v>
      </x:c>
    </x:row>
    <x:row r="986">
      <x:c r="A986" s="72" t="n">
        <x:v>46240.80616898148</x:v>
      </x:c>
      <x:c r="B986" s="32" t="str">
        <x:v>土壤张力</x:v>
      </x:c>
      <x:c r="C986" s="32" t="str">
        <x:v>W2</x:v>
      </x:c>
      <x:c r="D986" s="32" t="str">
        <x:v>V1</x:v>
      </x:c>
      <x:c r="E986" s="86" t="n">
        <x:f>COUNT('30_W2_张力'!B6,'30_W2_张力'!D6,'30_W2_张力'!F6,'30_W2_张力'!H6)</x:f>
        <x:v>4</x:v>
      </x:c>
      <x:c r="F986" s="90" t="n">
        <x:f>IF(E986=0,"",AVERAGE('30_W2_张力'!B6,'30_W2_张力'!D6,'30_W2_张力'!F6,'30_W2_张力'!H6))</x:f>
        <x:v>-35.525</x:v>
      </x:c>
      <x:c r="G986" s="90" t="n">
        <x:f>IF(E986&lt;2,"",STDEV.S('30_W2_张力'!B6,'30_W2_张力'!D6,'30_W2_张力'!F6,'30_W2_张力'!H6))</x:f>
        <x:v>0.9500000000000001</x:v>
      </x:c>
      <x:c r="H986" s="90" t="n">
        <x:f>IF(E986=0,"",MIN('30_W2_张力'!B6,'30_W2_张力'!D6,'30_W2_张力'!F6,'30_W2_张力'!H6))</x:f>
        <x:v>-36.9</x:v>
      </x:c>
      <x:c r="I986" s="90" t="n">
        <x:f>IF(E986=0,"",MAX('30_W2_张力'!B6,'30_W2_张力'!D6,'30_W2_张力'!F6,'30_W2_张力'!H6))</x:f>
        <x:v>-34.8</x:v>
      </x:c>
      <x:c r="J986" s="32" t="str">
        <x:v>kPa</x:v>
      </x:c>
    </x:row>
    <x:row r="987">
      <x:c r="A987" s="72" t="n">
        <x:v>46240.80616898148</x:v>
      </x:c>
      <x:c r="B987" s="32" t="str">
        <x:v>土壤张力</x:v>
      </x:c>
      <x:c r="C987" s="32" t="str">
        <x:v>W2</x:v>
      </x:c>
      <x:c r="D987" s="32" t="str">
        <x:v>V2</x:v>
      </x:c>
      <x:c r="E987" s="86" t="n">
        <x:f>COUNT('30_W2_张力'!C6,'30_W2_张力'!E6,'30_W2_张力'!G6,'30_W2_张力'!I6)</x:f>
        <x:v>4</x:v>
      </x:c>
      <x:c r="F987" s="90" t="n">
        <x:f>IF(E987=0,"",AVERAGE('30_W2_张力'!C6,'30_W2_张力'!E6,'30_W2_张力'!G6,'30_W2_张力'!I6))</x:f>
        <x:v>-36.525000000000006</x:v>
      </x:c>
      <x:c r="G987" s="90" t="n">
        <x:f>IF(E987&lt;2,"",STDEV.S('30_W2_张力'!C6,'30_W2_张力'!E6,'30_W2_张力'!G6,'30_W2_张力'!I6))</x:f>
        <x:v>0.7274384280931738</x:v>
      </x:c>
      <x:c r="H987" s="90" t="n">
        <x:f>IF(E987=0,"",MIN('30_W2_张力'!C6,'30_W2_张力'!E6,'30_W2_张力'!G6,'30_W2_张力'!I6))</x:f>
        <x:v>-37.6</x:v>
      </x:c>
      <x:c r="I987" s="90" t="n">
        <x:f>IF(E987=0,"",MAX('30_W2_张力'!C6,'30_W2_张力'!E6,'30_W2_张力'!G6,'30_W2_张力'!I6))</x:f>
        <x:v>-36</x:v>
      </x:c>
      <x:c r="J987" s="32" t="str">
        <x:v>kPa</x:v>
      </x:c>
    </x:row>
    <x:row r="988">
      <x:c r="A988" s="72" t="n">
        <x:v>46240.809641203705</x:v>
      </x:c>
      <x:c r="B988" s="32" t="str">
        <x:v>土壤张力</x:v>
      </x:c>
      <x:c r="C988" s="32" t="str">
        <x:v>W2</x:v>
      </x:c>
      <x:c r="D988" s="32" t="str">
        <x:v>V1</x:v>
      </x:c>
      <x:c r="E988" s="86" t="n">
        <x:f>COUNT('30_W2_张力'!B7,'30_W2_张力'!D7,'30_W2_张力'!F7,'30_W2_张力'!H7)</x:f>
        <x:v>4</x:v>
      </x:c>
      <x:c r="F988" s="90" t="n">
        <x:f>IF(E988=0,"",AVERAGE('30_W2_张力'!B7,'30_W2_张力'!D7,'30_W2_张力'!F7,'30_W2_张力'!H7))</x:f>
        <x:v>-35.575</x:v>
      </x:c>
      <x:c r="G988" s="90" t="n">
        <x:f>IF(E988&lt;2,"",STDEV.S('30_W2_张力'!B7,'30_W2_张力'!D7,'30_W2_张力'!F7,'30_W2_张力'!H7))</x:f>
        <x:v>1.1324751652906127</x:v>
      </x:c>
      <x:c r="H988" s="90" t="n">
        <x:f>IF(E988=0,"",MIN('30_W2_张力'!B7,'30_W2_张力'!D7,'30_W2_张力'!F7,'30_W2_张力'!H7))</x:f>
        <x:v>-37</x:v>
      </x:c>
      <x:c r="I988" s="90" t="n">
        <x:f>IF(E988=0,"",MAX('30_W2_张力'!B7,'30_W2_张力'!D7,'30_W2_张力'!F7,'30_W2_张力'!H7))</x:f>
        <x:v>-34.4</x:v>
      </x:c>
      <x:c r="J988" s="32" t="str">
        <x:v>kPa</x:v>
      </x:c>
    </x:row>
    <x:row r="989">
      <x:c r="A989" s="72" t="n">
        <x:v>46240.809641203705</x:v>
      </x:c>
      <x:c r="B989" s="32" t="str">
        <x:v>土壤张力</x:v>
      </x:c>
      <x:c r="C989" s="32" t="str">
        <x:v>W2</x:v>
      </x:c>
      <x:c r="D989" s="32" t="str">
        <x:v>V2</x:v>
      </x:c>
      <x:c r="E989" s="86" t="n">
        <x:f>COUNT('30_W2_张力'!C7,'30_W2_张力'!E7,'30_W2_张力'!G7,'30_W2_张力'!I7)</x:f>
        <x:v>4</x:v>
      </x:c>
      <x:c r="F989" s="90" t="n">
        <x:f>IF(E989=0,"",AVERAGE('30_W2_张力'!C7,'30_W2_张力'!E7,'30_W2_张力'!G7,'30_W2_张力'!I7))</x:f>
        <x:v>-36.525</x:v>
      </x:c>
      <x:c r="G989" s="90" t="n">
        <x:f>IF(E989&lt;2,"",STDEV.S('30_W2_张力'!C7,'30_W2_张力'!E7,'30_W2_张力'!G7,'30_W2_张力'!I7))</x:f>
        <x:v>0.9500000000000001</x:v>
      </x:c>
      <x:c r="H989" s="90" t="n">
        <x:f>IF(E989=0,"",MIN('30_W2_张力'!C7,'30_W2_张力'!E7,'30_W2_张力'!G7,'30_W2_张力'!I7))</x:f>
        <x:v>-37.9</x:v>
      </x:c>
      <x:c r="I989" s="90" t="n">
        <x:f>IF(E989=0,"",MAX('30_W2_张力'!C7,'30_W2_张力'!E7,'30_W2_张力'!G7,'30_W2_张力'!I7))</x:f>
        <x:v>-35.8</x:v>
      </x:c>
      <x:c r="J989" s="32" t="str">
        <x:v>kPa</x:v>
      </x:c>
    </x:row>
    <x:row r="990">
      <x:c r="A990" s="72" t="n">
        <x:v>46240.813113425924</x:v>
      </x:c>
      <x:c r="B990" s="32" t="str">
        <x:v>土壤张力</x:v>
      </x:c>
      <x:c r="C990" s="32" t="str">
        <x:v>W2</x:v>
      </x:c>
      <x:c r="D990" s="32" t="str">
        <x:v>V1</x:v>
      </x:c>
      <x:c r="E990" s="86" t="n">
        <x:f>COUNT('30_W2_张力'!B8,'30_W2_张力'!D8,'30_W2_张力'!F8,'30_W2_张力'!H8)</x:f>
        <x:v>4</x:v>
      </x:c>
      <x:c r="F990" s="90" t="n">
        <x:f>IF(E990=0,"",AVERAGE('30_W2_张力'!B8,'30_W2_张力'!D8,'30_W2_张力'!F8,'30_W2_张力'!H8))</x:f>
        <x:v>-35.6</x:v>
      </x:c>
      <x:c r="G990" s="90" t="n">
        <x:f>IF(E990&lt;2,"",STDEV.S('30_W2_张力'!B8,'30_W2_张力'!D8,'30_W2_张力'!F8,'30_W2_张力'!H8))</x:f>
        <x:v>1.3832329280830953</x:v>
      </x:c>
      <x:c r="H990" s="90" t="n">
        <x:f>IF(E990=0,"",MIN('30_W2_张力'!B8,'30_W2_张力'!D8,'30_W2_张力'!F8,'30_W2_张力'!H8))</x:f>
        <x:v>-37</x:v>
      </x:c>
      <x:c r="I990" s="90" t="n">
        <x:f>IF(E990=0,"",MAX('30_W2_张力'!B8,'30_W2_张力'!D8,'30_W2_张力'!F8,'30_W2_张力'!H8))</x:f>
        <x:v>-33.9</x:v>
      </x:c>
      <x:c r="J990" s="32" t="str">
        <x:v>kPa</x:v>
      </x:c>
    </x:row>
    <x:row r="991">
      <x:c r="A991" s="72" t="n">
        <x:v>46240.813113425924</x:v>
      </x:c>
      <x:c r="B991" s="32" t="str">
        <x:v>土壤张力</x:v>
      </x:c>
      <x:c r="C991" s="32" t="str">
        <x:v>W2</x:v>
      </x:c>
      <x:c r="D991" s="32" t="str">
        <x:v>V2</x:v>
      </x:c>
      <x:c r="E991" s="86" t="n">
        <x:f>COUNT('30_W2_张力'!C8,'30_W2_张力'!E8,'30_W2_张力'!G8,'30_W2_张力'!I8)</x:f>
        <x:v>4</x:v>
      </x:c>
      <x:c r="F991" s="90" t="n">
        <x:f>IF(E991=0,"",AVERAGE('30_W2_张力'!C8,'30_W2_张力'!E8,'30_W2_张力'!G8,'30_W2_张力'!I8))</x:f>
        <x:v>-36.575</x:v>
      </x:c>
      <x:c r="G991" s="90" t="n">
        <x:f>IF(E991&lt;2,"",STDEV.S('30_W2_张力'!C8,'30_W2_张力'!E8,'30_W2_张力'!G8,'30_W2_张力'!I8))</x:f>
        <x:v>1.1324751652906127</x:v>
      </x:c>
      <x:c r="H991" s="90" t="n">
        <x:f>IF(E991=0,"",MIN('30_W2_张力'!C8,'30_W2_张力'!E8,'30_W2_张力'!G8,'30_W2_张力'!I8))</x:f>
        <x:v>-38</x:v>
      </x:c>
      <x:c r="I991" s="90" t="n">
        <x:f>IF(E991=0,"",MAX('30_W2_张力'!C8,'30_W2_张力'!E8,'30_W2_张力'!G8,'30_W2_张力'!I8))</x:f>
        <x:v>-35.4</x:v>
      </x:c>
      <x:c r="J991" s="32" t="str">
        <x:v>kPa</x:v>
      </x:c>
    </x:row>
    <x:row r="992">
      <x:c r="A992" s="72" t="n">
        <x:v>46240.81658564815</x:v>
      </x:c>
      <x:c r="B992" s="32" t="str">
        <x:v>土壤张力</x:v>
      </x:c>
      <x:c r="C992" s="32" t="str">
        <x:v>W2</x:v>
      </x:c>
      <x:c r="D992" s="32" t="str">
        <x:v>V1</x:v>
      </x:c>
      <x:c r="E992" s="86" t="n">
        <x:f>COUNT('30_W2_张力'!B9,'30_W2_张力'!D9,'30_W2_张力'!F9,'30_W2_张力'!H9)</x:f>
        <x:v>4</x:v>
      </x:c>
      <x:c r="F992" s="90" t="n">
        <x:f>IF(E992=0,"",AVERAGE('30_W2_张力'!B9,'30_W2_张力'!D9,'30_W2_张力'!F9,'30_W2_张力'!H9))</x:f>
        <x:v>-35.625</x:v>
      </x:c>
      <x:c r="G992" s="90" t="n">
        <x:f>IF(E992&lt;2,"",STDEV.S('30_W2_张力'!B9,'30_W2_张力'!D9,'30_W2_张力'!F9,'30_W2_张力'!H9))</x:f>
        <x:v>1.6640813281407454</x:v>
      </x:c>
      <x:c r="H992" s="90" t="n">
        <x:f>IF(E992=0,"",MIN('30_W2_张力'!B9,'30_W2_张力'!D9,'30_W2_张力'!F9,'30_W2_张力'!H9))</x:f>
        <x:v>-36.9</x:v>
      </x:c>
      <x:c r="I992" s="90" t="n">
        <x:f>IF(E992=0,"",MAX('30_W2_张力'!B9,'30_W2_张力'!D9,'30_W2_张力'!F9,'30_W2_张力'!H9))</x:f>
        <x:v>-33.4</x:v>
      </x:c>
      <x:c r="J992" s="32" t="str">
        <x:v>kPa</x:v>
      </x:c>
    </x:row>
    <x:row r="993">
      <x:c r="A993" s="72" t="n">
        <x:v>46240.81658564815</x:v>
      </x:c>
      <x:c r="B993" s="32" t="str">
        <x:v>土壤张力</x:v>
      </x:c>
      <x:c r="C993" s="32" t="str">
        <x:v>W2</x:v>
      </x:c>
      <x:c r="D993" s="32" t="str">
        <x:v>V2</x:v>
      </x:c>
      <x:c r="E993" s="86" t="n">
        <x:f>COUNT('30_W2_张力'!C9,'30_W2_张力'!E9,'30_W2_张力'!G9,'30_W2_张力'!I9)</x:f>
        <x:v>4</x:v>
      </x:c>
      <x:c r="F993" s="90" t="n">
        <x:f>IF(E993=0,"",AVERAGE('30_W2_张力'!C9,'30_W2_张力'!E9,'30_W2_张力'!G9,'30_W2_张力'!I9))</x:f>
        <x:v>-36.6</x:v>
      </x:c>
      <x:c r="G993" s="90" t="n">
        <x:f>IF(E993&lt;2,"",STDEV.S('30_W2_张力'!C9,'30_W2_张力'!E9,'30_W2_张力'!G9,'30_W2_张力'!I9))</x:f>
        <x:v>1.3832329280830953</x:v>
      </x:c>
      <x:c r="H993" s="90" t="n">
        <x:f>IF(E993=0,"",MIN('30_W2_张力'!C9,'30_W2_张力'!E9,'30_W2_张力'!G9,'30_W2_张力'!I9))</x:f>
        <x:v>-38</x:v>
      </x:c>
      <x:c r="I993" s="90" t="n">
        <x:f>IF(E993=0,"",MAX('30_W2_张力'!C9,'30_W2_张力'!E9,'30_W2_张力'!G9,'30_W2_张力'!I9))</x:f>
        <x:v>-34.9</x:v>
      </x:c>
      <x:c r="J993" s="32" t="str">
        <x:v>kPa</x:v>
      </x:c>
    </x:row>
    <x:row r="994">
      <x:c r="A994" s="72" t="n">
        <x:v>46240.82005787037</x:v>
      </x:c>
      <x:c r="B994" s="32" t="str">
        <x:v>土壤张力</x:v>
      </x:c>
      <x:c r="C994" s="32" t="str">
        <x:v>W2</x:v>
      </x:c>
      <x:c r="D994" s="32" t="str">
        <x:v>V1</x:v>
      </x:c>
      <x:c r="E994" s="86" t="n">
        <x:f>COUNT('30_W2_张力'!B10,'30_W2_张力'!D10,'30_W2_张力'!F10,'30_W2_张力'!H10)</x:f>
        <x:v>4</x:v>
      </x:c>
      <x:c r="F994" s="90" t="n">
        <x:f>IF(E994=0,"",AVERAGE('30_W2_张力'!B10,'30_W2_张力'!D10,'30_W2_张力'!F10,'30_W2_张力'!H10))</x:f>
        <x:v>-35.6</x:v>
      </x:c>
      <x:c r="G994" s="90" t="n">
        <x:f>IF(E994&lt;2,"",STDEV.S('30_W2_张力'!B10,'30_W2_张力'!D10,'30_W2_张力'!F10,'30_W2_张力'!H10))</x:f>
        <x:v>1.9304576314093678</x:v>
      </x:c>
      <x:c r="H994" s="90" t="n">
        <x:f>IF(E994=0,"",MIN('30_W2_张力'!B10,'30_W2_张力'!D10,'30_W2_张力'!F10,'30_W2_张力'!H10))</x:f>
        <x:v>-37.3</x:v>
      </x:c>
      <x:c r="I994" s="90" t="n">
        <x:f>IF(E994=0,"",MAX('30_W2_张力'!B10,'30_W2_张力'!D10,'30_W2_张力'!F10,'30_W2_张力'!H10))</x:f>
        <x:v>-32.9</x:v>
      </x:c>
      <x:c r="J994" s="32" t="str">
        <x:v>kPa</x:v>
      </x:c>
    </x:row>
    <x:row r="995">
      <x:c r="A995" s="72" t="n">
        <x:v>46240.82005787037</x:v>
      </x:c>
      <x:c r="B995" s="32" t="str">
        <x:v>土壤张力</x:v>
      </x:c>
      <x:c r="C995" s="32" t="str">
        <x:v>W2</x:v>
      </x:c>
      <x:c r="D995" s="32" t="str">
        <x:v>V2</x:v>
      </x:c>
      <x:c r="E995" s="86" t="n">
        <x:f>COUNT('30_W2_张力'!C10,'30_W2_张力'!E10,'30_W2_张力'!G10,'30_W2_张力'!I10)</x:f>
        <x:v>4</x:v>
      </x:c>
      <x:c r="F995" s="90" t="n">
        <x:f>IF(E995=0,"",AVERAGE('30_W2_张力'!C10,'30_W2_张力'!E10,'30_W2_张力'!G10,'30_W2_张力'!I10))</x:f>
        <x:v>-36.625</x:v>
      </x:c>
      <x:c r="G995" s="90" t="n">
        <x:f>IF(E995&lt;2,"",STDEV.S('30_W2_张力'!C10,'30_W2_张力'!E10,'30_W2_张力'!G10,'30_W2_张力'!I10))</x:f>
        <x:v>1.6640813281407454</x:v>
      </x:c>
      <x:c r="H995" s="90" t="n">
        <x:f>IF(E995=0,"",MIN('30_W2_张力'!C10,'30_W2_张力'!E10,'30_W2_张力'!G10,'30_W2_张力'!I10))</x:f>
        <x:v>-37.9</x:v>
      </x:c>
      <x:c r="I995" s="90" t="n">
        <x:f>IF(E995=0,"",MAX('30_W2_张力'!C10,'30_W2_张力'!E10,'30_W2_张力'!G10,'30_W2_张力'!I10))</x:f>
        <x:v>-34.4</x:v>
      </x:c>
      <x:c r="J995" s="32" t="str">
        <x:v>kPa</x:v>
      </x:c>
    </x:row>
    <x:row r="996">
      <x:c r="A996" s="72" t="n">
        <x:v>46240.823530092595</x:v>
      </x:c>
      <x:c r="B996" s="32" t="str">
        <x:v>土壤张力</x:v>
      </x:c>
      <x:c r="C996" s="32" t="str">
        <x:v>W2</x:v>
      </x:c>
      <x:c r="D996" s="32" t="str">
        <x:v>V1</x:v>
      </x:c>
      <x:c r="E996" s="86" t="n">
        <x:f>COUNT('30_W2_张力'!B11,'30_W2_张力'!D11,'30_W2_张力'!F11,'30_W2_张力'!H11)</x:f>
        <x:v>4</x:v>
      </x:c>
      <x:c r="F996" s="90" t="n">
        <x:f>IF(E996=0,"",AVERAGE('30_W2_张力'!B11,'30_W2_张力'!D11,'30_W2_张力'!F11,'30_W2_张力'!H11))</x:f>
        <x:v>-35.6</x:v>
      </x:c>
      <x:c r="G996" s="90" t="n">
        <x:f>IF(E996&lt;2,"",STDEV.S('30_W2_张力'!B11,'30_W2_张力'!D11,'30_W2_张力'!F11,'30_W2_张力'!H11))</x:f>
        <x:v>2.1802140567690445</x:v>
      </x:c>
      <x:c r="H996" s="90" t="n">
        <x:f>IF(E996=0,"",MIN('30_W2_张力'!B11,'30_W2_张力'!D11,'30_W2_张力'!F11,'30_W2_张力'!H11))</x:f>
        <x:v>-37.6</x:v>
      </x:c>
      <x:c r="I996" s="90" t="n">
        <x:f>IF(E996=0,"",MAX('30_W2_张力'!B11,'30_W2_张力'!D11,'30_W2_张力'!F11,'30_W2_张力'!H11))</x:f>
        <x:v>-32.5</x:v>
      </x:c>
      <x:c r="J996" s="32" t="str">
        <x:v>kPa</x:v>
      </x:c>
    </x:row>
    <x:row r="997">
      <x:c r="A997" s="72" t="n">
        <x:v>46240.823530092595</x:v>
      </x:c>
      <x:c r="B997" s="32" t="str">
        <x:v>土壤张力</x:v>
      </x:c>
      <x:c r="C997" s="32" t="str">
        <x:v>W2</x:v>
      </x:c>
      <x:c r="D997" s="32" t="str">
        <x:v>V2</x:v>
      </x:c>
      <x:c r="E997" s="86" t="n">
        <x:f>COUNT('30_W2_张力'!C11,'30_W2_张力'!E11,'30_W2_张力'!G11,'30_W2_张力'!I11)</x:f>
        <x:v>4</x:v>
      </x:c>
      <x:c r="F997" s="90" t="n">
        <x:f>IF(E997=0,"",AVERAGE('30_W2_张力'!C11,'30_W2_张力'!E11,'30_W2_张力'!G11,'30_W2_张力'!I11))</x:f>
        <x:v>-36.6</x:v>
      </x:c>
      <x:c r="G997" s="90" t="n">
        <x:f>IF(E997&lt;2,"",STDEV.S('30_W2_张力'!C11,'30_W2_张力'!E11,'30_W2_张力'!G11,'30_W2_张力'!I11))</x:f>
        <x:v>1.9304576314093678</x:v>
      </x:c>
      <x:c r="H997" s="90" t="n">
        <x:f>IF(E997=0,"",MIN('30_W2_张力'!C11,'30_W2_张力'!E11,'30_W2_张力'!G11,'30_W2_张力'!I11))</x:f>
        <x:v>-38.3</x:v>
      </x:c>
      <x:c r="I997" s="90" t="n">
        <x:f>IF(E997=0,"",MAX('30_W2_张力'!C11,'30_W2_张力'!E11,'30_W2_张力'!G11,'30_W2_张力'!I11))</x:f>
        <x:v>-33.9</x:v>
      </x:c>
      <x:c r="J997" s="32" t="str">
        <x:v>kPa</x:v>
      </x:c>
    </x:row>
    <x:row r="998">
      <x:c r="A998" s="72" t="n">
        <x:v>46240.827002314814</x:v>
      </x:c>
      <x:c r="B998" s="32" t="str">
        <x:v>土壤张力</x:v>
      </x:c>
      <x:c r="C998" s="32" t="str">
        <x:v>W2</x:v>
      </x:c>
      <x:c r="D998" s="32" t="str">
        <x:v>V1</x:v>
      </x:c>
      <x:c r="E998" s="86" t="n">
        <x:f>COUNT('30_W2_张力'!B12,'30_W2_张力'!D12,'30_W2_张力'!F12,'30_W2_张力'!H12)</x:f>
        <x:v>4</x:v>
      </x:c>
      <x:c r="F998" s="90" t="n">
        <x:f>IF(E998=0,"",AVERAGE('30_W2_张力'!B12,'30_W2_张力'!D12,'30_W2_张力'!F12,'30_W2_张力'!H12))</x:f>
        <x:v>-35.575</x:v>
      </x:c>
      <x:c r="G998" s="90" t="n">
        <x:f>IF(E998&lt;2,"",STDEV.S('30_W2_张力'!B12,'30_W2_张力'!D12,'30_W2_张力'!F12,'30_W2_张力'!H12))</x:f>
        <x:v>2.417126393054362</x:v>
      </x:c>
      <x:c r="H998" s="90" t="n">
        <x:f>IF(E998=0,"",MIN('30_W2_张力'!B12,'30_W2_张力'!D12,'30_W2_张力'!F12,'30_W2_张力'!H12))</x:f>
        <x:v>-37.9</x:v>
      </x:c>
      <x:c r="I998" s="90" t="n">
        <x:f>IF(E998=0,"",MAX('30_W2_张力'!B12,'30_W2_张力'!D12,'30_W2_张力'!F12,'30_W2_张力'!H12))</x:f>
        <x:v>-32.2</x:v>
      </x:c>
      <x:c r="J998" s="32" t="str">
        <x:v>kPa</x:v>
      </x:c>
    </x:row>
    <x:row r="999">
      <x:c r="A999" s="72" t="n">
        <x:v>46240.827002314814</x:v>
      </x:c>
      <x:c r="B999" s="32" t="str">
        <x:v>土壤张力</x:v>
      </x:c>
      <x:c r="C999" s="32" t="str">
        <x:v>W2</x:v>
      </x:c>
      <x:c r="D999" s="32" t="str">
        <x:v>V2</x:v>
      </x:c>
      <x:c r="E999" s="86" t="n">
        <x:f>COUNT('30_W2_张力'!C12,'30_W2_张力'!E12,'30_W2_张力'!G12,'30_W2_张力'!I12)</x:f>
        <x:v>4</x:v>
      </x:c>
      <x:c r="F999" s="90" t="n">
        <x:f>IF(E999=0,"",AVERAGE('30_W2_张力'!C12,'30_W2_张力'!E12,'30_W2_张力'!G12,'30_W2_张力'!I12))</x:f>
        <x:v>-36.6</x:v>
      </x:c>
      <x:c r="G999" s="90" t="n">
        <x:f>IF(E999&lt;2,"",STDEV.S('30_W2_张力'!C12,'30_W2_张力'!E12,'30_W2_张力'!G12,'30_W2_张力'!I12))</x:f>
        <x:v>2.1802140567690445</x:v>
      </x:c>
      <x:c r="H999" s="90" t="n">
        <x:f>IF(E999=0,"",MIN('30_W2_张力'!C12,'30_W2_张力'!E12,'30_W2_张力'!G12,'30_W2_张力'!I12))</x:f>
        <x:v>-38.6</x:v>
      </x:c>
      <x:c r="I999" s="90" t="n">
        <x:f>IF(E999=0,"",MAX('30_W2_张力'!C12,'30_W2_张力'!E12,'30_W2_张力'!G12,'30_W2_张力'!I12))</x:f>
        <x:v>-33.5</x:v>
      </x:c>
      <x:c r="J999" s="32" t="str">
        <x:v>kPa</x:v>
      </x:c>
    </x:row>
    <x:row r="1000">
      <x:c r="A1000" s="72" t="n">
        <x:v>46240.83047453704</x:v>
      </x:c>
      <x:c r="B1000" s="32" t="str">
        <x:v>土壤张力</x:v>
      </x:c>
      <x:c r="C1000" s="32" t="str">
        <x:v>W2</x:v>
      </x:c>
      <x:c r="D1000" s="32" t="str">
        <x:v>V1</x:v>
      </x:c>
      <x:c r="E1000" s="86" t="n">
        <x:f>COUNT('30_W2_张力'!B13,'30_W2_张力'!D13,'30_W2_张力'!F13,'30_W2_张力'!H13)</x:f>
        <x:v>4</x:v>
      </x:c>
      <x:c r="F1000" s="90" t="n">
        <x:f>IF(E1000=0,"",AVERAGE('30_W2_张力'!B13,'30_W2_张力'!D13,'30_W2_张力'!F13,'30_W2_张力'!H13))</x:f>
        <x:v>-35.6</x:v>
      </x:c>
      <x:c r="G1000" s="90" t="n">
        <x:f>IF(E1000&lt;2,"",STDEV.S('30_W2_张力'!B13,'30_W2_张力'!D13,'30_W2_张力'!F13,'30_W2_张力'!H13))</x:f>
        <x:v>2.565151067676131</x:v>
      </x:c>
      <x:c r="H1000" s="90" t="n">
        <x:f>IF(E1000=0,"",MIN('30_W2_张力'!B13,'30_W2_张力'!D13,'30_W2_张力'!F13,'30_W2_张力'!H13))</x:f>
        <x:v>-38</x:v>
      </x:c>
      <x:c r="I1000" s="90" t="n">
        <x:f>IF(E1000=0,"",MAX('30_W2_张力'!B13,'30_W2_张力'!D13,'30_W2_张力'!F13,'30_W2_张力'!H13))</x:f>
        <x:v>-32.1</x:v>
      </x:c>
      <x:c r="J1000" s="32" t="str">
        <x:v>kPa</x:v>
      </x:c>
    </x:row>
    <x:row r="1001">
      <x:c r="A1001" s="72" t="n">
        <x:v>46240.83047453704</x:v>
      </x:c>
      <x:c r="B1001" s="32" t="str">
        <x:v>土壤张力</x:v>
      </x:c>
      <x:c r="C1001" s="32" t="str">
        <x:v>W2</x:v>
      </x:c>
      <x:c r="D1001" s="32" t="str">
        <x:v>V2</x:v>
      </x:c>
      <x:c r="E1001" s="86" t="n">
        <x:f>COUNT('30_W2_张力'!C13,'30_W2_张力'!E13,'30_W2_张力'!G13,'30_W2_张力'!I13)</x:f>
        <x:v>4</x:v>
      </x:c>
      <x:c r="F1001" s="90" t="n">
        <x:f>IF(E1001=0,"",AVERAGE('30_W2_张力'!C13,'30_W2_张力'!E13,'30_W2_张力'!G13,'30_W2_张力'!I13))</x:f>
        <x:v>-36.575</x:v>
      </x:c>
      <x:c r="G1001" s="90" t="n">
        <x:f>IF(E1001&lt;2,"",STDEV.S('30_W2_张力'!C13,'30_W2_张力'!E13,'30_W2_张力'!G13,'30_W2_张力'!I13))</x:f>
        <x:v>2.417126393054362</x:v>
      </x:c>
      <x:c r="H1001" s="90" t="n">
        <x:f>IF(E1001=0,"",MIN('30_W2_张力'!C13,'30_W2_张力'!E13,'30_W2_张力'!G13,'30_W2_张力'!I13))</x:f>
        <x:v>-38.9</x:v>
      </x:c>
      <x:c r="I1001" s="90" t="n">
        <x:f>IF(E1001=0,"",MAX('30_W2_张力'!C13,'30_W2_张力'!E13,'30_W2_张力'!G13,'30_W2_张力'!I13))</x:f>
        <x:v>-33.2</x:v>
      </x:c>
      <x:c r="J1001" s="32" t="str">
        <x:v>kPa</x:v>
      </x:c>
    </x:row>
    <x:row r="1002">
      <x:c r="A1002" s="72" t="n">
        <x:v>46240.83394675926</x:v>
      </x:c>
      <x:c r="B1002" s="32" t="str">
        <x:v>土壤张力</x:v>
      </x:c>
      <x:c r="C1002" s="32" t="str">
        <x:v>W2</x:v>
      </x:c>
      <x:c r="D1002" s="32" t="str">
        <x:v>V1</x:v>
      </x:c>
      <x:c r="E1002" s="86" t="n">
        <x:f>COUNT('30_W2_张力'!B14,'30_W2_张力'!D14,'30_W2_张力'!F14,'30_W2_张力'!H14)</x:f>
        <x:v>4</x:v>
      </x:c>
      <x:c r="F1002" s="90" t="n">
        <x:f>IF(E1002=0,"",AVERAGE('30_W2_张力'!B14,'30_W2_张力'!D14,'30_W2_张力'!F14,'30_W2_张力'!H14))</x:f>
        <x:v>-35.575</x:v>
      </x:c>
      <x:c r="G1002" s="90" t="n">
        <x:f>IF(E1002&lt;2,"",STDEV.S('30_W2_张力'!B14,'30_W2_张力'!D14,'30_W2_张力'!F14,'30_W2_张力'!H14))</x:f>
        <x:v>2.7354158733179856</x:v>
      </x:c>
      <x:c r="H1002" s="90" t="n">
        <x:f>IF(E1002=0,"",MIN('30_W2_张力'!B14,'30_W2_张力'!D14,'30_W2_张力'!F14,'30_W2_张力'!H14))</x:f>
        <x:v>-38</x:v>
      </x:c>
      <x:c r="I1002" s="90" t="n">
        <x:f>IF(E1002=0,"",MAX('30_W2_张力'!B14,'30_W2_张力'!D14,'30_W2_张力'!F14,'30_W2_张力'!H14))</x:f>
        <x:v>-32</x:v>
      </x:c>
      <x:c r="J1002" s="32" t="str">
        <x:v>kPa</x:v>
      </x:c>
    </x:row>
    <x:row r="1003">
      <x:c r="A1003" s="72" t="n">
        <x:v>46240.83394675926</x:v>
      </x:c>
      <x:c r="B1003" s="32" t="str">
        <x:v>土壤张力</x:v>
      </x:c>
      <x:c r="C1003" s="32" t="str">
        <x:v>W2</x:v>
      </x:c>
      <x:c r="D1003" s="32" t="str">
        <x:v>V2</x:v>
      </x:c>
      <x:c r="E1003" s="86" t="n">
        <x:f>COUNT('30_W2_张力'!C14,'30_W2_张力'!E14,'30_W2_张力'!G14,'30_W2_张力'!I14)</x:f>
        <x:v>4</x:v>
      </x:c>
      <x:c r="F1003" s="90" t="n">
        <x:f>IF(E1003=0,"",AVERAGE('30_W2_张力'!C14,'30_W2_张力'!E14,'30_W2_张力'!G14,'30_W2_张力'!I14))</x:f>
        <x:v>-36.6</x:v>
      </x:c>
      <x:c r="G1003" s="90" t="n">
        <x:f>IF(E1003&lt;2,"",STDEV.S('30_W2_张力'!C14,'30_W2_张力'!E14,'30_W2_张力'!G14,'30_W2_张力'!I14))</x:f>
        <x:v>2.565151067676131</x:v>
      </x:c>
      <x:c r="H1003" s="90" t="n">
        <x:f>IF(E1003=0,"",MIN('30_W2_张力'!C14,'30_W2_张力'!E14,'30_W2_张力'!G14,'30_W2_张力'!I14))</x:f>
        <x:v>-39</x:v>
      </x:c>
      <x:c r="I1003" s="90" t="n">
        <x:f>IF(E1003=0,"",MAX('30_W2_张力'!C14,'30_W2_张力'!E14,'30_W2_张力'!G14,'30_W2_张力'!I14))</x:f>
        <x:v>-33.1</x:v>
      </x:c>
      <x:c r="J1003" s="32" t="str">
        <x:v>kPa</x:v>
      </x:c>
    </x:row>
    <x:row r="1004">
      <x:c r="A1004" s="72" t="n">
        <x:v>46240.83741898148</x:v>
      </x:c>
      <x:c r="B1004" s="32" t="str">
        <x:v>土壤张力</x:v>
      </x:c>
      <x:c r="C1004" s="32" t="str">
        <x:v>W2</x:v>
      </x:c>
      <x:c r="D1004" s="32" t="str">
        <x:v>V1</x:v>
      </x:c>
      <x:c r="E1004" s="86" t="n">
        <x:f>COUNT('30_W2_张力'!B15,'30_W2_张力'!D15,'30_W2_张力'!F15,'30_W2_张力'!H15)</x:f>
        <x:v>4</x:v>
      </x:c>
      <x:c r="F1004" s="90" t="n">
        <x:f>IF(E1004=0,"",AVERAGE('30_W2_张力'!B15,'30_W2_张力'!D15,'30_W2_张力'!F15,'30_W2_张力'!H15))</x:f>
        <x:v>-35.575</x:v>
      </x:c>
      <x:c r="G1004" s="90" t="n">
        <x:f>IF(E1004&lt;2,"",STDEV.S('30_W2_张力'!B15,'30_W2_张力'!D15,'30_W2_张力'!F15,'30_W2_张力'!H15))</x:f>
        <x:v>2.8441460346941856</x:v>
      </x:c>
      <x:c r="H1004" s="90" t="n">
        <x:f>IF(E1004=0,"",MIN('30_W2_张力'!B15,'30_W2_张力'!D15,'30_W2_张力'!F15,'30_W2_张力'!H15))</x:f>
        <x:v>-37.9</x:v>
      </x:c>
      <x:c r="I1004" s="90" t="n">
        <x:f>IF(E1004=0,"",MAX('30_W2_张力'!B15,'30_W2_张力'!D15,'30_W2_张力'!F15,'30_W2_张力'!H15))</x:f>
        <x:v>-32.1</x:v>
      </x:c>
      <x:c r="J1004" s="32" t="str">
        <x:v>kPa</x:v>
      </x:c>
    </x:row>
    <x:row r="1005">
      <x:c r="A1005" s="72" t="n">
        <x:v>46240.83741898148</x:v>
      </x:c>
      <x:c r="B1005" s="32" t="str">
        <x:v>土壤张力</x:v>
      </x:c>
      <x:c r="C1005" s="32" t="str">
        <x:v>W2</x:v>
      </x:c>
      <x:c r="D1005" s="32" t="str">
        <x:v>V2</x:v>
      </x:c>
      <x:c r="E1005" s="86" t="n">
        <x:f>COUNT('30_W2_张力'!C15,'30_W2_张力'!E15,'30_W2_张力'!G15,'30_W2_张力'!I15)</x:f>
        <x:v>4</x:v>
      </x:c>
      <x:c r="F1005" s="90" t="n">
        <x:f>IF(E1005=0,"",AVERAGE('30_W2_张力'!C15,'30_W2_张力'!E15,'30_W2_张力'!G15,'30_W2_张力'!I15))</x:f>
        <x:v>-36.575</x:v>
      </x:c>
      <x:c r="G1005" s="90" t="n">
        <x:f>IF(E1005&lt;2,"",STDEV.S('30_W2_张力'!C15,'30_W2_张力'!E15,'30_W2_张力'!G15,'30_W2_张力'!I15))</x:f>
        <x:v>2.7354158733179856</x:v>
      </x:c>
      <x:c r="H1005" s="90" t="n">
        <x:f>IF(E1005=0,"",MIN('30_W2_张力'!C15,'30_W2_张力'!E15,'30_W2_张力'!G15,'30_W2_张力'!I15))</x:f>
        <x:v>-39</x:v>
      </x:c>
      <x:c r="I1005" s="90" t="n">
        <x:f>IF(E1005=0,"",MAX('30_W2_张力'!C15,'30_W2_张力'!E15,'30_W2_张力'!G15,'30_W2_张力'!I15))</x:f>
        <x:v>-33</x:v>
      </x:c>
      <x:c r="J1005" s="32" t="str">
        <x:v>kPa</x:v>
      </x:c>
    </x:row>
    <x:row r="1006">
      <x:c r="A1006" s="72" t="n">
        <x:v>46240.840891203705</x:v>
      </x:c>
      <x:c r="B1006" s="32" t="str">
        <x:v>土壤张力</x:v>
      </x:c>
      <x:c r="C1006" s="32" t="str">
        <x:v>W2</x:v>
      </x:c>
      <x:c r="D1006" s="32" t="str">
        <x:v>V1</x:v>
      </x:c>
      <x:c r="E1006" s="86" t="n">
        <x:f>COUNT('30_W2_张力'!B16,'30_W2_张力'!D16,'30_W2_张力'!F16,'30_W2_张力'!H16)</x:f>
        <x:v>4</x:v>
      </x:c>
      <x:c r="F1006" s="90" t="n">
        <x:f>IF(E1006=0,"",AVERAGE('30_W2_张力'!B16,'30_W2_张力'!D16,'30_W2_张力'!F16,'30_W2_张力'!H16))</x:f>
        <x:v>-35.5</x:v>
      </x:c>
      <x:c r="G1006" s="90" t="n">
        <x:f>IF(E1006&lt;2,"",STDEV.S('30_W2_张力'!B16,'30_W2_张力'!D16,'30_W2_张力'!F16,'30_W2_张力'!H16))</x:f>
        <x:v>2.926886855802024</x:v>
      </x:c>
      <x:c r="H1006" s="90" t="n">
        <x:f>IF(E1006=0,"",MIN('30_W2_张力'!B16,'30_W2_张力'!D16,'30_W2_张力'!F16,'30_W2_张力'!H16))</x:f>
        <x:v>-38.3</x:v>
      </x:c>
      <x:c r="I1006" s="90" t="n">
        <x:f>IF(E1006=0,"",MAX('30_W2_张力'!B16,'30_W2_张力'!D16,'30_W2_张力'!F16,'30_W2_张力'!H16))</x:f>
        <x:v>-32.2</x:v>
      </x:c>
      <x:c r="J1006" s="32" t="str">
        <x:v>kPa</x:v>
      </x:c>
    </x:row>
    <x:row r="1007">
      <x:c r="A1007" s="72" t="n">
        <x:v>46240.840891203705</x:v>
      </x:c>
      <x:c r="B1007" s="32" t="str">
        <x:v>土壤张力</x:v>
      </x:c>
      <x:c r="C1007" s="32" t="str">
        <x:v>W2</x:v>
      </x:c>
      <x:c r="D1007" s="32" t="str">
        <x:v>V2</x:v>
      </x:c>
      <x:c r="E1007" s="86" t="n">
        <x:f>COUNT('30_W2_张力'!C16,'30_W2_张力'!E16,'30_W2_张力'!G16,'30_W2_张力'!I16)</x:f>
        <x:v>4</x:v>
      </x:c>
      <x:c r="F1007" s="90" t="n">
        <x:f>IF(E1007=0,"",AVERAGE('30_W2_张力'!C16,'30_W2_张力'!E16,'30_W2_张力'!G16,'30_W2_张力'!I16))</x:f>
        <x:v>-36.575</x:v>
      </x:c>
      <x:c r="G1007" s="90" t="n">
        <x:f>IF(E1007&lt;2,"",STDEV.S('30_W2_张力'!C16,'30_W2_张力'!E16,'30_W2_张力'!G16,'30_W2_张力'!I16))</x:f>
        <x:v>2.8441460346941856</x:v>
      </x:c>
      <x:c r="H1007" s="90" t="n">
        <x:f>IF(E1007=0,"",MIN('30_W2_张力'!C16,'30_W2_张力'!E16,'30_W2_张力'!G16,'30_W2_张力'!I16))</x:f>
        <x:v>-38.9</x:v>
      </x:c>
      <x:c r="I1007" s="90" t="n">
        <x:f>IF(E1007=0,"",MAX('30_W2_张力'!C16,'30_W2_张力'!E16,'30_W2_张力'!G16,'30_W2_张力'!I16))</x:f>
        <x:v>-33.1</x:v>
      </x:c>
      <x:c r="J1007" s="32" t="str">
        <x:v>kPa</x:v>
      </x:c>
    </x:row>
    <x:row r="1008">
      <x:c r="A1008" s="72" t="n">
        <x:v>46240.844363425924</x:v>
      </x:c>
      <x:c r="B1008" s="32" t="str">
        <x:v>土壤张力</x:v>
      </x:c>
      <x:c r="C1008" s="32" t="str">
        <x:v>W2</x:v>
      </x:c>
      <x:c r="D1008" s="32" t="str">
        <x:v>V1</x:v>
      </x:c>
      <x:c r="E1008" s="86" t="n">
        <x:f>COUNT('30_W2_张力'!B17,'30_W2_张力'!D17,'30_W2_张力'!F17,'30_W2_张力'!H17)</x:f>
        <x:v>4</x:v>
      </x:c>
      <x:c r="F1008" s="90" t="n">
        <x:f>IF(E1008=0,"",AVERAGE('30_W2_张力'!B17,'30_W2_张力'!D17,'30_W2_张力'!F17,'30_W2_张力'!H17))</x:f>
        <x:v>-35.475</x:v>
      </x:c>
      <x:c r="G1008" s="90" t="n">
        <x:f>IF(E1008&lt;2,"",STDEV.S('30_W2_张力'!B17,'30_W2_张力'!D17,'30_W2_张力'!F17,'30_W2_张力'!H17))</x:f>
        <x:v>2.9352739792621287</x:v>
      </x:c>
      <x:c r="H1008" s="90" t="n">
        <x:f>IF(E1008=0,"",MIN('30_W2_张力'!B17,'30_W2_张力'!D17,'30_W2_张力'!F17,'30_W2_张力'!H17))</x:f>
        <x:v>-38.6</x:v>
      </x:c>
      <x:c r="I1008" s="90" t="n">
        <x:f>IF(E1008=0,"",MAX('30_W2_张力'!B17,'30_W2_张力'!D17,'30_W2_张力'!F17,'30_W2_张力'!H17))</x:f>
        <x:v>-32.5</x:v>
      </x:c>
      <x:c r="J1008" s="32" t="str">
        <x:v>kPa</x:v>
      </x:c>
    </x:row>
    <x:row r="1009">
      <x:c r="A1009" s="72" t="n">
        <x:v>46240.844363425924</x:v>
      </x:c>
      <x:c r="B1009" s="32" t="str">
        <x:v>土壤张力</x:v>
      </x:c>
      <x:c r="C1009" s="32" t="str">
        <x:v>W2</x:v>
      </x:c>
      <x:c r="D1009" s="32" t="str">
        <x:v>V2</x:v>
      </x:c>
      <x:c r="E1009" s="86" t="n">
        <x:f>COUNT('30_W2_张力'!C17,'30_W2_张力'!E17,'30_W2_张力'!G17,'30_W2_张力'!I17)</x:f>
        <x:v>4</x:v>
      </x:c>
      <x:c r="F1009" s="90" t="n">
        <x:f>IF(E1009=0,"",AVERAGE('30_W2_张力'!C17,'30_W2_张力'!E17,'30_W2_张力'!G17,'30_W2_张力'!I17))</x:f>
        <x:v>-36.5</x:v>
      </x:c>
      <x:c r="G1009" s="90" t="n">
        <x:f>IF(E1009&lt;2,"",STDEV.S('30_W2_张力'!C17,'30_W2_张力'!E17,'30_W2_张力'!G17,'30_W2_张力'!I17))</x:f>
        <x:v>2.926886855802024</x:v>
      </x:c>
      <x:c r="H1009" s="90" t="n">
        <x:f>IF(E1009=0,"",MIN('30_W2_张力'!C17,'30_W2_张力'!E17,'30_W2_张力'!G17,'30_W2_张力'!I17))</x:f>
        <x:v>-39.3</x:v>
      </x:c>
      <x:c r="I1009" s="90" t="n">
        <x:f>IF(E1009=0,"",MAX('30_W2_张力'!C17,'30_W2_张力'!E17,'30_W2_张力'!G17,'30_W2_张力'!I17))</x:f>
        <x:v>-33.2</x:v>
      </x:c>
      <x:c r="J1009" s="32" t="str">
        <x:v>kPa</x:v>
      </x:c>
    </x:row>
    <x:row r="1010">
      <x:c r="A1010" s="72" t="n">
        <x:v>46240.84783564815</x:v>
      </x:c>
      <x:c r="B1010" s="32" t="str">
        <x:v>土壤张力</x:v>
      </x:c>
      <x:c r="C1010" s="32" t="str">
        <x:v>W2</x:v>
      </x:c>
      <x:c r="D1010" s="32" t="str">
        <x:v>V1</x:v>
      </x:c>
      <x:c r="E1010" s="86" t="n">
        <x:f>COUNT('30_W2_张力'!B18,'30_W2_张力'!D18,'30_W2_张力'!F18,'30_W2_张力'!H18)</x:f>
        <x:v>4</x:v>
      </x:c>
      <x:c r="F1010" s="90" t="n">
        <x:f>IF(E1010=0,"",AVERAGE('30_W2_张力'!B18,'30_W2_张力'!D18,'30_W2_张力'!F18,'30_W2_张力'!H18))</x:f>
        <x:v>-35.449999999999996</x:v>
      </x:c>
      <x:c r="G1010" s="90" t="n">
        <x:f>IF(E1010&lt;2,"",STDEV.S('30_W2_张力'!B18,'30_W2_张力'!D18,'30_W2_张力'!F18,'30_W2_张力'!H18))</x:f>
        <x:v>2.903446228191594</x:v>
      </x:c>
      <x:c r="H1010" s="90" t="n">
        <x:f>IF(E1010=0,"",MIN('30_W2_张力'!B18,'30_W2_张力'!D18,'30_W2_张力'!F18,'30_W2_张力'!H18))</x:f>
        <x:v>-38.9</x:v>
      </x:c>
      <x:c r="I1010" s="90" t="n">
        <x:f>IF(E1010=0,"",MAX('30_W2_张力'!B18,'30_W2_张力'!D18,'30_W2_张力'!F18,'30_W2_张力'!H18))</x:f>
        <x:v>-32.9</x:v>
      </x:c>
      <x:c r="J1010" s="32" t="str">
        <x:v>kPa</x:v>
      </x:c>
    </x:row>
    <x:row r="1011">
      <x:c r="A1011" s="72" t="n">
        <x:v>46240.84783564815</x:v>
      </x:c>
      <x:c r="B1011" s="32" t="str">
        <x:v>土壤张力</x:v>
      </x:c>
      <x:c r="C1011" s="32" t="str">
        <x:v>W2</x:v>
      </x:c>
      <x:c r="D1011" s="32" t="str">
        <x:v>V2</x:v>
      </x:c>
      <x:c r="E1011" s="86" t="n">
        <x:f>COUNT('30_W2_张力'!C18,'30_W2_张力'!E18,'30_W2_张力'!G18,'30_W2_张力'!I18)</x:f>
        <x:v>4</x:v>
      </x:c>
      <x:c r="F1011" s="90" t="n">
        <x:f>IF(E1011=0,"",AVERAGE('30_W2_张力'!C18,'30_W2_张力'!E18,'30_W2_张力'!G18,'30_W2_张力'!I18))</x:f>
        <x:v>-36.475</x:v>
      </x:c>
      <x:c r="G1011" s="90" t="n">
        <x:f>IF(E1011&lt;2,"",STDEV.S('30_W2_张力'!C18,'30_W2_张力'!E18,'30_W2_张力'!G18,'30_W2_张力'!I18))</x:f>
        <x:v>2.9352739792621287</x:v>
      </x:c>
      <x:c r="H1011" s="90" t="n">
        <x:f>IF(E1011=0,"",MIN('30_W2_张力'!C18,'30_W2_张力'!E18,'30_W2_张力'!G18,'30_W2_张力'!I18))</x:f>
        <x:v>-39.6</x:v>
      </x:c>
      <x:c r="I1011" s="90" t="n">
        <x:f>IF(E1011=0,"",MAX('30_W2_张力'!C18,'30_W2_张力'!E18,'30_W2_张力'!G18,'30_W2_张力'!I18))</x:f>
        <x:v>-33.5</x:v>
      </x:c>
      <x:c r="J1011" s="32" t="str">
        <x:v>kPa</x:v>
      </x:c>
    </x:row>
    <x:row r="1012">
      <x:c r="A1012" s="72" t="n">
        <x:v>46240.85130787037</x:v>
      </x:c>
      <x:c r="B1012" s="32" t="str">
        <x:v>土壤张力</x:v>
      </x:c>
      <x:c r="C1012" s="32" t="str">
        <x:v>W2</x:v>
      </x:c>
      <x:c r="D1012" s="32" t="str">
        <x:v>V1</x:v>
      </x:c>
      <x:c r="E1012" s="86" t="n">
        <x:f>COUNT('30_W2_张力'!B19,'30_W2_张力'!D19,'30_W2_张力'!F19,'30_W2_张力'!H19)</x:f>
        <x:v>4</x:v>
      </x:c>
      <x:c r="F1012" s="90" t="n">
        <x:f>IF(E1012=0,"",AVERAGE('30_W2_张力'!B19,'30_W2_张力'!D19,'30_W2_张力'!F19,'30_W2_张力'!H19))</x:f>
        <x:v>-35.475</x:v>
      </x:c>
      <x:c r="G1012" s="90" t="n">
        <x:f>IF(E1012&lt;2,"",STDEV.S('30_W2_张力'!B19,'30_W2_张力'!D19,'30_W2_张力'!F19,'30_W2_张力'!H19))</x:f>
        <x:v>2.782534815595305</x:v>
      </x:c>
      <x:c r="H1012" s="90" t="n">
        <x:f>IF(E1012=0,"",MIN('30_W2_张力'!B19,'30_W2_张力'!D19,'30_W2_张力'!F19,'30_W2_张力'!H19))</x:f>
        <x:v>-39</x:v>
      </x:c>
      <x:c r="I1012" s="90" t="n">
        <x:f>IF(E1012=0,"",MAX('30_W2_张力'!B19,'30_W2_张力'!D19,'30_W2_张力'!F19,'30_W2_张力'!H19))</x:f>
        <x:v>-33.1</x:v>
      </x:c>
      <x:c r="J1012" s="32" t="str">
        <x:v>kPa</x:v>
      </x:c>
    </x:row>
    <x:row r="1013">
      <x:c r="A1013" s="72" t="n">
        <x:v>46240.85130787037</x:v>
      </x:c>
      <x:c r="B1013" s="32" t="str">
        <x:v>土壤张力</x:v>
      </x:c>
      <x:c r="C1013" s="32" t="str">
        <x:v>W2</x:v>
      </x:c>
      <x:c r="D1013" s="32" t="str">
        <x:v>V2</x:v>
      </x:c>
      <x:c r="E1013" s="86" t="n">
        <x:f>COUNT('30_W2_张力'!C19,'30_W2_张力'!E19,'30_W2_张力'!G19,'30_W2_张力'!I19)</x:f>
        <x:v>4</x:v>
      </x:c>
      <x:c r="F1013" s="90" t="n">
        <x:f>IF(E1013=0,"",AVERAGE('30_W2_张力'!C19,'30_W2_张力'!E19,'30_W2_张力'!G19,'30_W2_张力'!I19))</x:f>
        <x:v>-36.449999999999996</x:v>
      </x:c>
      <x:c r="G1013" s="90" t="n">
        <x:f>IF(E1013&lt;2,"",STDEV.S('30_W2_张力'!C19,'30_W2_张力'!E19,'30_W2_张力'!G19,'30_W2_张力'!I19))</x:f>
        <x:v>2.903446228191594</x:v>
      </x:c>
      <x:c r="H1013" s="90" t="n">
        <x:f>IF(E1013=0,"",MIN('30_W2_张力'!C19,'30_W2_张力'!E19,'30_W2_张力'!G19,'30_W2_张力'!I19))</x:f>
        <x:v>-39.9</x:v>
      </x:c>
      <x:c r="I1013" s="90" t="n">
        <x:f>IF(E1013=0,"",MAX('30_W2_张力'!C19,'30_W2_张力'!E19,'30_W2_张力'!G19,'30_W2_张力'!I19))</x:f>
        <x:v>-33.9</x:v>
      </x:c>
      <x:c r="J1013" s="32" t="str">
        <x:v>kPa</x:v>
      </x:c>
    </x:row>
    <x:row r="1014">
      <x:c r="A1014" s="72" t="n">
        <x:v>46240.854780092595</x:v>
      </x:c>
      <x:c r="B1014" s="32" t="str">
        <x:v>土壤张力</x:v>
      </x:c>
      <x:c r="C1014" s="32" t="str">
        <x:v>W2</x:v>
      </x:c>
      <x:c r="D1014" s="32" t="str">
        <x:v>V1</x:v>
      </x:c>
      <x:c r="E1014" s="86" t="n">
        <x:f>COUNT('30_W2_张力'!B20,'30_W2_张力'!D20,'30_W2_张力'!F20,'30_W2_张力'!H20)</x:f>
        <x:v>4</x:v>
      </x:c>
      <x:c r="F1014" s="90" t="n">
        <x:f>IF(E1014=0,"",AVERAGE('30_W2_张力'!B20,'30_W2_张力'!D20,'30_W2_张力'!F20,'30_W2_张力'!H20))</x:f>
        <x:v>-35.425</x:v>
      </x:c>
      <x:c r="G1014" s="90" t="n">
        <x:f>IF(E1014&lt;2,"",STDEV.S('30_W2_张力'!B20,'30_W2_张力'!D20,'30_W2_张力'!F20,'30_W2_张力'!H20))</x:f>
        <x:v>2.678774595469603</x:v>
      </x:c>
      <x:c r="H1014" s="90" t="n">
        <x:f>IF(E1014=0,"",MIN('30_W2_张力'!B20,'30_W2_张力'!D20,'30_W2_张力'!F20,'30_W2_张力'!H20))</x:f>
        <x:v>-39</x:v>
      </x:c>
      <x:c r="I1014" s="90" t="n">
        <x:f>IF(E1014=0,"",MAX('30_W2_张力'!B20,'30_W2_张力'!D20,'30_W2_张力'!F20,'30_W2_张力'!H20))</x:f>
        <x:v>-33</x:v>
      </x:c>
      <x:c r="J1014" s="32" t="str">
        <x:v>kPa</x:v>
      </x:c>
    </x:row>
    <x:row r="1015">
      <x:c r="A1015" s="72" t="n">
        <x:v>46240.854780092595</x:v>
      </x:c>
      <x:c r="B1015" s="32" t="str">
        <x:v>土壤张力</x:v>
      </x:c>
      <x:c r="C1015" s="32" t="str">
        <x:v>W2</x:v>
      </x:c>
      <x:c r="D1015" s="32" t="str">
        <x:v>V2</x:v>
      </x:c>
      <x:c r="E1015" s="86" t="n">
        <x:f>COUNT('30_W2_张力'!C20,'30_W2_张力'!E20,'30_W2_张力'!G20,'30_W2_张力'!I20)</x:f>
        <x:v>4</x:v>
      </x:c>
      <x:c r="F1015" s="90" t="n">
        <x:f>IF(E1015=0,"",AVERAGE('30_W2_张力'!C20,'30_W2_张力'!E20,'30_W2_张力'!G20,'30_W2_张力'!I20))</x:f>
        <x:v>-36.475</x:v>
      </x:c>
      <x:c r="G1015" s="90" t="n">
        <x:f>IF(E1015&lt;2,"",STDEV.S('30_W2_张力'!C20,'30_W2_张力'!E20,'30_W2_张力'!G20,'30_W2_张力'!I20))</x:f>
        <x:v>2.782534815595305</x:v>
      </x:c>
      <x:c r="H1015" s="90" t="n">
        <x:f>IF(E1015=0,"",MIN('30_W2_张力'!C20,'30_W2_张力'!E20,'30_W2_张力'!G20,'30_W2_张力'!I20))</x:f>
        <x:v>-40</x:v>
      </x:c>
      <x:c r="I1015" s="90" t="n">
        <x:f>IF(E1015=0,"",MAX('30_W2_张力'!C20,'30_W2_张力'!E20,'30_W2_张力'!G20,'30_W2_张力'!I20))</x:f>
        <x:v>-34.1</x:v>
      </x:c>
      <x:c r="J1015" s="32" t="str">
        <x:v>kPa</x:v>
      </x:c>
    </x:row>
    <x:row r="1016">
      <x:c r="A1016" s="72" t="n">
        <x:v>46240.858252314814</x:v>
      </x:c>
      <x:c r="B1016" s="32" t="str">
        <x:v>土壤张力</x:v>
      </x:c>
      <x:c r="C1016" s="32" t="str">
        <x:v>W2</x:v>
      </x:c>
      <x:c r="D1016" s="32" t="str">
        <x:v>V1</x:v>
      </x:c>
      <x:c r="E1016" s="86" t="n">
        <x:f>COUNT('30_W2_张力'!B21,'30_W2_张力'!D21,'30_W2_张力'!F21,'30_W2_张力'!H21)</x:f>
        <x:v>4</x:v>
      </x:c>
      <x:c r="F1016" s="90" t="n">
        <x:f>IF(E1016=0,"",AVERAGE('30_W2_张力'!B21,'30_W2_张力'!D21,'30_W2_张力'!F21,'30_W2_张力'!H21))</x:f>
        <x:v>-35.425000000000004</x:v>
      </x:c>
      <x:c r="G1016" s="90" t="n">
        <x:f>IF(E1016&lt;2,"",STDEV.S('30_W2_张力'!B21,'30_W2_张力'!D21,'30_W2_张力'!F21,'30_W2_张力'!H21))</x:f>
        <x:v>2.4998333277774067</x:v>
      </x:c>
      <x:c r="H1016" s="90" t="n">
        <x:f>IF(E1016=0,"",MIN('30_W2_张力'!B21,'30_W2_张力'!D21,'30_W2_张力'!F21,'30_W2_张力'!H21))</x:f>
        <x:v>-38.9</x:v>
      </x:c>
      <x:c r="I1016" s="90" t="n">
        <x:f>IF(E1016=0,"",MAX('30_W2_张力'!B21,'30_W2_张力'!D21,'30_W2_张力'!F21,'30_W2_张力'!H21))</x:f>
        <x:v>-33.1</x:v>
      </x:c>
      <x:c r="J1016" s="32" t="str">
        <x:v>kPa</x:v>
      </x:c>
    </x:row>
    <x:row r="1017">
      <x:c r="A1017" s="72" t="n">
        <x:v>46240.858252314814</x:v>
      </x:c>
      <x:c r="B1017" s="32" t="str">
        <x:v>土壤张力</x:v>
      </x:c>
      <x:c r="C1017" s="32" t="str">
        <x:v>W2</x:v>
      </x:c>
      <x:c r="D1017" s="32" t="str">
        <x:v>V2</x:v>
      </x:c>
      <x:c r="E1017" s="86" t="n">
        <x:f>COUNT('30_W2_张力'!C21,'30_W2_张力'!E21,'30_W2_张力'!G21,'30_W2_张力'!I21)</x:f>
        <x:v>4</x:v>
      </x:c>
      <x:c r="F1017" s="90" t="n">
        <x:f>IF(E1017=0,"",AVERAGE('30_W2_张力'!C21,'30_W2_张力'!E21,'30_W2_张力'!G21,'30_W2_张力'!I21))</x:f>
        <x:v>-36.425</x:v>
      </x:c>
      <x:c r="G1017" s="90" t="n">
        <x:f>IF(E1017&lt;2,"",STDEV.S('30_W2_张力'!C21,'30_W2_张力'!E21,'30_W2_张力'!G21,'30_W2_张力'!I21))</x:f>
        <x:v>2.678774595469603</x:v>
      </x:c>
      <x:c r="H1017" s="90" t="n">
        <x:f>IF(E1017=0,"",MIN('30_W2_张力'!C21,'30_W2_张力'!E21,'30_W2_张力'!G21,'30_W2_张力'!I21))</x:f>
        <x:v>-40</x:v>
      </x:c>
      <x:c r="I1017" s="90" t="n">
        <x:f>IF(E1017=0,"",MAX('30_W2_张力'!C21,'30_W2_张力'!E21,'30_W2_张力'!G21,'30_W2_张力'!I21))</x:f>
        <x:v>-34</x:v>
      </x:c>
      <x:c r="J1017" s="32" t="str">
        <x:v>kPa</x:v>
      </x:c>
    </x:row>
    <x:row r="1018">
      <x:c r="A1018" s="72" t="n">
        <x:v>46240.86172453704</x:v>
      </x:c>
      <x:c r="B1018" s="32" t="str">
        <x:v>土壤张力</x:v>
      </x:c>
      <x:c r="C1018" s="32" t="str">
        <x:v>W2</x:v>
      </x:c>
      <x:c r="D1018" s="32" t="str">
        <x:v>V1</x:v>
      </x:c>
      <x:c r="E1018" s="86" t="n">
        <x:f>COUNT('30_W2_张力'!B22,'30_W2_张力'!D22,'30_W2_张力'!F22,'30_W2_张力'!H22)</x:f>
        <x:v>4</x:v>
      </x:c>
      <x:c r="F1018" s="90" t="n">
        <x:f>IF(E1018=0,"",AVERAGE('30_W2_张力'!B22,'30_W2_张力'!D22,'30_W2_张力'!F22,'30_W2_张力'!H22))</x:f>
        <x:v>-35.375</x:v>
      </x:c>
      <x:c r="G1018" s="90" t="n">
        <x:f>IF(E1018&lt;2,"",STDEV.S('30_W2_张力'!B22,'30_W2_张力'!D22,'30_W2_张力'!F22,'30_W2_张力'!H22))</x:f>
        <x:v>2.286737122335374</x:v>
      </x:c>
      <x:c r="H1018" s="90" t="n">
        <x:f>IF(E1018=0,"",MIN('30_W2_张力'!B22,'30_W2_张力'!D22,'30_W2_张力'!F22,'30_W2_张力'!H22))</x:f>
        <x:v>-38.6</x:v>
      </x:c>
      <x:c r="I1018" s="90" t="n">
        <x:f>IF(E1018=0,"",MAX('30_W2_张力'!B22,'30_W2_张力'!D22,'30_W2_张力'!F22,'30_W2_张力'!H22))</x:f>
        <x:v>-33.2</x:v>
      </x:c>
      <x:c r="J1018" s="32" t="str">
        <x:v>kPa</x:v>
      </x:c>
    </x:row>
    <x:row r="1019">
      <x:c r="A1019" s="72" t="n">
        <x:v>46240.86172453704</x:v>
      </x:c>
      <x:c r="B1019" s="32" t="str">
        <x:v>土壤张力</x:v>
      </x:c>
      <x:c r="C1019" s="32" t="str">
        <x:v>W2</x:v>
      </x:c>
      <x:c r="D1019" s="32" t="str">
        <x:v>V2</x:v>
      </x:c>
      <x:c r="E1019" s="86" t="n">
        <x:f>COUNT('30_W2_张力'!C22,'30_W2_张力'!E22,'30_W2_张力'!G22,'30_W2_张力'!I22)</x:f>
        <x:v>4</x:v>
      </x:c>
      <x:c r="F1019" s="90" t="n">
        <x:f>IF(E1019=0,"",AVERAGE('30_W2_张力'!C22,'30_W2_张力'!E22,'30_W2_张力'!G22,'30_W2_张力'!I22))</x:f>
        <x:v>-36.425000000000004</x:v>
      </x:c>
      <x:c r="G1019" s="90" t="n">
        <x:f>IF(E1019&lt;2,"",STDEV.S('30_W2_张力'!C22,'30_W2_张力'!E22,'30_W2_张力'!G22,'30_W2_张力'!I22))</x:f>
        <x:v>2.4998333277774067</x:v>
      </x:c>
      <x:c r="H1019" s="90" t="n">
        <x:f>IF(E1019=0,"",MIN('30_W2_张力'!C22,'30_W2_张力'!E22,'30_W2_张力'!G22,'30_W2_张力'!I22))</x:f>
        <x:v>-39.9</x:v>
      </x:c>
      <x:c r="I1019" s="90" t="n">
        <x:f>IF(E1019=0,"",MAX('30_W2_张力'!C22,'30_W2_张力'!E22,'30_W2_张力'!G22,'30_W2_张力'!I22))</x:f>
        <x:v>-34.1</x:v>
      </x:c>
      <x:c r="J1019" s="32" t="str">
        <x:v>kPa</x:v>
      </x:c>
    </x:row>
    <x:row r="1020">
      <x:c r="A1020" s="72" t="n">
        <x:v>46240.86519675926</x:v>
      </x:c>
      <x:c r="B1020" s="32" t="str">
        <x:v>土壤张力</x:v>
      </x:c>
      <x:c r="C1020" s="32" t="str">
        <x:v>W2</x:v>
      </x:c>
      <x:c r="D1020" s="32" t="str">
        <x:v>V1</x:v>
      </x:c>
      <x:c r="E1020" s="86" t="n">
        <x:f>COUNT('30_W2_张力'!B23,'30_W2_张力'!D23,'30_W2_张力'!F23,'30_W2_张力'!H23)</x:f>
        <x:v>4</x:v>
      </x:c>
      <x:c r="F1020" s="90" t="n">
        <x:f>IF(E1020=0,"",AVERAGE('30_W2_张力'!B23,'30_W2_张力'!D23,'30_W2_张力'!F23,'30_W2_张力'!H23))</x:f>
        <x:v>-35.375</x:v>
      </x:c>
      <x:c r="G1020" s="90" t="n">
        <x:f>IF(E1020&lt;2,"",STDEV.S('30_W2_张力'!B23,'30_W2_张力'!D23,'30_W2_张力'!F23,'30_W2_张力'!H23))</x:f>
        <x:v>2.0710303393882623</x:v>
      </x:c>
      <x:c r="H1020" s="90" t="n">
        <x:f>IF(E1020=0,"",MIN('30_W2_张力'!B23,'30_W2_张力'!D23,'30_W2_张力'!F23,'30_W2_张力'!H23))</x:f>
        <x:v>-38.3</x:v>
      </x:c>
      <x:c r="I1020" s="90" t="n">
        <x:f>IF(E1020=0,"",MAX('30_W2_张力'!B23,'30_W2_张力'!D23,'30_W2_张力'!F23,'30_W2_张力'!H23))</x:f>
        <x:v>-33.5</x:v>
      </x:c>
      <x:c r="J1020" s="32" t="str">
        <x:v>kPa</x:v>
      </x:c>
    </x:row>
    <x:row r="1021">
      <x:c r="A1021" s="72" t="n">
        <x:v>46240.86519675926</x:v>
      </x:c>
      <x:c r="B1021" s="32" t="str">
        <x:v>土壤张力</x:v>
      </x:c>
      <x:c r="C1021" s="32" t="str">
        <x:v>W2</x:v>
      </x:c>
      <x:c r="D1021" s="32" t="str">
        <x:v>V2</x:v>
      </x:c>
      <x:c r="E1021" s="86" t="n">
        <x:f>COUNT('30_W2_张力'!C23,'30_W2_张力'!E23,'30_W2_张力'!G23,'30_W2_张力'!I23)</x:f>
        <x:v>4</x:v>
      </x:c>
      <x:c r="F1021" s="90" t="n">
        <x:f>IF(E1021=0,"",AVERAGE('30_W2_张力'!C23,'30_W2_张力'!E23,'30_W2_张力'!G23,'30_W2_张力'!I23))</x:f>
        <x:v>-36.375</x:v>
      </x:c>
      <x:c r="G1021" s="90" t="n">
        <x:f>IF(E1021&lt;2,"",STDEV.S('30_W2_张力'!C23,'30_W2_张力'!E23,'30_W2_张力'!G23,'30_W2_张力'!I23))</x:f>
        <x:v>2.286737122335374</x:v>
      </x:c>
      <x:c r="H1021" s="90" t="n">
        <x:f>IF(E1021=0,"",MIN('30_W2_张力'!C23,'30_W2_张力'!E23,'30_W2_张力'!G23,'30_W2_张力'!I23))</x:f>
        <x:v>-39.6</x:v>
      </x:c>
      <x:c r="I1021" s="90" t="n">
        <x:f>IF(E1021=0,"",MAX('30_W2_张力'!C23,'30_W2_张力'!E23,'30_W2_张力'!G23,'30_W2_张力'!I23))</x:f>
        <x:v>-34.2</x:v>
      </x:c>
      <x:c r="J1021" s="32" t="str">
        <x:v>kPa</x:v>
      </x:c>
    </x:row>
    <x:row r="1022">
      <x:c r="A1022" s="72" t="n">
        <x:v>46240.86866898148</x:v>
      </x:c>
      <x:c r="B1022" s="32" t="str">
        <x:v>土壤张力</x:v>
      </x:c>
      <x:c r="C1022" s="32" t="str">
        <x:v>W2</x:v>
      </x:c>
      <x:c r="D1022" s="32" t="str">
        <x:v>V1</x:v>
      </x:c>
      <x:c r="E1022" s="86" t="n">
        <x:f>COUNT('30_W2_张力'!B24,'30_W2_张力'!D24,'30_W2_张力'!F24,'30_W2_张力'!H24)</x:f>
        <x:v>4</x:v>
      </x:c>
      <x:c r="F1022" s="90" t="n">
        <x:f>IF(E1022=0,"",AVERAGE('30_W2_张力'!B24,'30_W2_张力'!D24,'30_W2_张力'!F24,'30_W2_张力'!H24))</x:f>
        <x:v>-35.375</x:v>
      </x:c>
      <x:c r="G1022" s="90" t="n">
        <x:f>IF(E1022&lt;2,"",STDEV.S('30_W2_张力'!B24,'30_W2_张力'!D24,'30_W2_张力'!F24,'30_W2_张力'!H24))</x:f>
        <x:v>1.7783419243778724</x:v>
      </x:c>
      <x:c r="H1022" s="90" t="n">
        <x:f>IF(E1022=0,"",MIN('30_W2_张力'!B24,'30_W2_张力'!D24,'30_W2_张力'!F24,'30_W2_张力'!H24))</x:f>
        <x:v>-37.8</x:v>
      </x:c>
      <x:c r="I1022" s="90" t="n">
        <x:f>IF(E1022=0,"",MAX('30_W2_张力'!B24,'30_W2_张力'!D24,'30_W2_张力'!F24,'30_W2_张力'!H24))</x:f>
        <x:v>-33.9</x:v>
      </x:c>
      <x:c r="J1022" s="32" t="str">
        <x:v>kPa</x:v>
      </x:c>
    </x:row>
    <x:row r="1023">
      <x:c r="A1023" s="72" t="n">
        <x:v>46240.86866898148</x:v>
      </x:c>
      <x:c r="B1023" s="32" t="str">
        <x:v>土壤张力</x:v>
      </x:c>
      <x:c r="C1023" s="32" t="str">
        <x:v>W2</x:v>
      </x:c>
      <x:c r="D1023" s="32" t="str">
        <x:v>V2</x:v>
      </x:c>
      <x:c r="E1023" s="86" t="n">
        <x:f>COUNT('30_W2_张力'!C24,'30_W2_张力'!E24,'30_W2_张力'!G24,'30_W2_张力'!I24)</x:f>
        <x:v>4</x:v>
      </x:c>
      <x:c r="F1023" s="90" t="n">
        <x:f>IF(E1023=0,"",AVERAGE('30_W2_张力'!C24,'30_W2_张力'!E24,'30_W2_张力'!G24,'30_W2_张力'!I24))</x:f>
        <x:v>-36.375</x:v>
      </x:c>
      <x:c r="G1023" s="90" t="n">
        <x:f>IF(E1023&lt;2,"",STDEV.S('30_W2_张力'!C24,'30_W2_张力'!E24,'30_W2_张力'!G24,'30_W2_张力'!I24))</x:f>
        <x:v>2.0710303393882623</x:v>
      </x:c>
      <x:c r="H1023" s="90" t="n">
        <x:f>IF(E1023=0,"",MIN('30_W2_张力'!C24,'30_W2_张力'!E24,'30_W2_张力'!G24,'30_W2_张力'!I24))</x:f>
        <x:v>-39.3</x:v>
      </x:c>
      <x:c r="I1023" s="90" t="n">
        <x:f>IF(E1023=0,"",MAX('30_W2_张力'!C24,'30_W2_张力'!E24,'30_W2_张力'!G24,'30_W2_张力'!I24))</x:f>
        <x:v>-34.5</x:v>
      </x:c>
      <x:c r="J1023" s="32" t="str">
        <x:v>kPa</x:v>
      </x:c>
    </x:row>
    <x:row r="1024">
      <x:c r="A1024" s="72" t="n">
        <x:v>46240.872141203705</x:v>
      </x:c>
      <x:c r="B1024" s="32" t="str">
        <x:v>土壤张力</x:v>
      </x:c>
      <x:c r="C1024" s="32" t="str">
        <x:v>W2</x:v>
      </x:c>
      <x:c r="D1024" s="32" t="str">
        <x:v>V1</x:v>
      </x:c>
      <x:c r="E1024" s="86" t="n">
        <x:f>COUNT('30_W2_张力'!B25,'30_W2_张力'!D25,'30_W2_张力'!F25,'30_W2_张力'!H25)</x:f>
        <x:v>4</x:v>
      </x:c>
      <x:c r="F1024" s="90" t="n">
        <x:f>IF(E1024=0,"",AVERAGE('30_W2_张力'!B25,'30_W2_张力'!D25,'30_W2_张力'!F25,'30_W2_张力'!H25))</x:f>
        <x:v>-35.425</x:v>
      </x:c>
      <x:c r="G1024" s="90" t="n">
        <x:f>IF(E1024&lt;2,"",STDEV.S('30_W2_张力'!B25,'30_W2_张力'!D25,'30_W2_张力'!F25,'30_W2_张力'!H25))</x:f>
        <x:v>1.5107944929738117</x:v>
      </x:c>
      <x:c r="H1024" s="90" t="n">
        <x:f>IF(E1024=0,"",MIN('30_W2_张力'!B25,'30_W2_张力'!D25,'30_W2_张力'!F25,'30_W2_张力'!H25))</x:f>
        <x:v>-37.4</x:v>
      </x:c>
      <x:c r="I1024" s="90" t="n">
        <x:f>IF(E1024=0,"",MAX('30_W2_张力'!B25,'30_W2_张力'!D25,'30_W2_张力'!F25,'30_W2_张力'!H25))</x:f>
        <x:v>-34.1</x:v>
      </x:c>
      <x:c r="J1024" s="32" t="str">
        <x:v>kPa</x:v>
      </x:c>
    </x:row>
    <x:row r="1025">
      <x:c r="A1025" s="72" t="n">
        <x:v>46240.872141203705</x:v>
      </x:c>
      <x:c r="B1025" s="32" t="str">
        <x:v>土壤张力</x:v>
      </x:c>
      <x:c r="C1025" s="32" t="str">
        <x:v>W2</x:v>
      </x:c>
      <x:c r="D1025" s="32" t="str">
        <x:v>V2</x:v>
      </x:c>
      <x:c r="E1025" s="86" t="n">
        <x:f>COUNT('30_W2_张力'!C25,'30_W2_张力'!E25,'30_W2_张力'!G25,'30_W2_张力'!I25)</x:f>
        <x:v>4</x:v>
      </x:c>
      <x:c r="F1025" s="90" t="n">
        <x:f>IF(E1025=0,"",AVERAGE('30_W2_张力'!C25,'30_W2_张力'!E25,'30_W2_张力'!G25,'30_W2_张力'!I25))</x:f>
        <x:v>-36.375</x:v>
      </x:c>
      <x:c r="G1025" s="90" t="n">
        <x:f>IF(E1025&lt;2,"",STDEV.S('30_W2_张力'!C25,'30_W2_张力'!E25,'30_W2_张力'!G25,'30_W2_张力'!I25))</x:f>
        <x:v>1.7783419243778724</x:v>
      </x:c>
      <x:c r="H1025" s="90" t="n">
        <x:f>IF(E1025=0,"",MIN('30_W2_张力'!C25,'30_W2_张力'!E25,'30_W2_张力'!G25,'30_W2_张力'!I25))</x:f>
        <x:v>-38.8</x:v>
      </x:c>
      <x:c r="I1025" s="90" t="n">
        <x:f>IF(E1025=0,"",MAX('30_W2_张力'!C25,'30_W2_张力'!E25,'30_W2_张力'!G25,'30_W2_张力'!I25))</x:f>
        <x:v>-34.9</x:v>
      </x:c>
      <x:c r="J1025" s="32" t="str">
        <x:v>kPa</x:v>
      </x:c>
    </x:row>
    <x:row r="1026">
      <x:c r="A1026" s="72" t="n">
        <x:v>46240.875613425924</x:v>
      </x:c>
      <x:c r="B1026" s="32" t="str">
        <x:v>土壤张力</x:v>
      </x:c>
      <x:c r="C1026" s="32" t="str">
        <x:v>W2</x:v>
      </x:c>
      <x:c r="D1026" s="32" t="str">
        <x:v>V1</x:v>
      </x:c>
      <x:c r="E1026" s="86" t="n">
        <x:f>COUNT('30_W2_张力'!B26,'30_W2_张力'!D26,'30_W2_张力'!F26,'30_W2_张力'!H26)</x:f>
        <x:v>4</x:v>
      </x:c>
      <x:c r="F1026" s="90" t="n">
        <x:f>IF(E1026=0,"",AVERAGE('30_W2_张力'!B26,'30_W2_张力'!D26,'30_W2_张力'!F26,'30_W2_张力'!H26))</x:f>
        <x:v>-35.425</x:v>
      </x:c>
      <x:c r="G1026" s="90" t="n">
        <x:f>IF(E1026&lt;2,"",STDEV.S('30_W2_张力'!B26,'30_W2_张力'!D26,'30_W2_张力'!F26,'30_W2_张力'!H26))</x:f>
        <x:v>1.2816005617976294</x:v>
      </x:c>
      <x:c r="H1026" s="90" t="n">
        <x:f>IF(E1026=0,"",MIN('30_W2_张力'!B26,'30_W2_张力'!D26,'30_W2_张力'!F26,'30_W2_张力'!H26))</x:f>
        <x:v>-36.9</x:v>
      </x:c>
      <x:c r="I1026" s="90" t="n">
        <x:f>IF(E1026=0,"",MAX('30_W2_张力'!B26,'30_W2_张力'!D26,'30_W2_张力'!F26,'30_W2_张力'!H26))</x:f>
        <x:v>-34</x:v>
      </x:c>
      <x:c r="J1026" s="32" t="str">
        <x:v>kPa</x:v>
      </x:c>
    </x:row>
    <x:row r="1027">
      <x:c r="A1027" s="72" t="n">
        <x:v>46240.875613425924</x:v>
      </x:c>
      <x:c r="B1027" s="32" t="str">
        <x:v>土壤张力</x:v>
      </x:c>
      <x:c r="C1027" s="32" t="str">
        <x:v>W2</x:v>
      </x:c>
      <x:c r="D1027" s="32" t="str">
        <x:v>V2</x:v>
      </x:c>
      <x:c r="E1027" s="86" t="n">
        <x:f>COUNT('30_W2_张力'!C26,'30_W2_张力'!E26,'30_W2_张力'!G26,'30_W2_张力'!I26)</x:f>
        <x:v>4</x:v>
      </x:c>
      <x:c r="F1027" s="90" t="n">
        <x:f>IF(E1027=0,"",AVERAGE('30_W2_张力'!C26,'30_W2_张力'!E26,'30_W2_张力'!G26,'30_W2_张力'!I26))</x:f>
        <x:v>-36.425</x:v>
      </x:c>
      <x:c r="G1027" s="90" t="n">
        <x:f>IF(E1027&lt;2,"",STDEV.S('30_W2_张力'!C26,'30_W2_张力'!E26,'30_W2_张力'!G26,'30_W2_张力'!I26))</x:f>
        <x:v>1.5107944929738117</x:v>
      </x:c>
      <x:c r="H1027" s="90" t="n">
        <x:f>IF(E1027=0,"",MIN('30_W2_张力'!C26,'30_W2_张力'!E26,'30_W2_张力'!G26,'30_W2_张力'!I26))</x:f>
        <x:v>-38.4</x:v>
      </x:c>
      <x:c r="I1027" s="90" t="n">
        <x:f>IF(E1027=0,"",MAX('30_W2_张力'!C26,'30_W2_张力'!E26,'30_W2_张力'!G26,'30_W2_张力'!I26))</x:f>
        <x:v>-35.1</x:v>
      </x:c>
      <x:c r="J1027" s="32" t="str">
        <x:v>kPa</x:v>
      </x:c>
    </x:row>
    <x:row r="1028">
      <x:c r="A1028" s="72" t="n">
        <x:v>46240.87908564815</x:v>
      </x:c>
      <x:c r="B1028" s="32" t="str">
        <x:v>土壤张力</x:v>
      </x:c>
      <x:c r="C1028" s="32" t="str">
        <x:v>W2</x:v>
      </x:c>
      <x:c r="D1028" s="32" t="str">
        <x:v>V1</x:v>
      </x:c>
      <x:c r="E1028" s="86" t="n">
        <x:f>COUNT('30_W2_张力'!B27,'30_W2_张力'!D27,'30_W2_张力'!F27,'30_W2_张力'!H27)</x:f>
        <x:v>4</x:v>
      </x:c>
      <x:c r="F1028" s="90" t="n">
        <x:f>IF(E1028=0,"",AVERAGE('30_W2_张力'!B27,'30_W2_张力'!D27,'30_W2_张力'!F27,'30_W2_张力'!H27))</x:f>
        <x:v>-35.45</x:v>
      </x:c>
      <x:c r="G1028" s="90" t="n">
        <x:f>IF(E1028&lt;2,"",STDEV.S('30_W2_张力'!B27,'30_W2_张力'!D27,'30_W2_张力'!F27,'30_W2_张力'!H27))</x:f>
        <x:v>1.0082988974836105</x:v>
      </x:c>
      <x:c r="H1028" s="90" t="n">
        <x:f>IF(E1028=0,"",MIN('30_W2_张力'!B27,'30_W2_张力'!D27,'30_W2_张力'!F27,'30_W2_张力'!H27))</x:f>
        <x:v>-36.4</x:v>
      </x:c>
      <x:c r="I1028" s="90" t="n">
        <x:f>IF(E1028=0,"",MAX('30_W2_张力'!B27,'30_W2_张力'!D27,'30_W2_张力'!F27,'30_W2_张力'!H27))</x:f>
        <x:v>-34.1</x:v>
      </x:c>
      <x:c r="J1028" s="32" t="str">
        <x:v>kPa</x:v>
      </x:c>
    </x:row>
    <x:row r="1029">
      <x:c r="A1029" s="72" t="n">
        <x:v>46240.87908564815</x:v>
      </x:c>
      <x:c r="B1029" s="32" t="str">
        <x:v>土壤张力</x:v>
      </x:c>
      <x:c r="C1029" s="32" t="str">
        <x:v>W2</x:v>
      </x:c>
      <x:c r="D1029" s="32" t="str">
        <x:v>V2</x:v>
      </x:c>
      <x:c r="E1029" s="86" t="n">
        <x:f>COUNT('30_W2_张力'!C27,'30_W2_张力'!E27,'30_W2_张力'!G27,'30_W2_张力'!I27)</x:f>
        <x:v>4</x:v>
      </x:c>
      <x:c r="F1029" s="90" t="n">
        <x:f>IF(E1029=0,"",AVERAGE('30_W2_张力'!C27,'30_W2_张力'!E27,'30_W2_张力'!G27,'30_W2_张力'!I27))</x:f>
        <x:v>-36.425</x:v>
      </x:c>
      <x:c r="G1029" s="90" t="n">
        <x:f>IF(E1029&lt;2,"",STDEV.S('30_W2_张力'!C27,'30_W2_张力'!E27,'30_W2_张力'!G27,'30_W2_张力'!I27))</x:f>
        <x:v>1.2816005617976294</x:v>
      </x:c>
      <x:c r="H1029" s="90" t="n">
        <x:f>IF(E1029=0,"",MIN('30_W2_张力'!C27,'30_W2_张力'!E27,'30_W2_张力'!G27,'30_W2_张力'!I27))</x:f>
        <x:v>-37.9</x:v>
      </x:c>
      <x:c r="I1029" s="90" t="n">
        <x:f>IF(E1029=0,"",MAX('30_W2_张力'!C27,'30_W2_张力'!E27,'30_W2_张力'!G27,'30_W2_张力'!I27))</x:f>
        <x:v>-35</x:v>
      </x:c>
      <x:c r="J1029" s="32" t="str">
        <x:v>kPa</x:v>
      </x:c>
    </x:row>
    <x:row r="1030">
      <x:c r="A1030" s="72" t="n">
        <x:v>46240.88255787037</x:v>
      </x:c>
      <x:c r="B1030" s="32" t="str">
        <x:v>土壤张力</x:v>
      </x:c>
      <x:c r="C1030" s="32" t="str">
        <x:v>W2</x:v>
      </x:c>
      <x:c r="D1030" s="32" t="str">
        <x:v>V1</x:v>
      </x:c>
      <x:c r="E1030" s="86" t="n">
        <x:f>COUNT('30_W2_张力'!B28,'30_W2_张力'!D28,'30_W2_张力'!F28,'30_W2_张力'!H28)</x:f>
        <x:v>4</x:v>
      </x:c>
      <x:c r="F1030" s="90" t="n">
        <x:f>IF(E1030=0,"",AVERAGE('30_W2_张力'!B28,'30_W2_张力'!D28,'30_W2_张力'!F28,'30_W2_张力'!H28))</x:f>
        <x:v>-35.449999999999996</x:v>
      </x:c>
      <x:c r="G1030" s="90" t="n">
        <x:f>IF(E1030&lt;2,"",STDEV.S('30_W2_张力'!B28,'30_W2_张力'!D28,'30_W2_张力'!F28,'30_W2_张力'!H28))</x:f>
        <x:v>0.8346656017032587</x:v>
      </x:c>
      <x:c r="H1030" s="90" t="n">
        <x:f>IF(E1030=0,"",MIN('30_W2_张力'!B28,'30_W2_张力'!D28,'30_W2_张力'!F28,'30_W2_张力'!H28))</x:f>
        <x:v>-35.9</x:v>
      </x:c>
      <x:c r="I1030" s="90" t="n">
        <x:f>IF(E1030=0,"",MAX('30_W2_张力'!B28,'30_W2_张力'!D28,'30_W2_张力'!F28,'30_W2_张力'!H28))</x:f>
        <x:v>-34.2</x:v>
      </x:c>
      <x:c r="J1030" s="32" t="str">
        <x:v>kPa</x:v>
      </x:c>
    </x:row>
    <x:row r="1031">
      <x:c r="A1031" s="72" t="n">
        <x:v>46240.88255787037</x:v>
      </x:c>
      <x:c r="B1031" s="32" t="str">
        <x:v>土壤张力</x:v>
      </x:c>
      <x:c r="C1031" s="32" t="str">
        <x:v>W2</x:v>
      </x:c>
      <x:c r="D1031" s="32" t="str">
        <x:v>V2</x:v>
      </x:c>
      <x:c r="E1031" s="86" t="n">
        <x:f>COUNT('30_W2_张力'!C28,'30_W2_张力'!E28,'30_W2_张力'!G28,'30_W2_张力'!I28)</x:f>
        <x:v>4</x:v>
      </x:c>
      <x:c r="F1031" s="90" t="n">
        <x:f>IF(E1031=0,"",AVERAGE('30_W2_张力'!C28,'30_W2_张力'!E28,'30_W2_张力'!G28,'30_W2_张力'!I28))</x:f>
        <x:v>-36.45</x:v>
      </x:c>
      <x:c r="G1031" s="90" t="n">
        <x:f>IF(E1031&lt;2,"",STDEV.S('30_W2_张力'!C28,'30_W2_张力'!E28,'30_W2_张力'!G28,'30_W2_张力'!I28))</x:f>
        <x:v>1.0082988974836105</x:v>
      </x:c>
      <x:c r="H1031" s="90" t="n">
        <x:f>IF(E1031=0,"",MIN('30_W2_张力'!C28,'30_W2_张力'!E28,'30_W2_张力'!G28,'30_W2_张力'!I28))</x:f>
        <x:v>-37.4</x:v>
      </x:c>
      <x:c r="I1031" s="90" t="n">
        <x:f>IF(E1031=0,"",MAX('30_W2_张力'!C28,'30_W2_张力'!E28,'30_W2_张力'!G28,'30_W2_张力'!I28))</x:f>
        <x:v>-35.1</x:v>
      </x:c>
      <x:c r="J1031" s="32" t="str">
        <x:v>kPa</x:v>
      </x:c>
    </x:row>
    <x:row r="1032">
      <x:c r="A1032" s="72" t="n">
        <x:v>46240.886030092595</x:v>
      </x:c>
      <x:c r="B1032" s="32" t="str">
        <x:v>土壤张力</x:v>
      </x:c>
      <x:c r="C1032" s="32" t="str">
        <x:v>W2</x:v>
      </x:c>
      <x:c r="D1032" s="32" t="str">
        <x:v>V1</x:v>
      </x:c>
      <x:c r="E1032" s="86" t="n">
        <x:f>COUNT('30_W2_张力'!B29,'30_W2_张力'!D29,'30_W2_张力'!F29,'30_W2_张力'!H29)</x:f>
        <x:v>4</x:v>
      </x:c>
      <x:c r="F1032" s="90" t="n">
        <x:f>IF(E1032=0,"",AVERAGE('30_W2_张力'!B29,'30_W2_张力'!D29,'30_W2_张力'!F29,'30_W2_张力'!H29))</x:f>
        <x:v>-35.45</x:v>
      </x:c>
      <x:c r="G1032" s="90" t="n">
        <x:f>IF(E1032&lt;2,"",STDEV.S('30_W2_张力'!B29,'30_W2_张力'!D29,'30_W2_张力'!F29,'30_W2_张力'!H29))</x:f>
        <x:v>0.7047458170622002</x:v>
      </x:c>
      <x:c r="H1032" s="90" t="n">
        <x:f>IF(E1032=0,"",MIN('30_W2_张力'!B29,'30_W2_张力'!D29,'30_W2_张力'!F29,'30_W2_张力'!H29))</x:f>
        <x:v>-36.2</x:v>
      </x:c>
      <x:c r="I1032" s="90" t="n">
        <x:f>IF(E1032=0,"",MAX('30_W2_张力'!B29,'30_W2_张力'!D29,'30_W2_张力'!F29,'30_W2_张力'!H29))</x:f>
        <x:v>-34.5</x:v>
      </x:c>
      <x:c r="J1032" s="32" t="str">
        <x:v>kPa</x:v>
      </x:c>
    </x:row>
    <x:row r="1033">
      <x:c r="A1033" s="72" t="n">
        <x:v>46240.886030092595</x:v>
      </x:c>
      <x:c r="B1033" s="32" t="str">
        <x:v>土壤张力</x:v>
      </x:c>
      <x:c r="C1033" s="32" t="str">
        <x:v>W2</x:v>
      </x:c>
      <x:c r="D1033" s="32" t="str">
        <x:v>V2</x:v>
      </x:c>
      <x:c r="E1033" s="86" t="n">
        <x:f>COUNT('30_W2_张力'!C29,'30_W2_张力'!E29,'30_W2_张力'!G29,'30_W2_张力'!I29)</x:f>
        <x:v>4</x:v>
      </x:c>
      <x:c r="F1033" s="90" t="n">
        <x:f>IF(E1033=0,"",AVERAGE('30_W2_张力'!C29,'30_W2_张力'!E29,'30_W2_张力'!G29,'30_W2_张力'!I29))</x:f>
        <x:v>-36.449999999999996</x:v>
      </x:c>
      <x:c r="G1033" s="90" t="n">
        <x:f>IF(E1033&lt;2,"",STDEV.S('30_W2_张力'!C29,'30_W2_张力'!E29,'30_W2_张力'!G29,'30_W2_张力'!I29))</x:f>
        <x:v>0.8346656017032587</x:v>
      </x:c>
      <x:c r="H1033" s="90" t="n">
        <x:f>IF(E1033=0,"",MIN('30_W2_张力'!C29,'30_W2_张力'!E29,'30_W2_张力'!G29,'30_W2_张力'!I29))</x:f>
        <x:v>-36.9</x:v>
      </x:c>
      <x:c r="I1033" s="90" t="n">
        <x:f>IF(E1033=0,"",MAX('30_W2_张力'!C29,'30_W2_张力'!E29,'30_W2_张力'!G29,'30_W2_张力'!I29))</x:f>
        <x:v>-35.2</x:v>
      </x:c>
      <x:c r="J1033" s="32" t="str">
        <x:v>kPa</x:v>
      </x:c>
    </x:row>
    <x:row r="1034">
      <x:c r="A1034" s="72" t="n">
        <x:v>46240.889502314814</x:v>
      </x:c>
      <x:c r="B1034" s="32" t="str">
        <x:v>土壤张力</x:v>
      </x:c>
      <x:c r="C1034" s="32" t="str">
        <x:v>W2</x:v>
      </x:c>
      <x:c r="D1034" s="32" t="str">
        <x:v>V1</x:v>
      </x:c>
      <x:c r="E1034" s="86" t="n">
        <x:f>COUNT('30_W2_张力'!B30,'30_W2_张力'!D30,'30_W2_张力'!F30,'30_W2_张力'!H30)</x:f>
        <x:v>4</x:v>
      </x:c>
      <x:c r="F1034" s="90" t="n">
        <x:f>IF(E1034=0,"",AVERAGE('30_W2_张力'!B30,'30_W2_张力'!D30,'30_W2_张力'!F30,'30_W2_张力'!H30))</x:f>
        <x:v>-35.5</x:v>
      </x:c>
      <x:c r="G1034" s="90" t="n">
        <x:f>IF(E1034&lt;2,"",STDEV.S('30_W2_张力'!B30,'30_W2_张力'!D30,'30_W2_张力'!F30,'30_W2_张力'!H30))</x:f>
        <x:v>0.7527726527090819</x:v>
      </x:c>
      <x:c r="H1034" s="90" t="n">
        <x:f>IF(E1034=0,"",MIN('30_W2_张力'!B30,'30_W2_张力'!D30,'30_W2_张力'!F30,'30_W2_张力'!H30))</x:f>
        <x:v>-36.6</x:v>
      </x:c>
      <x:c r="I1034" s="90" t="n">
        <x:f>IF(E1034=0,"",MAX('30_W2_张力'!B30,'30_W2_张力'!D30,'30_W2_张力'!F30,'30_W2_张力'!H30))</x:f>
        <x:v>-34.9</x:v>
      </x:c>
      <x:c r="J1034" s="32" t="str">
        <x:v>kPa</x:v>
      </x:c>
    </x:row>
    <x:row r="1035">
      <x:c r="A1035" s="72" t="n">
        <x:v>46240.889502314814</x:v>
      </x:c>
      <x:c r="B1035" s="32" t="str">
        <x:v>土壤张力</x:v>
      </x:c>
      <x:c r="C1035" s="32" t="str">
        <x:v>W2</x:v>
      </x:c>
      <x:c r="D1035" s="32" t="str">
        <x:v>V2</x:v>
      </x:c>
      <x:c r="E1035" s="86" t="n">
        <x:f>COUNT('30_W2_张力'!C30,'30_W2_张力'!E30,'30_W2_张力'!G30,'30_W2_张力'!I30)</x:f>
        <x:v>4</x:v>
      </x:c>
      <x:c r="F1035" s="90" t="n">
        <x:f>IF(E1035=0,"",AVERAGE('30_W2_张力'!C30,'30_W2_张力'!E30,'30_W2_张力'!G30,'30_W2_张力'!I30))</x:f>
        <x:v>-36.45</x:v>
      </x:c>
      <x:c r="G1035" s="90" t="n">
        <x:f>IF(E1035&lt;2,"",STDEV.S('30_W2_张力'!C30,'30_W2_张力'!E30,'30_W2_张力'!G30,'30_W2_张力'!I30))</x:f>
        <x:v>0.7047458170622002</x:v>
      </x:c>
      <x:c r="H1035" s="90" t="n">
        <x:f>IF(E1035=0,"",MIN('30_W2_张力'!C30,'30_W2_张力'!E30,'30_W2_张力'!G30,'30_W2_张力'!I30))</x:f>
        <x:v>-37.2</x:v>
      </x:c>
      <x:c r="I1035" s="90" t="n">
        <x:f>IF(E1035=0,"",MAX('30_W2_张力'!C30,'30_W2_张力'!E30,'30_W2_张力'!G30,'30_W2_张力'!I30))</x:f>
        <x:v>-35.5</x:v>
      </x:c>
      <x:c r="J1035" s="32" t="str">
        <x:v>kPa</x:v>
      </x:c>
    </x:row>
    <x:row r="1036">
      <x:c r="A1036" s="72" t="n">
        <x:v>46240.89297453704</x:v>
      </x:c>
      <x:c r="B1036" s="32" t="str">
        <x:v>土壤张力</x:v>
      </x:c>
      <x:c r="C1036" s="32" t="str">
        <x:v>W2</x:v>
      </x:c>
      <x:c r="D1036" s="32" t="str">
        <x:v>V1</x:v>
      </x:c>
      <x:c r="E1036" s="86" t="n">
        <x:f>COUNT('30_W2_张力'!B31,'30_W2_张力'!D31,'30_W2_张力'!F31,'30_W2_张力'!H31)</x:f>
        <x:v>4</x:v>
      </x:c>
      <x:c r="F1036" s="90" t="n">
        <x:f>IF(E1036=0,"",AVERAGE('30_W2_张力'!B31,'30_W2_张力'!D31,'30_W2_张力'!F31,'30_W2_张力'!H31))</x:f>
        <x:v>-35.55</x:v>
      </x:c>
      <x:c r="G1036" s="90" t="n">
        <x:f>IF(E1036&lt;2,"",STDEV.S('30_W2_张力'!B31,'30_W2_张力'!D31,'30_W2_张力'!F31,'30_W2_张力'!H31))</x:f>
        <x:v>0.858292879305581</x:v>
      </x:c>
      <x:c r="H1036" s="90" t="n">
        <x:f>IF(E1036=0,"",MIN('30_W2_张力'!B31,'30_W2_张力'!D31,'30_W2_张力'!F31,'30_W2_张力'!H31))</x:f>
        <x:v>-36.8</x:v>
      </x:c>
      <x:c r="I1036" s="90" t="n">
        <x:f>IF(E1036=0,"",MAX('30_W2_张力'!B31,'30_W2_张力'!D31,'30_W2_张力'!F31,'30_W2_张力'!H31))</x:f>
        <x:v>-34.9</x:v>
      </x:c>
      <x:c r="J1036" s="32" t="str">
        <x:v>kPa</x:v>
      </x:c>
    </x:row>
    <x:row r="1037">
      <x:c r="A1037" s="72" t="n">
        <x:v>46240.89297453704</x:v>
      </x:c>
      <x:c r="B1037" s="32" t="str">
        <x:v>土壤张力</x:v>
      </x:c>
      <x:c r="C1037" s="32" t="str">
        <x:v>W2</x:v>
      </x:c>
      <x:c r="D1037" s="32" t="str">
        <x:v>V2</x:v>
      </x:c>
      <x:c r="E1037" s="86" t="n">
        <x:f>COUNT('30_W2_张力'!C31,'30_W2_张力'!E31,'30_W2_张力'!G31,'30_W2_张力'!I31)</x:f>
        <x:v>4</x:v>
      </x:c>
      <x:c r="F1037" s="90" t="n">
        <x:f>IF(E1037=0,"",AVERAGE('30_W2_张力'!C31,'30_W2_张力'!E31,'30_W2_张力'!G31,'30_W2_张力'!I31))</x:f>
        <x:v>-36.5</x:v>
      </x:c>
      <x:c r="G1037" s="90" t="n">
        <x:f>IF(E1037&lt;2,"",STDEV.S('30_W2_张力'!C31,'30_W2_张力'!E31,'30_W2_张力'!G31,'30_W2_张力'!I31))</x:f>
        <x:v>0.7527726527090819</x:v>
      </x:c>
      <x:c r="H1037" s="90" t="n">
        <x:f>IF(E1037=0,"",MIN('30_W2_张力'!C31,'30_W2_张力'!E31,'30_W2_张力'!G31,'30_W2_张力'!I31))</x:f>
        <x:v>-37.6</x:v>
      </x:c>
      <x:c r="I1037" s="90" t="n">
        <x:f>IF(E1037=0,"",MAX('30_W2_张力'!C31,'30_W2_张力'!E31,'30_W2_张力'!G31,'30_W2_张力'!I31))</x:f>
        <x:v>-35.9</x:v>
      </x:c>
      <x:c r="J1037" s="32" t="str">
        <x:v>kPa</x:v>
      </x:c>
    </x:row>
    <x:row r="1038">
      <x:c r="A1038" s="72" t="n">
        <x:v>46240.89644675926</x:v>
      </x:c>
      <x:c r="B1038" s="32" t="str">
        <x:v>土壤张力</x:v>
      </x:c>
      <x:c r="C1038" s="32" t="str">
        <x:v>W2</x:v>
      </x:c>
      <x:c r="D1038" s="32" t="str">
        <x:v>V1</x:v>
      </x:c>
      <x:c r="E1038" s="86" t="n">
        <x:f>COUNT('30_W2_张力'!B32,'30_W2_张力'!D32,'30_W2_张力'!F32,'30_W2_张力'!H32)</x:f>
        <x:v>4</x:v>
      </x:c>
      <x:c r="F1038" s="90" t="n">
        <x:f>IF(E1038=0,"",AVERAGE('30_W2_张力'!B32,'30_W2_张力'!D32,'30_W2_张力'!F32,'30_W2_张力'!H32))</x:f>
        <x:v>-35.55</x:v>
      </x:c>
      <x:c r="G1038" s="90" t="n">
        <x:f>IF(E1038&lt;2,"",STDEV.S('30_W2_张力'!B32,'30_W2_张力'!D32,'30_W2_张力'!F32,'30_W2_张力'!H32))</x:f>
        <x:v>1.1239810200058247</x:v>
      </x:c>
      <x:c r="H1038" s="90" t="n">
        <x:f>IF(E1038=0,"",MIN('30_W2_张力'!B32,'30_W2_张力'!D32,'30_W2_张力'!F32,'30_W2_张力'!H32))</x:f>
        <x:v>-37</x:v>
      </x:c>
      <x:c r="I1038" s="90" t="n">
        <x:f>IF(E1038=0,"",MAX('30_W2_张力'!B32,'30_W2_张力'!D32,'30_W2_张力'!F32,'30_W2_张力'!H32))</x:f>
        <x:v>-34.4</x:v>
      </x:c>
      <x:c r="J1038" s="32" t="str">
        <x:v>kPa</x:v>
      </x:c>
    </x:row>
    <x:row r="1039">
      <x:c r="A1039" s="72" t="n">
        <x:v>46240.89644675926</x:v>
      </x:c>
      <x:c r="B1039" s="32" t="str">
        <x:v>土壤张力</x:v>
      </x:c>
      <x:c r="C1039" s="32" t="str">
        <x:v>W2</x:v>
      </x:c>
      <x:c r="D1039" s="32" t="str">
        <x:v>V2</x:v>
      </x:c>
      <x:c r="E1039" s="86" t="n">
        <x:f>COUNT('30_W2_张力'!C32,'30_W2_张力'!E32,'30_W2_张力'!G32,'30_W2_张力'!I32)</x:f>
        <x:v>4</x:v>
      </x:c>
      <x:c r="F1039" s="90" t="n">
        <x:f>IF(E1039=0,"",AVERAGE('30_W2_张力'!C32,'30_W2_张力'!E32,'30_W2_张力'!G32,'30_W2_张力'!I32))</x:f>
        <x:v>-36.55</x:v>
      </x:c>
      <x:c r="G1039" s="90" t="n">
        <x:f>IF(E1039&lt;2,"",STDEV.S('30_W2_张力'!C32,'30_W2_张力'!E32,'30_W2_张力'!G32,'30_W2_张力'!I32))</x:f>
        <x:v>0.858292879305581</x:v>
      </x:c>
      <x:c r="H1039" s="90" t="n">
        <x:f>IF(E1039=0,"",MIN('30_W2_张力'!C32,'30_W2_张力'!E32,'30_W2_张力'!G32,'30_W2_张力'!I32))</x:f>
        <x:v>-37.8</x:v>
      </x:c>
      <x:c r="I1039" s="90" t="n">
        <x:f>IF(E1039=0,"",MAX('30_W2_张力'!C32,'30_W2_张力'!E32,'30_W2_张力'!G32,'30_W2_张力'!I32))</x:f>
        <x:v>-35.9</x:v>
      </x:c>
      <x:c r="J1039" s="32" t="str">
        <x:v>kPa</x:v>
      </x:c>
    </x:row>
    <x:row r="1040">
      <x:c r="A1040" s="72" t="n">
        <x:v>46240.89991898148</x:v>
      </x:c>
      <x:c r="B1040" s="32" t="str">
        <x:v>土壤张力</x:v>
      </x:c>
      <x:c r="C1040" s="32" t="str">
        <x:v>W2</x:v>
      </x:c>
      <x:c r="D1040" s="32" t="str">
        <x:v>V1</x:v>
      </x:c>
      <x:c r="E1040" s="86" t="n">
        <x:f>COUNT('30_W2_张力'!B33,'30_W2_张力'!D33,'30_W2_张力'!F33,'30_W2_张力'!H33)</x:f>
        <x:v>4</x:v>
      </x:c>
      <x:c r="F1040" s="90" t="n">
        <x:f>IF(E1040=0,"",AVERAGE('30_W2_张力'!B33,'30_W2_张力'!D33,'30_W2_张力'!F33,'30_W2_张力'!H33))</x:f>
        <x:v>-35.575</x:v>
      </x:c>
      <x:c r="G1040" s="90" t="n">
        <x:f>IF(E1040&lt;2,"",STDEV.S('30_W2_张力'!B33,'30_W2_张力'!D33,'30_W2_张力'!F33,'30_W2_张力'!H33))</x:f>
        <x:v>1.364734406395618</x:v>
      </x:c>
      <x:c r="H1040" s="90" t="n">
        <x:f>IF(E1040=0,"",MIN('30_W2_张力'!B33,'30_W2_张力'!D33,'30_W2_张力'!F33,'30_W2_张力'!H33))</x:f>
        <x:v>-37</x:v>
      </x:c>
      <x:c r="I1040" s="90" t="n">
        <x:f>IF(E1040=0,"",MAX('30_W2_张力'!B33,'30_W2_张力'!D33,'30_W2_张力'!F33,'30_W2_张力'!H33))</x:f>
        <x:v>-33.9</x:v>
      </x:c>
      <x:c r="J1040" s="32" t="str">
        <x:v>kPa</x:v>
      </x:c>
    </x:row>
    <x:row r="1041">
      <x:c r="A1041" s="72" t="n">
        <x:v>46240.89991898148</x:v>
      </x:c>
      <x:c r="B1041" s="32" t="str">
        <x:v>土壤张力</x:v>
      </x:c>
      <x:c r="C1041" s="32" t="str">
        <x:v>W2</x:v>
      </x:c>
      <x:c r="D1041" s="32" t="str">
        <x:v>V2</x:v>
      </x:c>
      <x:c r="E1041" s="86" t="n">
        <x:f>COUNT('30_W2_张力'!C33,'30_W2_张力'!E33,'30_W2_张力'!G33,'30_W2_张力'!I33)</x:f>
        <x:v>4</x:v>
      </x:c>
      <x:c r="F1041" s="90" t="n">
        <x:f>IF(E1041=0,"",AVERAGE('30_W2_张力'!C33,'30_W2_张力'!E33,'30_W2_张力'!G33,'30_W2_张力'!I33))</x:f>
        <x:v>-36.55</x:v>
      </x:c>
      <x:c r="G1041" s="90" t="n">
        <x:f>IF(E1041&lt;2,"",STDEV.S('30_W2_张力'!C33,'30_W2_张力'!E33,'30_W2_张力'!G33,'30_W2_张力'!I33))</x:f>
        <x:v>1.1239810200058247</x:v>
      </x:c>
      <x:c r="H1041" s="90" t="n">
        <x:f>IF(E1041=0,"",MIN('30_W2_张力'!C33,'30_W2_张力'!E33,'30_W2_张力'!G33,'30_W2_张力'!I33))</x:f>
        <x:v>-38</x:v>
      </x:c>
      <x:c r="I1041" s="90" t="n">
        <x:f>IF(E1041=0,"",MAX('30_W2_张力'!C33,'30_W2_张力'!E33,'30_W2_张力'!G33,'30_W2_张力'!I33))</x:f>
        <x:v>-35.4</x:v>
      </x:c>
      <x:c r="J1041" s="32" t="str">
        <x:v>kPa</x:v>
      </x:c>
    </x:row>
    <x:row r="1042">
      <x:c r="A1042" s="72" t="n">
        <x:v>46240.903391203705</x:v>
      </x:c>
      <x:c r="B1042" s="32" t="str">
        <x:v>土壤张力</x:v>
      </x:c>
      <x:c r="C1042" s="32" t="str">
        <x:v>W2</x:v>
      </x:c>
      <x:c r="D1042" s="32" t="str">
        <x:v>V1</x:v>
      </x:c>
      <x:c r="E1042" s="86" t="n">
        <x:f>COUNT('30_W2_张力'!B34,'30_W2_张力'!D34,'30_W2_张力'!F34,'30_W2_张力'!H34)</x:f>
        <x:v>4</x:v>
      </x:c>
      <x:c r="F1042" s="90" t="n">
        <x:f>IF(E1042=0,"",AVERAGE('30_W2_张力'!B34,'30_W2_张力'!D34,'30_W2_张力'!F34,'30_W2_张力'!H34))</x:f>
        <x:v>-35.575</x:v>
      </x:c>
      <x:c r="G1042" s="90" t="n">
        <x:f>IF(E1042&lt;2,"",STDEV.S('30_W2_张力'!B34,'30_W2_张力'!D34,'30_W2_张力'!F34,'30_W2_张力'!H34))</x:f>
        <x:v>1.6459546368799671</x:v>
      </x:c>
      <x:c r="H1042" s="90" t="n">
        <x:f>IF(E1042=0,"",MIN('30_W2_张力'!B34,'30_W2_张力'!D34,'30_W2_张力'!F34,'30_W2_张力'!H34))</x:f>
        <x:v>-36.9</x:v>
      </x:c>
      <x:c r="I1042" s="90" t="n">
        <x:f>IF(E1042=0,"",MAX('30_W2_张力'!B34,'30_W2_张力'!D34,'30_W2_张力'!F34,'30_W2_张力'!H34))</x:f>
        <x:v>-33.4</x:v>
      </x:c>
      <x:c r="J1042" s="32" t="str">
        <x:v>kPa</x:v>
      </x:c>
    </x:row>
    <x:row r="1043">
      <x:c r="A1043" s="72" t="n">
        <x:v>46240.903391203705</x:v>
      </x:c>
      <x:c r="B1043" s="32" t="str">
        <x:v>土壤张力</x:v>
      </x:c>
      <x:c r="C1043" s="32" t="str">
        <x:v>W2</x:v>
      </x:c>
      <x:c r="D1043" s="32" t="str">
        <x:v>V2</x:v>
      </x:c>
      <x:c r="E1043" s="86" t="n">
        <x:f>COUNT('30_W2_张力'!C34,'30_W2_张力'!E34,'30_W2_张力'!G34,'30_W2_张力'!I34)</x:f>
        <x:v>4</x:v>
      </x:c>
      <x:c r="F1043" s="90" t="n">
        <x:f>IF(E1043=0,"",AVERAGE('30_W2_张力'!C34,'30_W2_张力'!E34,'30_W2_张力'!G34,'30_W2_张力'!I34))</x:f>
        <x:v>-36.575</x:v>
      </x:c>
      <x:c r="G1043" s="90" t="n">
        <x:f>IF(E1043&lt;2,"",STDEV.S('30_W2_张力'!C34,'30_W2_张力'!E34,'30_W2_张力'!G34,'30_W2_张力'!I34))</x:f>
        <x:v>1.364734406395618</x:v>
      </x:c>
      <x:c r="H1043" s="90" t="n">
        <x:f>IF(E1043=0,"",MIN('30_W2_张力'!C34,'30_W2_张力'!E34,'30_W2_张力'!G34,'30_W2_张力'!I34))</x:f>
        <x:v>-38</x:v>
      </x:c>
      <x:c r="I1043" s="90" t="n">
        <x:f>IF(E1043=0,"",MAX('30_W2_张力'!C34,'30_W2_张力'!E34,'30_W2_张力'!G34,'30_W2_张力'!I34))</x:f>
        <x:v>-34.9</x:v>
      </x:c>
      <x:c r="J1043" s="32" t="str">
        <x:v>kPa</x:v>
      </x:c>
    </x:row>
    <x:row r="1044">
      <x:c r="A1044" s="72" t="n">
        <x:v>46240.906863425924</x:v>
      </x:c>
      <x:c r="B1044" s="32" t="str">
        <x:v>土壤张力</x:v>
      </x:c>
      <x:c r="C1044" s="32" t="str">
        <x:v>W2</x:v>
      </x:c>
      <x:c r="D1044" s="32" t="str">
        <x:v>V1</x:v>
      </x:c>
      <x:c r="E1044" s="86" t="n">
        <x:f>COUNT('30_W2_张力'!B35,'30_W2_张力'!D35,'30_W2_张力'!F35,'30_W2_张力'!H35)</x:f>
        <x:v>4</x:v>
      </x:c>
      <x:c r="F1044" s="90" t="n">
        <x:f>IF(E1044=0,"",AVERAGE('30_W2_张力'!B35,'30_W2_张力'!D35,'30_W2_张力'!F35,'30_W2_张力'!H35))</x:f>
        <x:v>-35.575</x:v>
      </x:c>
      <x:c r="G1044" s="90" t="n">
        <x:f>IF(E1044&lt;2,"",STDEV.S('30_W2_张力'!B35,'30_W2_张力'!D35,'30_W2_张力'!F35,'30_W2_张力'!H35))</x:f>
        <x:v>1.8553975315279483</x:v>
      </x:c>
      <x:c r="H1044" s="90" t="n">
        <x:f>IF(E1044=0,"",MIN('30_W2_张力'!B35,'30_W2_张力'!D35,'30_W2_张力'!F35,'30_W2_张力'!H35))</x:f>
        <x:v>-37.2</x:v>
      </x:c>
      <x:c r="I1044" s="90" t="n">
        <x:f>IF(E1044=0,"",MAX('30_W2_张力'!B35,'30_W2_张力'!D35,'30_W2_张力'!F35,'30_W2_张力'!H35))</x:f>
        <x:v>-33</x:v>
      </x:c>
      <x:c r="J1044" s="32" t="str">
        <x:v>kPa</x:v>
      </x:c>
    </x:row>
    <x:row r="1045">
      <x:c r="A1045" s="72" t="n">
        <x:v>46240.906863425924</x:v>
      </x:c>
      <x:c r="B1045" s="32" t="str">
        <x:v>土壤张力</x:v>
      </x:c>
      <x:c r="C1045" s="32" t="str">
        <x:v>W2</x:v>
      </x:c>
      <x:c r="D1045" s="32" t="str">
        <x:v>V2</x:v>
      </x:c>
      <x:c r="E1045" s="86" t="n">
        <x:f>COUNT('30_W2_张力'!C35,'30_W2_张力'!E35,'30_W2_张力'!G35,'30_W2_张力'!I35)</x:f>
        <x:v>4</x:v>
      </x:c>
      <x:c r="F1045" s="90" t="n">
        <x:f>IF(E1045=0,"",AVERAGE('30_W2_张力'!C35,'30_W2_张力'!E35,'30_W2_张力'!G35,'30_W2_张力'!I35))</x:f>
        <x:v>-36.575</x:v>
      </x:c>
      <x:c r="G1045" s="90" t="n">
        <x:f>IF(E1045&lt;2,"",STDEV.S('30_W2_张力'!C35,'30_W2_张力'!E35,'30_W2_张力'!G35,'30_W2_张力'!I35))</x:f>
        <x:v>1.6459546368799671</x:v>
      </x:c>
      <x:c r="H1045" s="90" t="n">
        <x:f>IF(E1045=0,"",MIN('30_W2_张力'!C35,'30_W2_张力'!E35,'30_W2_张力'!G35,'30_W2_张力'!I35))</x:f>
        <x:v>-37.9</x:v>
      </x:c>
      <x:c r="I1045" s="90" t="n">
        <x:f>IF(E1045=0,"",MAX('30_W2_张力'!C35,'30_W2_张力'!E35,'30_W2_张力'!G35,'30_W2_张力'!I35))</x:f>
        <x:v>-34.4</x:v>
      </x:c>
      <x:c r="J1045" s="32" t="str">
        <x:v>kPa</x:v>
      </x:c>
    </x:row>
    <x:row r="1046">
      <x:c r="A1046" s="72" t="n">
        <x:v>46240.91033564815</x:v>
      </x:c>
      <x:c r="B1046" s="32" t="str">
        <x:v>土壤张力</x:v>
      </x:c>
      <x:c r="C1046" s="32" t="str">
        <x:v>W2</x:v>
      </x:c>
      <x:c r="D1046" s="32" t="str">
        <x:v>V1</x:v>
      </x:c>
      <x:c r="E1046" s="86" t="n">
        <x:f>COUNT('30_W2_张力'!B36,'30_W2_张力'!D36,'30_W2_张力'!F36,'30_W2_张力'!H36)</x:f>
        <x:v>4</x:v>
      </x:c>
      <x:c r="F1046" s="90" t="n">
        <x:f>IF(E1046=0,"",AVERAGE('30_W2_张力'!B36,'30_W2_张力'!D36,'30_W2_张力'!F36,'30_W2_张力'!H36))</x:f>
        <x:v>-35.6</x:v>
      </x:c>
      <x:c r="G1046" s="90" t="n">
        <x:f>IF(E1046&lt;2,"",STDEV.S('30_W2_张力'!B36,'30_W2_张力'!D36,'30_W2_张力'!F36,'30_W2_张力'!H36))</x:f>
        <x:v>2.1275964529643927</x:v>
      </x:c>
      <x:c r="H1046" s="90" t="n">
        <x:f>IF(E1046=0,"",MIN('30_W2_张力'!B36,'30_W2_张力'!D36,'30_W2_张力'!F36,'30_W2_张力'!H36))</x:f>
        <x:v>-37.6</x:v>
      </x:c>
      <x:c r="I1046" s="90" t="n">
        <x:f>IF(E1046=0,"",MAX('30_W2_张力'!B36,'30_W2_张力'!D36,'30_W2_张力'!F36,'30_W2_张力'!H36))</x:f>
        <x:v>-32.6</x:v>
      </x:c>
      <x:c r="J1046" s="32" t="str">
        <x:v>kPa</x:v>
      </x:c>
    </x:row>
    <x:row r="1047">
      <x:c r="A1047" s="72" t="n">
        <x:v>46240.91033564815</x:v>
      </x:c>
      <x:c r="B1047" s="32" t="str">
        <x:v>土壤张力</x:v>
      </x:c>
      <x:c r="C1047" s="32" t="str">
        <x:v>W2</x:v>
      </x:c>
      <x:c r="D1047" s="32" t="str">
        <x:v>V2</x:v>
      </x:c>
      <x:c r="E1047" s="86" t="n">
        <x:f>COUNT('30_W2_张力'!C36,'30_W2_张力'!E36,'30_W2_张力'!G36,'30_W2_张力'!I36)</x:f>
        <x:v>4</x:v>
      </x:c>
      <x:c r="F1047" s="90" t="n">
        <x:f>IF(E1047=0,"",AVERAGE('30_W2_张力'!C36,'30_W2_张力'!E36,'30_W2_张力'!G36,'30_W2_张力'!I36))</x:f>
        <x:v>-36.575</x:v>
      </x:c>
      <x:c r="G1047" s="90" t="n">
        <x:f>IF(E1047&lt;2,"",STDEV.S('30_W2_张力'!C36,'30_W2_张力'!E36,'30_W2_张力'!G36,'30_W2_张力'!I36))</x:f>
        <x:v>1.8553975315279483</x:v>
      </x:c>
      <x:c r="H1047" s="90" t="n">
        <x:f>IF(E1047=0,"",MIN('30_W2_张力'!C36,'30_W2_张力'!E36,'30_W2_张力'!G36,'30_W2_张力'!I36))</x:f>
        <x:v>-38.2</x:v>
      </x:c>
      <x:c r="I1047" s="90" t="n">
        <x:f>IF(E1047=0,"",MAX('30_W2_张力'!C36,'30_W2_张力'!E36,'30_W2_张力'!G36,'30_W2_张力'!I36))</x:f>
        <x:v>-34</x:v>
      </x:c>
      <x:c r="J1047" s="32" t="str">
        <x:v>kPa</x:v>
      </x:c>
    </x:row>
    <x:row r="1048">
      <x:c r="A1048" s="72" t="n">
        <x:v>46240.91380787037</x:v>
      </x:c>
      <x:c r="B1048" s="32" t="str">
        <x:v>土壤张力</x:v>
      </x:c>
      <x:c r="C1048" s="32" t="str">
        <x:v>W2</x:v>
      </x:c>
      <x:c r="D1048" s="32" t="str">
        <x:v>V1</x:v>
      </x:c>
      <x:c r="E1048" s="86" t="n">
        <x:f>COUNT('30_W2_张力'!B37,'30_W2_张力'!D37,'30_W2_张力'!F37,'30_W2_张力'!H37)</x:f>
        <x:v>4</x:v>
      </x:c>
      <x:c r="F1048" s="90" t="n">
        <x:f>IF(E1048=0,"",AVERAGE('30_W2_张力'!B37,'30_W2_张力'!D37,'30_W2_张力'!F37,'30_W2_张力'!H37))</x:f>
        <x:v>-35.599999999999994</x:v>
      </x:c>
      <x:c r="G1048" s="90" t="n">
        <x:f>IF(E1048&lt;2,"",STDEV.S('30_W2_张力'!B37,'30_W2_张力'!D37,'30_W2_张力'!F37,'30_W2_张力'!H37))</x:f>
        <x:v>2.3423634787681156</x:v>
      </x:c>
      <x:c r="H1048" s="90" t="n">
        <x:f>IF(E1048=0,"",MIN('30_W2_张力'!B37,'30_W2_张力'!D37,'30_W2_张力'!F37,'30_W2_张力'!H37))</x:f>
        <x:v>-37.8</x:v>
      </x:c>
      <x:c r="I1048" s="90" t="n">
        <x:f>IF(E1048=0,"",MAX('30_W2_张力'!B37,'30_W2_张力'!D37,'30_W2_张力'!F37,'30_W2_张力'!H37))</x:f>
        <x:v>-32.3</x:v>
      </x:c>
      <x:c r="J1048" s="32" t="str">
        <x:v>kPa</x:v>
      </x:c>
    </x:row>
    <x:row r="1049">
      <x:c r="A1049" s="72" t="n">
        <x:v>46240.91380787037</x:v>
      </x:c>
      <x:c r="B1049" s="32" t="str">
        <x:v>土壤张力</x:v>
      </x:c>
      <x:c r="C1049" s="32" t="str">
        <x:v>W2</x:v>
      </x:c>
      <x:c r="D1049" s="32" t="str">
        <x:v>V2</x:v>
      </x:c>
      <x:c r="E1049" s="86" t="n">
        <x:f>COUNT('30_W2_张力'!C37,'30_W2_张力'!E37,'30_W2_张力'!G37,'30_W2_张力'!I37)</x:f>
        <x:v>4</x:v>
      </x:c>
      <x:c r="F1049" s="90" t="n">
        <x:f>IF(E1049=0,"",AVERAGE('30_W2_张力'!C37,'30_W2_张力'!E37,'30_W2_张力'!G37,'30_W2_张力'!I37))</x:f>
        <x:v>-36.6</x:v>
      </x:c>
      <x:c r="G1049" s="90" t="n">
        <x:f>IF(E1049&lt;2,"",STDEV.S('30_W2_张力'!C37,'30_W2_张力'!E37,'30_W2_张力'!G37,'30_W2_张力'!I37))</x:f>
        <x:v>2.1275964529643927</x:v>
      </x:c>
      <x:c r="H1049" s="90" t="n">
        <x:f>IF(E1049=0,"",MIN('30_W2_张力'!C37,'30_W2_张力'!E37,'30_W2_张力'!G37,'30_W2_张力'!I37))</x:f>
        <x:v>-38.6</x:v>
      </x:c>
      <x:c r="I1049" s="90" t="n">
        <x:f>IF(E1049=0,"",MAX('30_W2_张力'!C37,'30_W2_张力'!E37,'30_W2_张力'!G37,'30_W2_张力'!I37))</x:f>
        <x:v>-33.6</x:v>
      </x:c>
      <x:c r="J1049" s="32" t="str">
        <x:v>kPa</x:v>
      </x:c>
    </x:row>
    <x:row r="1050">
      <x:c r="A1050" s="72" t="n">
        <x:v>46240.917280092595</x:v>
      </x:c>
      <x:c r="B1050" s="32" t="str">
        <x:v>土壤张力</x:v>
      </x:c>
      <x:c r="C1050" s="32" t="str">
        <x:v>W2</x:v>
      </x:c>
      <x:c r="D1050" s="32" t="str">
        <x:v>V1</x:v>
      </x:c>
      <x:c r="E1050" s="86" t="n">
        <x:f>COUNT('30_W2_张力'!B38,'30_W2_张力'!D38,'30_W2_张力'!F38,'30_W2_张力'!H38)</x:f>
        <x:v>4</x:v>
      </x:c>
      <x:c r="F1050" s="90" t="n">
        <x:f>IF(E1050=0,"",AVERAGE('30_W2_张力'!B38,'30_W2_张力'!D38,'30_W2_张力'!F38,'30_W2_张力'!H38))</x:f>
        <x:v>-35.575</x:v>
      </x:c>
      <x:c r="G1050" s="90" t="n">
        <x:f>IF(E1050&lt;2,"",STDEV.S('30_W2_张力'!B38,'30_W2_张力'!D38,'30_W2_张力'!F38,'30_W2_张力'!H38))</x:f>
        <x:v>2.5486924752377105</x:v>
      </x:c>
      <x:c r="H1050" s="90" t="n">
        <x:f>IF(E1050=0,"",MIN('30_W2_张力'!B38,'30_W2_张力'!D38,'30_W2_张力'!F38,'30_W2_张力'!H38))</x:f>
        <x:v>-38</x:v>
      </x:c>
      <x:c r="I1050" s="90" t="n">
        <x:f>IF(E1050=0,"",MAX('30_W2_张力'!B38,'30_W2_张力'!D38,'30_W2_张力'!F38,'30_W2_张力'!H38))</x:f>
        <x:v>-32.1</x:v>
      </x:c>
      <x:c r="J1050" s="32" t="str">
        <x:v>kPa</x:v>
      </x:c>
    </x:row>
    <x:row r="1051">
      <x:c r="A1051" s="72" t="n">
        <x:v>46240.917280092595</x:v>
      </x:c>
      <x:c r="B1051" s="32" t="str">
        <x:v>土壤张力</x:v>
      </x:c>
      <x:c r="C1051" s="32" t="str">
        <x:v>W2</x:v>
      </x:c>
      <x:c r="D1051" s="32" t="str">
        <x:v>V2</x:v>
      </x:c>
      <x:c r="E1051" s="86" t="n">
        <x:f>COUNT('30_W2_张力'!C38,'30_W2_张力'!E38,'30_W2_张力'!G38,'30_W2_张力'!I38)</x:f>
        <x:v>4</x:v>
      </x:c>
      <x:c r="F1051" s="90" t="n">
        <x:f>IF(E1051=0,"",AVERAGE('30_W2_张力'!C38,'30_W2_张力'!E38,'30_W2_张力'!G38,'30_W2_张力'!I38))</x:f>
        <x:v>-36.599999999999994</x:v>
      </x:c>
      <x:c r="G1051" s="90" t="n">
        <x:f>IF(E1051&lt;2,"",STDEV.S('30_W2_张力'!C38,'30_W2_张力'!E38,'30_W2_张力'!G38,'30_W2_张力'!I38))</x:f>
        <x:v>2.3423634787681156</x:v>
      </x:c>
      <x:c r="H1051" s="90" t="n">
        <x:f>IF(E1051=0,"",MIN('30_W2_张力'!C38,'30_W2_张力'!E38,'30_W2_张力'!G38,'30_W2_张力'!I38))</x:f>
        <x:v>-38.8</x:v>
      </x:c>
      <x:c r="I1051" s="90" t="n">
        <x:f>IF(E1051=0,"",MAX('30_W2_张力'!C38,'30_W2_张力'!E38,'30_W2_张力'!G38,'30_W2_张力'!I38))</x:f>
        <x:v>-33.3</x:v>
      </x:c>
      <x:c r="J1051" s="32" t="str">
        <x:v>kPa</x:v>
      </x:c>
    </x:row>
    <x:row r="1052">
      <x:c r="A1052" s="72" t="n">
        <x:v>46240.920752314814</x:v>
      </x:c>
      <x:c r="B1052" s="32" t="str">
        <x:v>土壤张力</x:v>
      </x:c>
      <x:c r="C1052" s="32" t="str">
        <x:v>W2</x:v>
      </x:c>
      <x:c r="D1052" s="32" t="str">
        <x:v>V1</x:v>
      </x:c>
      <x:c r="E1052" s="86" t="n">
        <x:f>COUNT('30_W2_张力'!B39,'30_W2_张力'!D39,'30_W2_张力'!F39,'30_W2_张力'!H39)</x:f>
        <x:v>4</x:v>
      </x:c>
      <x:c r="F1052" s="90" t="n">
        <x:f>IF(E1052=0,"",AVERAGE('30_W2_张力'!B39,'30_W2_张力'!D39,'30_W2_张力'!F39,'30_W2_张力'!H39))</x:f>
        <x:v>-35.55</x:v>
      </x:c>
      <x:c r="G1052" s="90" t="n">
        <x:f>IF(E1052&lt;2,"",STDEV.S('30_W2_张力'!B39,'30_W2_张力'!D39,'30_W2_张力'!F39,'30_W2_张力'!H39))</x:f>
        <x:v>2.7135462651912405</x:v>
      </x:c>
      <x:c r="H1052" s="90" t="n">
        <x:f>IF(E1052=0,"",MIN('30_W2_张力'!B39,'30_W2_张力'!D39,'30_W2_张力'!F39,'30_W2_张力'!H39))</x:f>
        <x:v>-38</x:v>
      </x:c>
      <x:c r="I1052" s="90" t="n">
        <x:f>IF(E1052=0,"",MAX('30_W2_张力'!B39,'30_W2_张力'!D39,'30_W2_张力'!F39,'30_W2_张力'!H39))</x:f>
        <x:v>-32</x:v>
      </x:c>
      <x:c r="J1052" s="32" t="str">
        <x:v>kPa</x:v>
      </x:c>
    </x:row>
    <x:row r="1053">
      <x:c r="A1053" s="72" t="n">
        <x:v>46240.920752314814</x:v>
      </x:c>
      <x:c r="B1053" s="32" t="str">
        <x:v>土壤张力</x:v>
      </x:c>
      <x:c r="C1053" s="32" t="str">
        <x:v>W2</x:v>
      </x:c>
      <x:c r="D1053" s="32" t="str">
        <x:v>V2</x:v>
      </x:c>
      <x:c r="E1053" s="86" t="n">
        <x:f>COUNT('30_W2_张力'!C39,'30_W2_张力'!E39,'30_W2_张力'!G39,'30_W2_张力'!I39)</x:f>
        <x:v>4</x:v>
      </x:c>
      <x:c r="F1053" s="90" t="n">
        <x:f>IF(E1053=0,"",AVERAGE('30_W2_张力'!C39,'30_W2_张力'!E39,'30_W2_张力'!G39,'30_W2_张力'!I39))</x:f>
        <x:v>-36.575</x:v>
      </x:c>
      <x:c r="G1053" s="90" t="n">
        <x:f>IF(E1053&lt;2,"",STDEV.S('30_W2_张力'!C39,'30_W2_张力'!E39,'30_W2_张力'!G39,'30_W2_张力'!I39))</x:f>
        <x:v>2.5486924752377105</x:v>
      </x:c>
      <x:c r="H1053" s="90" t="n">
        <x:f>IF(E1053=0,"",MIN('30_W2_张力'!C39,'30_W2_张力'!E39,'30_W2_张力'!G39,'30_W2_张力'!I39))</x:f>
        <x:v>-39</x:v>
      </x:c>
      <x:c r="I1053" s="90" t="n">
        <x:f>IF(E1053=0,"",MAX('30_W2_张力'!C39,'30_W2_张力'!E39,'30_W2_张力'!G39,'30_W2_张力'!I39))</x:f>
        <x:v>-33.1</x:v>
      </x:c>
      <x:c r="J1053" s="32" t="str">
        <x:v>kPa</x:v>
      </x:c>
    </x:row>
    <x:row r="1054">
      <x:c r="A1054" s="72" t="n">
        <x:v>46240.92422453704</x:v>
      </x:c>
      <x:c r="B1054" s="32" t="str">
        <x:v>土壤张力</x:v>
      </x:c>
      <x:c r="C1054" s="32" t="str">
        <x:v>W2</x:v>
      </x:c>
      <x:c r="D1054" s="32" t="str">
        <x:v>V1</x:v>
      </x:c>
      <x:c r="E1054" s="86" t="n">
        <x:f>COUNT('30_W2_张力'!B40,'30_W2_张力'!D40,'30_W2_张力'!F40,'30_W2_张力'!H40)</x:f>
        <x:v>4</x:v>
      </x:c>
      <x:c r="F1054" s="90" t="n">
        <x:f>IF(E1054=0,"",AVERAGE('30_W2_张力'!B40,'30_W2_张力'!D40,'30_W2_张力'!F40,'30_W2_张力'!H40))</x:f>
        <x:v>-35.525000000000006</x:v>
      </x:c>
      <x:c r="G1054" s="90" t="n">
        <x:f>IF(E1054&lt;2,"",STDEV.S('30_W2_张力'!B40,'30_W2_张力'!D40,'30_W2_张力'!F40,'30_W2_张力'!H40))</x:f>
        <x:v>2.858175408659633</x:v>
      </x:c>
      <x:c r="H1054" s="90" t="n">
        <x:f>IF(E1054=0,"",MIN('30_W2_张力'!B40,'30_W2_张力'!D40,'30_W2_张力'!F40,'30_W2_张力'!H40))</x:f>
        <x:v>-37.9</x:v>
      </x:c>
      <x:c r="I1054" s="90" t="n">
        <x:f>IF(E1054=0,"",MAX('30_W2_张力'!B40,'30_W2_张力'!D40,'30_W2_张力'!F40,'30_W2_张力'!H40))</x:f>
        <x:v>-32</x:v>
      </x:c>
      <x:c r="J1054" s="32" t="str">
        <x:v>kPa</x:v>
      </x:c>
    </x:row>
    <x:row r="1055">
      <x:c r="A1055" s="72" t="n">
        <x:v>46240.92422453704</x:v>
      </x:c>
      <x:c r="B1055" s="32" t="str">
        <x:v>土壤张力</x:v>
      </x:c>
      <x:c r="C1055" s="32" t="str">
        <x:v>W2</x:v>
      </x:c>
      <x:c r="D1055" s="32" t="str">
        <x:v>V2</x:v>
      </x:c>
      <x:c r="E1055" s="86" t="n">
        <x:f>COUNT('30_W2_张力'!C40,'30_W2_张力'!E40,'30_W2_张力'!G40,'30_W2_张力'!I40)</x:f>
        <x:v>4</x:v>
      </x:c>
      <x:c r="F1055" s="90" t="n">
        <x:f>IF(E1055=0,"",AVERAGE('30_W2_张力'!C40,'30_W2_张力'!E40,'30_W2_张力'!G40,'30_W2_张力'!I40))</x:f>
        <x:v>-36.55</x:v>
      </x:c>
      <x:c r="G1055" s="90" t="n">
        <x:f>IF(E1055&lt;2,"",STDEV.S('30_W2_张力'!C40,'30_W2_张力'!E40,'30_W2_张力'!G40,'30_W2_张力'!I40))</x:f>
        <x:v>2.7135462651912405</x:v>
      </x:c>
      <x:c r="H1055" s="90" t="n">
        <x:f>IF(E1055=0,"",MIN('30_W2_张力'!C40,'30_W2_张力'!E40,'30_W2_张力'!G40,'30_W2_张力'!I40))</x:f>
        <x:v>-39</x:v>
      </x:c>
      <x:c r="I1055" s="90" t="n">
        <x:f>IF(E1055=0,"",MAX('30_W2_张力'!C40,'30_W2_张力'!E40,'30_W2_张力'!G40,'30_W2_张力'!I40))</x:f>
        <x:v>-33</x:v>
      </x:c>
      <x:c r="J1055" s="32" t="str">
        <x:v>kPa</x:v>
      </x:c>
    </x:row>
    <x:row r="1056">
      <x:c r="A1056" s="72" t="n">
        <x:v>46240.92769675926</x:v>
      </x:c>
      <x:c r="B1056" s="32" t="str">
        <x:v>土壤张力</x:v>
      </x:c>
      <x:c r="C1056" s="32" t="str">
        <x:v>W2</x:v>
      </x:c>
      <x:c r="D1056" s="32" t="str">
        <x:v>V1</x:v>
      </x:c>
      <x:c r="E1056" s="86" t="n">
        <x:f>COUNT('30_W2_张力'!B41,'30_W2_张力'!D41,'30_W2_张力'!F41,'30_W2_张力'!H41)</x:f>
        <x:v>4</x:v>
      </x:c>
      <x:c r="F1056" s="90" t="n">
        <x:f>IF(E1056=0,"",AVERAGE('30_W2_张力'!B41,'30_W2_张力'!D41,'30_W2_张力'!F41,'30_W2_张力'!H41))</x:f>
        <x:v>-35.5</x:v>
      </x:c>
      <x:c r="G1056" s="90" t="n">
        <x:f>IF(E1056&lt;2,"",STDEV.S('30_W2_张力'!B41,'30_W2_张力'!D41,'30_W2_张力'!F41,'30_W2_张力'!H41))</x:f>
        <x:v>2.877498913987632</x:v>
      </x:c>
      <x:c r="H1056" s="90" t="n">
        <x:f>IF(E1056=0,"",MIN('30_W2_张力'!B41,'30_W2_张力'!D41,'30_W2_张力'!F41,'30_W2_张力'!H41))</x:f>
        <x:v>-38.2</x:v>
      </x:c>
      <x:c r="I1056" s="90" t="n">
        <x:f>IF(E1056=0,"",MAX('30_W2_张力'!B41,'30_W2_张力'!D41,'30_W2_张力'!F41,'30_W2_张力'!H41))</x:f>
        <x:v>-32.2</x:v>
      </x:c>
      <x:c r="J1056" s="32" t="str">
        <x:v>kPa</x:v>
      </x:c>
    </x:row>
    <x:row r="1057">
      <x:c r="A1057" s="72" t="n">
        <x:v>46240.92769675926</x:v>
      </x:c>
      <x:c r="B1057" s="32" t="str">
        <x:v>土壤张力</x:v>
      </x:c>
      <x:c r="C1057" s="32" t="str">
        <x:v>W2</x:v>
      </x:c>
      <x:c r="D1057" s="32" t="str">
        <x:v>V2</x:v>
      </x:c>
      <x:c r="E1057" s="86" t="n">
        <x:f>COUNT('30_W2_张力'!C41,'30_W2_张力'!E41,'30_W2_张力'!G41,'30_W2_张力'!I41)</x:f>
        <x:v>4</x:v>
      </x:c>
      <x:c r="F1057" s="90" t="n">
        <x:f>IF(E1057=0,"",AVERAGE('30_W2_张力'!C41,'30_W2_张力'!E41,'30_W2_张力'!G41,'30_W2_张力'!I41))</x:f>
        <x:v>-36.525000000000006</x:v>
      </x:c>
      <x:c r="G1057" s="90" t="n">
        <x:f>IF(E1057&lt;2,"",STDEV.S('30_W2_张力'!C41,'30_W2_张力'!E41,'30_W2_张力'!G41,'30_W2_张力'!I41))</x:f>
        <x:v>2.858175408659633</x:v>
      </x:c>
      <x:c r="H1057" s="90" t="n">
        <x:f>IF(E1057=0,"",MIN('30_W2_张力'!C41,'30_W2_张力'!E41,'30_W2_张力'!G41,'30_W2_张力'!I41))</x:f>
        <x:v>-38.9</x:v>
      </x:c>
      <x:c r="I1057" s="90" t="n">
        <x:f>IF(E1057=0,"",MAX('30_W2_张力'!C41,'30_W2_张力'!E41,'30_W2_张力'!G41,'30_W2_张力'!I41))</x:f>
        <x:v>-33</x:v>
      </x:c>
      <x:c r="J1057" s="32" t="str">
        <x:v>kPa</x:v>
      </x:c>
    </x:row>
    <x:row r="1058">
      <x:c r="A1058" s="72" t="n">
        <x:v>46240.93116898148</x:v>
      </x:c>
      <x:c r="B1058" s="32" t="str">
        <x:v>土壤张力</x:v>
      </x:c>
      <x:c r="C1058" s="32" t="str">
        <x:v>W2</x:v>
      </x:c>
      <x:c r="D1058" s="32" t="str">
        <x:v>V1</x:v>
      </x:c>
      <x:c r="E1058" s="86" t="n">
        <x:f>COUNT('30_W2_张力'!B42,'30_W2_张力'!D42,'30_W2_张力'!F42,'30_W2_张力'!H42)</x:f>
        <x:v>4</x:v>
      </x:c>
      <x:c r="F1058" s="90" t="n">
        <x:f>IF(E1058=0,"",AVERAGE('30_W2_张力'!B42,'30_W2_张力'!D42,'30_W2_张力'!F42,'30_W2_张力'!H42))</x:f>
        <x:v>-35.5</x:v>
      </x:c>
      <x:c r="G1058" s="90" t="n">
        <x:f>IF(E1058&lt;2,"",STDEV.S('30_W2_张力'!B42,'30_W2_张力'!D42,'30_W2_张力'!F42,'30_W2_张力'!H42))</x:f>
        <x:v>2.9131884021921177</x:v>
      </x:c>
      <x:c r="H1058" s="90" t="n">
        <x:f>IF(E1058=0,"",MIN('30_W2_张力'!B42,'30_W2_张力'!D42,'30_W2_张力'!F42,'30_W2_张力'!H42))</x:f>
        <x:v>-38.6</x:v>
      </x:c>
      <x:c r="I1058" s="90" t="n">
        <x:f>IF(E1058=0,"",MAX('30_W2_张力'!B42,'30_W2_张力'!D42,'30_W2_张力'!F42,'30_W2_张力'!H42))</x:f>
        <x:v>-32.5</x:v>
      </x:c>
      <x:c r="J1058" s="32" t="str">
        <x:v>kPa</x:v>
      </x:c>
    </x:row>
    <x:row r="1059">
      <x:c r="A1059" s="72" t="n">
        <x:v>46240.93116898148</x:v>
      </x:c>
      <x:c r="B1059" s="32" t="str">
        <x:v>土壤张力</x:v>
      </x:c>
      <x:c r="C1059" s="32" t="str">
        <x:v>W2</x:v>
      </x:c>
      <x:c r="D1059" s="32" t="str">
        <x:v>V2</x:v>
      </x:c>
      <x:c r="E1059" s="86" t="n">
        <x:f>COUNT('30_W2_张力'!C42,'30_W2_张力'!E42,'30_W2_张力'!G42,'30_W2_张力'!I42)</x:f>
        <x:v>4</x:v>
      </x:c>
      <x:c r="F1059" s="90" t="n">
        <x:f>IF(E1059=0,"",AVERAGE('30_W2_张力'!C42,'30_W2_张力'!E42,'30_W2_张力'!G42,'30_W2_张力'!I42))</x:f>
        <x:v>-36.5</x:v>
      </x:c>
      <x:c r="G1059" s="90" t="n">
        <x:f>IF(E1059&lt;2,"",STDEV.S('30_W2_张力'!C42,'30_W2_张力'!E42,'30_W2_张力'!G42,'30_W2_张力'!I42))</x:f>
        <x:v>2.877498913987632</x:v>
      </x:c>
      <x:c r="H1059" s="90" t="n">
        <x:f>IF(E1059=0,"",MIN('30_W2_张力'!C42,'30_W2_张力'!E42,'30_W2_张力'!G42,'30_W2_张力'!I42))</x:f>
        <x:v>-39.2</x:v>
      </x:c>
      <x:c r="I1059" s="90" t="n">
        <x:f>IF(E1059=0,"",MAX('30_W2_张力'!C42,'30_W2_张力'!E42,'30_W2_张力'!G42,'30_W2_张力'!I42))</x:f>
        <x:v>-33.2</x:v>
      </x:c>
      <x:c r="J1059" s="32" t="str">
        <x:v>kPa</x:v>
      </x:c>
    </x:row>
    <x:row r="1060">
      <x:c r="A1060" s="72" t="n">
        <x:v>46240.934641203705</x:v>
      </x:c>
      <x:c r="B1060" s="32" t="str">
        <x:v>土壤张力</x:v>
      </x:c>
      <x:c r="C1060" s="32" t="str">
        <x:v>W2</x:v>
      </x:c>
      <x:c r="D1060" s="32" t="str">
        <x:v>V1</x:v>
      </x:c>
      <x:c r="E1060" s="86" t="n">
        <x:f>COUNT('30_W2_张力'!B43,'30_W2_张力'!D43,'30_W2_张力'!F43,'30_W2_张力'!H43)</x:f>
        <x:v>4</x:v>
      </x:c>
      <x:c r="F1060" s="90" t="n">
        <x:f>IF(E1060=0,"",AVERAGE('30_W2_张力'!B43,'30_W2_张力'!D43,'30_W2_张力'!F43,'30_W2_张力'!H43))</x:f>
        <x:v>-35.474999999999994</x:v>
      </x:c>
      <x:c r="G1060" s="90" t="n">
        <x:f>IF(E1060&lt;2,"",STDEV.S('30_W2_张力'!B43,'30_W2_张力'!D43,'30_W2_张力'!F43,'30_W2_张力'!H43))</x:f>
        <x:v>2.8546745290254485</x:v>
      </x:c>
      <x:c r="H1060" s="90" t="n">
        <x:f>IF(E1060=0,"",MIN('30_W2_张力'!B43,'30_W2_张力'!D43,'30_W2_张力'!F43,'30_W2_张力'!H43))</x:f>
        <x:v>-38.8</x:v>
      </x:c>
      <x:c r="I1060" s="90" t="n">
        <x:f>IF(E1060=0,"",MAX('30_W2_张力'!B43,'30_W2_张力'!D43,'30_W2_张力'!F43,'30_W2_张力'!H43))</x:f>
        <x:v>-32.9</x:v>
      </x:c>
      <x:c r="J1060" s="32" t="str">
        <x:v>kPa</x:v>
      </x:c>
    </x:row>
    <x:row r="1061">
      <x:c r="A1061" s="72" t="n">
        <x:v>46240.934641203705</x:v>
      </x:c>
      <x:c r="B1061" s="32" t="str">
        <x:v>土壤张力</x:v>
      </x:c>
      <x:c r="C1061" s="32" t="str">
        <x:v>W2</x:v>
      </x:c>
      <x:c r="D1061" s="32" t="str">
        <x:v>V2</x:v>
      </x:c>
      <x:c r="E1061" s="86" t="n">
        <x:f>COUNT('30_W2_张力'!C43,'30_W2_张力'!E43,'30_W2_张力'!G43,'30_W2_张力'!I43)</x:f>
        <x:v>4</x:v>
      </x:c>
      <x:c r="F1061" s="90" t="n">
        <x:f>IF(E1061=0,"",AVERAGE('30_W2_张力'!C43,'30_W2_张力'!E43,'30_W2_张力'!G43,'30_W2_张力'!I43))</x:f>
        <x:v>-36.5</x:v>
      </x:c>
      <x:c r="G1061" s="90" t="n">
        <x:f>IF(E1061&lt;2,"",STDEV.S('30_W2_张力'!C43,'30_W2_张力'!E43,'30_W2_张力'!G43,'30_W2_张力'!I43))</x:f>
        <x:v>2.9131884021921177</x:v>
      </x:c>
      <x:c r="H1061" s="90" t="n">
        <x:f>IF(E1061=0,"",MIN('30_W2_张力'!C43,'30_W2_张力'!E43,'30_W2_张力'!G43,'30_W2_张力'!I43))</x:f>
        <x:v>-39.6</x:v>
      </x:c>
      <x:c r="I1061" s="90" t="n">
        <x:f>IF(E1061=0,"",MAX('30_W2_张力'!C43,'30_W2_张力'!E43,'30_W2_张力'!G43,'30_W2_张力'!I43))</x:f>
        <x:v>-33.5</x:v>
      </x:c>
      <x:c r="J1061" s="32" t="str">
        <x:v>kPa</x:v>
      </x:c>
    </x:row>
    <x:row r="1062">
      <x:c r="A1062" s="72" t="n">
        <x:v>46240.938113425924</x:v>
      </x:c>
      <x:c r="B1062" s="32" t="str">
        <x:v>土壤张力</x:v>
      </x:c>
      <x:c r="C1062" s="32" t="str">
        <x:v>W2</x:v>
      </x:c>
      <x:c r="D1062" s="32" t="str">
        <x:v>V1</x:v>
      </x:c>
      <x:c r="E1062" s="86" t="n">
        <x:f>COUNT('30_W2_张力'!B44,'30_W2_张力'!D44,'30_W2_张力'!F44,'30_W2_张力'!H44)</x:f>
        <x:v>4</x:v>
      </x:c>
      <x:c r="F1062" s="90" t="n">
        <x:f>IF(E1062=0,"",AVERAGE('30_W2_张力'!B44,'30_W2_张力'!D44,'30_W2_张力'!F44,'30_W2_张力'!H44))</x:f>
        <x:v>-35.45</x:v>
      </x:c>
      <x:c r="G1062" s="90" t="n">
        <x:f>IF(E1062&lt;2,"",STDEV.S('30_W2_张力'!B44,'30_W2_张力'!D44,'30_W2_张力'!F44,'30_W2_张力'!H44))</x:f>
        <x:v>2.807727432165262</x:v>
      </x:c>
      <x:c r="H1062" s="90" t="n">
        <x:f>IF(E1062=0,"",MIN('30_W2_张力'!B44,'30_W2_张力'!D44,'30_W2_张力'!F44,'30_W2_张力'!H44))</x:f>
        <x:v>-39</x:v>
      </x:c>
      <x:c r="I1062" s="90" t="n">
        <x:f>IF(E1062=0,"",MAX('30_W2_张力'!B44,'30_W2_张力'!D44,'30_W2_张力'!F44,'30_W2_张力'!H44))</x:f>
        <x:v>-33.1</x:v>
      </x:c>
      <x:c r="J1062" s="32" t="str">
        <x:v>kPa</x:v>
      </x:c>
    </x:row>
    <x:row r="1063">
      <x:c r="A1063" s="72" t="n">
        <x:v>46240.938113425924</x:v>
      </x:c>
      <x:c r="B1063" s="32" t="str">
        <x:v>土壤张力</x:v>
      </x:c>
      <x:c r="C1063" s="32" t="str">
        <x:v>W2</x:v>
      </x:c>
      <x:c r="D1063" s="32" t="str">
        <x:v>V2</x:v>
      </x:c>
      <x:c r="E1063" s="86" t="n">
        <x:f>COUNT('30_W2_张力'!C44,'30_W2_张力'!E44,'30_W2_张力'!G44,'30_W2_张力'!I44)</x:f>
        <x:v>4</x:v>
      </x:c>
      <x:c r="F1063" s="90" t="n">
        <x:f>IF(E1063=0,"",AVERAGE('30_W2_张力'!C44,'30_W2_张力'!E44,'30_W2_张力'!G44,'30_W2_张力'!I44))</x:f>
        <x:v>-36.474999999999994</x:v>
      </x:c>
      <x:c r="G1063" s="90" t="n">
        <x:f>IF(E1063&lt;2,"",STDEV.S('30_W2_张力'!C44,'30_W2_张力'!E44,'30_W2_张力'!G44,'30_W2_张力'!I44))</x:f>
        <x:v>2.8546745290254485</x:v>
      </x:c>
      <x:c r="H1063" s="90" t="n">
        <x:f>IF(E1063=0,"",MIN('30_W2_张力'!C44,'30_W2_张力'!E44,'30_W2_张力'!G44,'30_W2_张力'!I44))</x:f>
        <x:v>-39.8</x:v>
      </x:c>
      <x:c r="I1063" s="90" t="n">
        <x:f>IF(E1063=0,"",MAX('30_W2_张力'!C44,'30_W2_张力'!E44,'30_W2_张力'!G44,'30_W2_张力'!I44))</x:f>
        <x:v>-33.9</x:v>
      </x:c>
      <x:c r="J1063" s="32" t="str">
        <x:v>kPa</x:v>
      </x:c>
    </x:row>
    <x:row r="1064">
      <x:c r="A1064" s="72" t="n">
        <x:v>46240.94158564815</x:v>
      </x:c>
      <x:c r="B1064" s="32" t="str">
        <x:v>土壤张力</x:v>
      </x:c>
      <x:c r="C1064" s="32" t="str">
        <x:v>W2</x:v>
      </x:c>
      <x:c r="D1064" s="32" t="str">
        <x:v>V1</x:v>
      </x:c>
      <x:c r="E1064" s="86" t="n">
        <x:f>COUNT('30_W2_张力'!B45,'30_W2_张力'!D45,'30_W2_张力'!F45,'30_W2_张力'!H45)</x:f>
        <x:v>4</x:v>
      </x:c>
      <x:c r="F1064" s="90" t="n">
        <x:f>IF(E1064=0,"",AVERAGE('30_W2_张力'!B45,'30_W2_张力'!D45,'30_W2_张力'!F45,'30_W2_张力'!H45))</x:f>
        <x:v>-35.425</x:v>
      </x:c>
      <x:c r="G1064" s="90" t="n">
        <x:f>IF(E1064&lt;2,"",STDEV.S('30_W2_张力'!B45,'30_W2_张力'!D45,'30_W2_张力'!F45,'30_W2_张力'!H45))</x:f>
        <x:v>2.678774595469603</x:v>
      </x:c>
      <x:c r="H1064" s="90" t="n">
        <x:f>IF(E1064=0,"",MIN('30_W2_张力'!B45,'30_W2_张力'!D45,'30_W2_张力'!F45,'30_W2_张力'!H45))</x:f>
        <x:v>-39</x:v>
      </x:c>
      <x:c r="I1064" s="90" t="n">
        <x:f>IF(E1064=0,"",MAX('30_W2_张力'!B45,'30_W2_张力'!D45,'30_W2_张力'!F45,'30_W2_张力'!H45))</x:f>
        <x:v>-33</x:v>
      </x:c>
      <x:c r="J1064" s="32" t="str">
        <x:v>kPa</x:v>
      </x:c>
    </x:row>
    <x:row r="1065">
      <x:c r="A1065" s="72" t="n">
        <x:v>46240.94158564815</x:v>
      </x:c>
      <x:c r="B1065" s="32" t="str">
        <x:v>土壤张力</x:v>
      </x:c>
      <x:c r="C1065" s="32" t="str">
        <x:v>W2</x:v>
      </x:c>
      <x:c r="D1065" s="32" t="str">
        <x:v>V2</x:v>
      </x:c>
      <x:c r="E1065" s="86" t="n">
        <x:f>COUNT('30_W2_张力'!C45,'30_W2_张力'!E45,'30_W2_张力'!G45,'30_W2_张力'!I45)</x:f>
        <x:v>4</x:v>
      </x:c>
      <x:c r="F1065" s="90" t="n">
        <x:f>IF(E1065=0,"",AVERAGE('30_W2_张力'!C45,'30_W2_张力'!E45,'30_W2_张力'!G45,'30_W2_张力'!I45))</x:f>
        <x:v>-36.45</x:v>
      </x:c>
      <x:c r="G1065" s="90" t="n">
        <x:f>IF(E1065&lt;2,"",STDEV.S('30_W2_张力'!C45,'30_W2_张力'!E45,'30_W2_张力'!G45,'30_W2_张力'!I45))</x:f>
        <x:v>2.807727432165262</x:v>
      </x:c>
      <x:c r="H1065" s="90" t="n">
        <x:f>IF(E1065=0,"",MIN('30_W2_张力'!C45,'30_W2_张力'!E45,'30_W2_张力'!G45,'30_W2_张力'!I45))</x:f>
        <x:v>-40</x:v>
      </x:c>
      <x:c r="I1065" s="90" t="n">
        <x:f>IF(E1065=0,"",MAX('30_W2_张力'!C45,'30_W2_张力'!E45,'30_W2_张力'!G45,'30_W2_张力'!I45))</x:f>
        <x:v>-34.1</x:v>
      </x:c>
      <x:c r="J1065" s="32" t="str">
        <x:v>kPa</x:v>
      </x:c>
    </x:row>
    <x:row r="1066">
      <x:c r="A1066" s="72" t="n">
        <x:v>46240.94505787037</x:v>
      </x:c>
      <x:c r="B1066" s="32" t="str">
        <x:v>土壤张力</x:v>
      </x:c>
      <x:c r="C1066" s="32" t="str">
        <x:v>W2</x:v>
      </x:c>
      <x:c r="D1066" s="32" t="str">
        <x:v>V1</x:v>
      </x:c>
      <x:c r="E1066" s="86" t="n">
        <x:f>COUNT('30_W2_张力'!B46,'30_W2_张力'!D46,'30_W2_张力'!F46,'30_W2_张力'!H46)</x:f>
        <x:v>4</x:v>
      </x:c>
      <x:c r="F1066" s="90" t="n">
        <x:f>IF(E1066=0,"",AVERAGE('30_W2_张力'!B46,'30_W2_张力'!D46,'30_W2_张力'!F46,'30_W2_张力'!H46))</x:f>
        <x:v>-35.4</x:v>
      </x:c>
      <x:c r="G1066" s="90" t="n">
        <x:f>IF(E1066&lt;2,"",STDEV.S('30_W2_张力'!B46,'30_W2_张力'!D46,'30_W2_张力'!F46,'30_W2_张力'!H46))</x:f>
        <x:v>2.5311394008759507</x:v>
      </x:c>
      <x:c r="H1066" s="90" t="n">
        <x:f>IF(E1066=0,"",MIN('30_W2_张力'!B46,'30_W2_张力'!D46,'30_W2_张力'!F46,'30_W2_张力'!H46))</x:f>
        <x:v>-38.9</x:v>
      </x:c>
      <x:c r="I1066" s="90" t="n">
        <x:f>IF(E1066=0,"",MAX('30_W2_张力'!B46,'30_W2_张力'!D46,'30_W2_张力'!F46,'30_W2_张力'!H46))</x:f>
        <x:v>-33</x:v>
      </x:c>
      <x:c r="J1066" s="32" t="str">
        <x:v>kPa</x:v>
      </x:c>
    </x:row>
    <x:row r="1067">
      <x:c r="A1067" s="72" t="n">
        <x:v>46240.94505787037</x:v>
      </x:c>
      <x:c r="B1067" s="32" t="str">
        <x:v>土壤张力</x:v>
      </x:c>
      <x:c r="C1067" s="32" t="str">
        <x:v>W2</x:v>
      </x:c>
      <x:c r="D1067" s="32" t="str">
        <x:v>V2</x:v>
      </x:c>
      <x:c r="E1067" s="86" t="n">
        <x:f>COUNT('30_W2_张力'!C46,'30_W2_张力'!E46,'30_W2_张力'!G46,'30_W2_张力'!I46)</x:f>
        <x:v>4</x:v>
      </x:c>
      <x:c r="F1067" s="90" t="n">
        <x:f>IF(E1067=0,"",AVERAGE('30_W2_张力'!C46,'30_W2_张力'!E46,'30_W2_张力'!G46,'30_W2_张力'!I46))</x:f>
        <x:v>-36.425</x:v>
      </x:c>
      <x:c r="G1067" s="90" t="n">
        <x:f>IF(E1067&lt;2,"",STDEV.S('30_W2_张力'!C46,'30_W2_张力'!E46,'30_W2_张力'!G46,'30_W2_张力'!I46))</x:f>
        <x:v>2.678774595469603</x:v>
      </x:c>
      <x:c r="H1067" s="90" t="n">
        <x:f>IF(E1067=0,"",MIN('30_W2_张力'!C46,'30_W2_张力'!E46,'30_W2_张力'!G46,'30_W2_张力'!I46))</x:f>
        <x:v>-40</x:v>
      </x:c>
      <x:c r="I1067" s="90" t="n">
        <x:f>IF(E1067=0,"",MAX('30_W2_张力'!C46,'30_W2_张力'!E46,'30_W2_张力'!G46,'30_W2_张力'!I46))</x:f>
        <x:v>-34</x:v>
      </x:c>
      <x:c r="J1067" s="32" t="str">
        <x:v>kPa</x:v>
      </x:c>
    </x:row>
    <x:row r="1068">
      <x:c r="A1068" s="72" t="n">
        <x:v>46240.948530092595</x:v>
      </x:c>
      <x:c r="B1068" s="32" t="str">
        <x:v>土壤张力</x:v>
      </x:c>
      <x:c r="C1068" s="32" t="str">
        <x:v>W2</x:v>
      </x:c>
      <x:c r="D1068" s="32" t="str">
        <x:v>V1</x:v>
      </x:c>
      <x:c r="E1068" s="86" t="n">
        <x:f>COUNT('30_W2_张力'!B47,'30_W2_张力'!D47,'30_W2_张力'!F47,'30_W2_张力'!H47)</x:f>
        <x:v>4</x:v>
      </x:c>
      <x:c r="F1068" s="90" t="n">
        <x:f>IF(E1068=0,"",AVERAGE('30_W2_张力'!B47,'30_W2_张力'!D47,'30_W2_张力'!F47,'30_W2_张力'!H47))</x:f>
        <x:v>-35.4</x:v>
      </x:c>
      <x:c r="G1068" s="90" t="n">
        <x:f>IF(E1068&lt;2,"",STDEV.S('30_W2_张力'!B47,'30_W2_张力'!D47,'30_W2_张力'!F47,'30_W2_张力'!H47))</x:f>
        <x:v>2.280350850198276</x:v>
      </x:c>
      <x:c r="H1068" s="90" t="n">
        <x:f>IF(E1068=0,"",MIN('30_W2_张力'!B47,'30_W2_张力'!D47,'30_W2_张力'!F47,'30_W2_张力'!H47))</x:f>
        <x:v>-38.6</x:v>
      </x:c>
      <x:c r="I1068" s="90" t="n">
        <x:f>IF(E1068=0,"",MAX('30_W2_张力'!B47,'30_W2_张力'!D47,'30_W2_张力'!F47,'30_W2_张力'!H47))</x:f>
        <x:v>-33.2</x:v>
      </x:c>
      <x:c r="J1068" s="32" t="str">
        <x:v>kPa</x:v>
      </x:c>
    </x:row>
    <x:row r="1069">
      <x:c r="A1069" s="72" t="n">
        <x:v>46240.948530092595</x:v>
      </x:c>
      <x:c r="B1069" s="32" t="str">
        <x:v>土壤张力</x:v>
      </x:c>
      <x:c r="C1069" s="32" t="str">
        <x:v>W2</x:v>
      </x:c>
      <x:c r="D1069" s="32" t="str">
        <x:v>V2</x:v>
      </x:c>
      <x:c r="E1069" s="86" t="n">
        <x:f>COUNT('30_W2_张力'!C47,'30_W2_张力'!E47,'30_W2_张力'!G47,'30_W2_张力'!I47)</x:f>
        <x:v>4</x:v>
      </x:c>
      <x:c r="F1069" s="90" t="n">
        <x:f>IF(E1069=0,"",AVERAGE('30_W2_张力'!C47,'30_W2_张力'!E47,'30_W2_张力'!G47,'30_W2_张力'!I47))</x:f>
        <x:v>-36.4</x:v>
      </x:c>
      <x:c r="G1069" s="90" t="n">
        <x:f>IF(E1069&lt;2,"",STDEV.S('30_W2_张力'!C47,'30_W2_张力'!E47,'30_W2_张力'!G47,'30_W2_张力'!I47))</x:f>
        <x:v>2.5311394008759507</x:v>
      </x:c>
      <x:c r="H1069" s="90" t="n">
        <x:f>IF(E1069=0,"",MIN('30_W2_张力'!C47,'30_W2_张力'!E47,'30_W2_张力'!G47,'30_W2_张力'!I47))</x:f>
        <x:v>-39.9</x:v>
      </x:c>
      <x:c r="I1069" s="90" t="n">
        <x:f>IF(E1069=0,"",MAX('30_W2_张力'!C47,'30_W2_张力'!E47,'30_W2_张力'!G47,'30_W2_张力'!I47))</x:f>
        <x:v>-34</x:v>
      </x:c>
      <x:c r="J1069" s="32" t="str">
        <x:v>kPa</x:v>
      </x:c>
    </x:row>
    <x:row r="1070">
      <x:c r="A1070" s="72" t="n">
        <x:v>46240.952002314814</x:v>
      </x:c>
      <x:c r="B1070" s="32" t="str">
        <x:v>土壤张力</x:v>
      </x:c>
      <x:c r="C1070" s="32" t="str">
        <x:v>W2</x:v>
      </x:c>
      <x:c r="D1070" s="32" t="str">
        <x:v>V1</x:v>
      </x:c>
      <x:c r="E1070" s="86" t="n">
        <x:f>COUNT('30_W2_张力'!B48,'30_W2_张力'!D48,'30_W2_张力'!F48,'30_W2_张力'!H48)</x:f>
        <x:v>4</x:v>
      </x:c>
      <x:c r="F1070" s="90" t="n">
        <x:f>IF(E1070=0,"",AVERAGE('30_W2_张力'!B48,'30_W2_张力'!D48,'30_W2_张力'!F48,'30_W2_张力'!H48))</x:f>
        <x:v>-35.400000000000006</x:v>
      </x:c>
      <x:c r="G1070" s="90" t="n">
        <x:f>IF(E1070&lt;2,"",STDEV.S('30_W2_张力'!B48,'30_W2_张力'!D48,'30_W2_张力'!F48,'30_W2_张力'!H48))</x:f>
        <x:v>2.0575065816014604</x:v>
      </x:c>
      <x:c r="H1070" s="90" t="n">
        <x:f>IF(E1070=0,"",MIN('30_W2_张力'!B48,'30_W2_张力'!D48,'30_W2_张力'!F48,'30_W2_张力'!H48))</x:f>
        <x:v>-38.3</x:v>
      </x:c>
      <x:c r="I1070" s="90" t="n">
        <x:f>IF(E1070=0,"",MAX('30_W2_张力'!B48,'30_W2_张力'!D48,'30_W2_张力'!F48,'30_W2_张力'!H48))</x:f>
        <x:v>-33.5</x:v>
      </x:c>
      <x:c r="J1070" s="32" t="str">
        <x:v>kPa</x:v>
      </x:c>
    </x:row>
    <x:row r="1071">
      <x:c r="A1071" s="72" t="n">
        <x:v>46240.952002314814</x:v>
      </x:c>
      <x:c r="B1071" s="32" t="str">
        <x:v>土壤张力</x:v>
      </x:c>
      <x:c r="C1071" s="32" t="str">
        <x:v>W2</x:v>
      </x:c>
      <x:c r="D1071" s="32" t="str">
        <x:v>V2</x:v>
      </x:c>
      <x:c r="E1071" s="86" t="n">
        <x:f>COUNT('30_W2_张力'!C48,'30_W2_张力'!E48,'30_W2_张力'!G48,'30_W2_张力'!I48)</x:f>
        <x:v>4</x:v>
      </x:c>
      <x:c r="F1071" s="90" t="n">
        <x:f>IF(E1071=0,"",AVERAGE('30_W2_张力'!C48,'30_W2_张力'!E48,'30_W2_张力'!G48,'30_W2_张力'!I48))</x:f>
        <x:v>-36.4</x:v>
      </x:c>
      <x:c r="G1071" s="90" t="n">
        <x:f>IF(E1071&lt;2,"",STDEV.S('30_W2_张力'!C48,'30_W2_张力'!E48,'30_W2_张力'!G48,'30_W2_张力'!I48))</x:f>
        <x:v>2.280350850198276</x:v>
      </x:c>
      <x:c r="H1071" s="90" t="n">
        <x:f>IF(E1071=0,"",MIN('30_W2_张力'!C48,'30_W2_张力'!E48,'30_W2_张力'!G48,'30_W2_张力'!I48))</x:f>
        <x:v>-39.6</x:v>
      </x:c>
      <x:c r="I1071" s="90" t="n">
        <x:f>IF(E1071=0,"",MAX('30_W2_张力'!C48,'30_W2_张力'!E48,'30_W2_张力'!G48,'30_W2_张力'!I48))</x:f>
        <x:v>-34.2</x:v>
      </x:c>
      <x:c r="J1071" s="32" t="str">
        <x:v>kPa</x:v>
      </x:c>
    </x:row>
    <x:row r="1072">
      <x:c r="A1072" s="72" t="n">
        <x:v>46240.95547453704</x:v>
      </x:c>
      <x:c r="B1072" s="32" t="str">
        <x:v>土壤张力</x:v>
      </x:c>
      <x:c r="C1072" s="32" t="str">
        <x:v>W2</x:v>
      </x:c>
      <x:c r="D1072" s="32" t="str">
        <x:v>V1</x:v>
      </x:c>
      <x:c r="E1072" s="86" t="n">
        <x:f>COUNT('30_W2_张力'!B49,'30_W2_张力'!D49,'30_W2_张力'!F49,'30_W2_张力'!H49)</x:f>
        <x:v>4</x:v>
      </x:c>
      <x:c r="F1072" s="90" t="n">
        <x:f>IF(E1072=0,"",AVERAGE('30_W2_张力'!B49,'30_W2_张力'!D49,'30_W2_张力'!F49,'30_W2_张力'!H49))</x:f>
        <x:v>-35.425</x:v>
      </x:c>
      <x:c r="G1072" s="90" t="n">
        <x:f>IF(E1072&lt;2,"",STDEV.S('30_W2_张力'!B49,'30_W2_张力'!D49,'30_W2_张力'!F49,'30_W2_张力'!H49))</x:f>
        <x:v>1.8025444978326244</x:v>
      </x:c>
      <x:c r="H1072" s="90" t="n">
        <x:f>IF(E1072=0,"",MIN('30_W2_张力'!B49,'30_W2_张力'!D49,'30_W2_张力'!F49,'30_W2_张力'!H49))</x:f>
        <x:v>-37.9</x:v>
      </x:c>
      <x:c r="I1072" s="90" t="n">
        <x:f>IF(E1072=0,"",MAX('30_W2_张力'!B49,'30_W2_张力'!D49,'30_W2_张力'!F49,'30_W2_张力'!H49))</x:f>
        <x:v>-33.9</x:v>
      </x:c>
      <x:c r="J1072" s="32" t="str">
        <x:v>kPa</x:v>
      </x:c>
    </x:row>
    <x:row r="1073">
      <x:c r="A1073" s="72" t="n">
        <x:v>46240.95547453704</x:v>
      </x:c>
      <x:c r="B1073" s="32" t="str">
        <x:v>土壤张力</x:v>
      </x:c>
      <x:c r="C1073" s="32" t="str">
        <x:v>W2</x:v>
      </x:c>
      <x:c r="D1073" s="32" t="str">
        <x:v>V2</x:v>
      </x:c>
      <x:c r="E1073" s="86" t="n">
        <x:f>COUNT('30_W2_张力'!C49,'30_W2_张力'!E49,'30_W2_张力'!G49,'30_W2_张力'!I49)</x:f>
        <x:v>4</x:v>
      </x:c>
      <x:c r="F1073" s="90" t="n">
        <x:f>IF(E1073=0,"",AVERAGE('30_W2_张力'!C49,'30_W2_张力'!E49,'30_W2_张力'!G49,'30_W2_张力'!I49))</x:f>
        <x:v>-36.400000000000006</x:v>
      </x:c>
      <x:c r="G1073" s="90" t="n">
        <x:f>IF(E1073&lt;2,"",STDEV.S('30_W2_张力'!C49,'30_W2_张力'!E49,'30_W2_张力'!G49,'30_W2_张力'!I49))</x:f>
        <x:v>2.0575065816014604</x:v>
      </x:c>
      <x:c r="H1073" s="90" t="n">
        <x:f>IF(E1073=0,"",MIN('30_W2_张力'!C49,'30_W2_张力'!E49,'30_W2_张力'!G49,'30_W2_张力'!I49))</x:f>
        <x:v>-39.3</x:v>
      </x:c>
      <x:c r="I1073" s="90" t="n">
        <x:f>IF(E1073=0,"",MAX('30_W2_张力'!C49,'30_W2_张力'!E49,'30_W2_张力'!G49,'30_W2_张力'!I49))</x:f>
        <x:v>-34.5</x:v>
      </x:c>
      <x:c r="J1073" s="32" t="str">
        <x:v>kPa</x:v>
      </x:c>
    </x:row>
    <x:row r="1074">
      <x:c r="A1074" s="72" t="n">
        <x:v>46240.95894675926</x:v>
      </x:c>
      <x:c r="B1074" s="32" t="str">
        <x:v>土壤张力</x:v>
      </x:c>
      <x:c r="C1074" s="32" t="str">
        <x:v>W2</x:v>
      </x:c>
      <x:c r="D1074" s="32" t="str">
        <x:v>V1</x:v>
      </x:c>
      <x:c r="E1074" s="86" t="n">
        <x:f>COUNT('30_W2_张力'!B50,'30_W2_张力'!D50,'30_W2_张力'!F50,'30_W2_张力'!H50)</x:f>
        <x:v>4</x:v>
      </x:c>
      <x:c r="F1074" s="90" t="n">
        <x:f>IF(E1074=0,"",AVERAGE('30_W2_张力'!B50,'30_W2_张力'!D50,'30_W2_张力'!F50,'30_W2_张力'!H50))</x:f>
        <x:v>-35.4</x:v>
      </x:c>
      <x:c r="G1074" s="90" t="n">
        <x:f>IF(E1074&lt;2,"",STDEV.S('30_W2_张力'!B50,'30_W2_张力'!D50,'30_W2_张力'!F50,'30_W2_张力'!H50))</x:f>
        <x:v>1.5340577998671794</x:v>
      </x:c>
      <x:c r="H1074" s="90" t="n">
        <x:f>IF(E1074=0,"",MIN('30_W2_张力'!B50,'30_W2_张力'!D50,'30_W2_张力'!F50,'30_W2_张力'!H50))</x:f>
        <x:v>-37.4</x:v>
      </x:c>
      <x:c r="I1074" s="90" t="n">
        <x:f>IF(E1074=0,"",MAX('30_W2_张力'!B50,'30_W2_张力'!D50,'30_W2_张力'!F50,'30_W2_张力'!H50))</x:f>
        <x:v>-34.1</x:v>
      </x:c>
      <x:c r="J1074" s="32" t="str">
        <x:v>kPa</x:v>
      </x:c>
    </x:row>
    <x:row r="1075">
      <x:c r="A1075" s="72" t="n">
        <x:v>46240.95894675926</x:v>
      </x:c>
      <x:c r="B1075" s="32" t="str">
        <x:v>土壤张力</x:v>
      </x:c>
      <x:c r="C1075" s="32" t="str">
        <x:v>W2</x:v>
      </x:c>
      <x:c r="D1075" s="32" t="str">
        <x:v>V2</x:v>
      </x:c>
      <x:c r="E1075" s="86" t="n">
        <x:f>COUNT('30_W2_张力'!C50,'30_W2_张力'!E50,'30_W2_张力'!G50,'30_W2_张力'!I50)</x:f>
        <x:v>4</x:v>
      </x:c>
      <x:c r="F1075" s="90" t="n">
        <x:f>IF(E1075=0,"",AVERAGE('30_W2_张力'!C50,'30_W2_张力'!E50,'30_W2_张力'!G50,'30_W2_张力'!I50))</x:f>
        <x:v>-36.425</x:v>
      </x:c>
      <x:c r="G1075" s="90" t="n">
        <x:f>IF(E1075&lt;2,"",STDEV.S('30_W2_张力'!C50,'30_W2_张力'!E50,'30_W2_张力'!G50,'30_W2_张力'!I50))</x:f>
        <x:v>1.8025444978326244</x:v>
      </x:c>
      <x:c r="H1075" s="90" t="n">
        <x:f>IF(E1075=0,"",MIN('30_W2_张力'!C50,'30_W2_张力'!E50,'30_W2_张力'!G50,'30_W2_张力'!I50))</x:f>
        <x:v>-38.9</x:v>
      </x:c>
      <x:c r="I1075" s="90" t="n">
        <x:f>IF(E1075=0,"",MAX('30_W2_张力'!C50,'30_W2_张力'!E50,'30_W2_张力'!G50,'30_W2_张力'!I50))</x:f>
        <x:v>-34.9</x:v>
      </x:c>
      <x:c r="J1075" s="32" t="str">
        <x:v>kPa</x:v>
      </x:c>
    </x:row>
    <x:row r="1076">
      <x:c r="A1076" s="72" t="n">
        <x:v>46240.96241898148</x:v>
      </x:c>
      <x:c r="B1076" s="32" t="str">
        <x:v>土壤张力</x:v>
      </x:c>
      <x:c r="C1076" s="32" t="str">
        <x:v>W2</x:v>
      </x:c>
      <x:c r="D1076" s="32" t="str">
        <x:v>V1</x:v>
      </x:c>
      <x:c r="E1076" s="86" t="n">
        <x:f>COUNT('30_W2_张力'!B51,'30_W2_张力'!D51,'30_W2_张力'!F51,'30_W2_张力'!H51)</x:f>
        <x:v>4</x:v>
      </x:c>
      <x:c r="F1076" s="90" t="n">
        <x:f>IF(E1076=0,"",AVERAGE('30_W2_张力'!B51,'30_W2_张力'!D51,'30_W2_张力'!F51,'30_W2_张力'!H51))</x:f>
        <x:v>-35.425</x:v>
      </x:c>
      <x:c r="G1076" s="90" t="n">
        <x:f>IF(E1076&lt;2,"",STDEV.S('30_W2_张力'!B51,'30_W2_张力'!D51,'30_W2_张力'!F51,'30_W2_张力'!H51))</x:f>
        <x:v>1.2816005617976294</x:v>
      </x:c>
      <x:c r="H1076" s="90" t="n">
        <x:f>IF(E1076=0,"",MIN('30_W2_张力'!B51,'30_W2_张力'!D51,'30_W2_张力'!F51,'30_W2_张力'!H51))</x:f>
        <x:v>-36.9</x:v>
      </x:c>
      <x:c r="I1076" s="90" t="n">
        <x:f>IF(E1076=0,"",MAX('30_W2_张力'!B51,'30_W2_张力'!D51,'30_W2_张力'!F51,'30_W2_张力'!H51))</x:f>
        <x:v>-34</x:v>
      </x:c>
      <x:c r="J1076" s="32" t="str">
        <x:v>kPa</x:v>
      </x:c>
    </x:row>
    <x:row r="1077">
      <x:c r="A1077" s="72" t="n">
        <x:v>46240.96241898148</x:v>
      </x:c>
      <x:c r="B1077" s="32" t="str">
        <x:v>土壤张力</x:v>
      </x:c>
      <x:c r="C1077" s="32" t="str">
        <x:v>W2</x:v>
      </x:c>
      <x:c r="D1077" s="32" t="str">
        <x:v>V2</x:v>
      </x:c>
      <x:c r="E1077" s="86" t="n">
        <x:f>COUNT('30_W2_张力'!C51,'30_W2_张力'!E51,'30_W2_张力'!G51,'30_W2_张力'!I51)</x:f>
        <x:v>4</x:v>
      </x:c>
      <x:c r="F1077" s="90" t="n">
        <x:f>IF(E1077=0,"",AVERAGE('30_W2_张力'!C51,'30_W2_张力'!E51,'30_W2_张力'!G51,'30_W2_张力'!I51))</x:f>
        <x:v>-36.4</x:v>
      </x:c>
      <x:c r="G1077" s="90" t="n">
        <x:f>IF(E1077&lt;2,"",STDEV.S('30_W2_张力'!C51,'30_W2_张力'!E51,'30_W2_张力'!G51,'30_W2_张力'!I51))</x:f>
        <x:v>1.5340577998671794</x:v>
      </x:c>
      <x:c r="H1077" s="90" t="n">
        <x:f>IF(E1077=0,"",MIN('30_W2_张力'!C51,'30_W2_张力'!E51,'30_W2_张力'!G51,'30_W2_张力'!I51))</x:f>
        <x:v>-38.4</x:v>
      </x:c>
      <x:c r="I1077" s="90" t="n">
        <x:f>IF(E1077=0,"",MAX('30_W2_张力'!C51,'30_W2_张力'!E51,'30_W2_张力'!G51,'30_W2_张力'!I51))</x:f>
        <x:v>-35.1</x:v>
      </x:c>
      <x:c r="J1077" s="32" t="str">
        <x:v>kPa</x:v>
      </x:c>
    </x:row>
    <x:row r="1078">
      <x:c r="A1078" s="72" t="n">
        <x:v>46240.965891203705</x:v>
      </x:c>
      <x:c r="B1078" s="32" t="str">
        <x:v>土壤张力</x:v>
      </x:c>
      <x:c r="C1078" s="32" t="str">
        <x:v>W2</x:v>
      </x:c>
      <x:c r="D1078" s="32" t="str">
        <x:v>V1</x:v>
      </x:c>
      <x:c r="E1078" s="86" t="n">
        <x:f>COUNT('30_W2_张力'!B52,'30_W2_张力'!D52,'30_W2_张力'!F52,'30_W2_张力'!H52)</x:f>
        <x:v>4</x:v>
      </x:c>
      <x:c r="F1078" s="90" t="n">
        <x:f>IF(E1078=0,"",AVERAGE('30_W2_张力'!B52,'30_W2_张力'!D52,'30_W2_张力'!F52,'30_W2_张力'!H52))</x:f>
        <x:v>-35.425</x:v>
      </x:c>
      <x:c r="G1078" s="90" t="n">
        <x:f>IF(E1078&lt;2,"",STDEV.S('30_W2_张力'!B52,'30_W2_张力'!D52,'30_W2_张力'!F52,'30_W2_张力'!H52))</x:f>
        <x:v>1.0531698185319716</x:v>
      </x:c>
      <x:c r="H1078" s="90" t="n">
        <x:f>IF(E1078=0,"",MIN('30_W2_张力'!B52,'30_W2_张力'!D52,'30_W2_张力'!F52,'30_W2_张力'!H52))</x:f>
        <x:v>-36.4</x:v>
      </x:c>
      <x:c r="I1078" s="90" t="n">
        <x:f>IF(E1078=0,"",MAX('30_W2_张力'!B52,'30_W2_张力'!D52,'30_W2_张力'!F52,'30_W2_张力'!H52))</x:f>
        <x:v>-34</x:v>
      </x:c>
      <x:c r="J1078" s="32" t="str">
        <x:v>kPa</x:v>
      </x:c>
    </x:row>
    <x:row r="1079">
      <x:c r="A1079" s="72" t="n">
        <x:v>46240.965891203705</x:v>
      </x:c>
      <x:c r="B1079" s="32" t="str">
        <x:v>土壤张力</x:v>
      </x:c>
      <x:c r="C1079" s="32" t="str">
        <x:v>W2</x:v>
      </x:c>
      <x:c r="D1079" s="32" t="str">
        <x:v>V2</x:v>
      </x:c>
      <x:c r="E1079" s="86" t="n">
        <x:f>COUNT('30_W2_张力'!C52,'30_W2_张力'!E52,'30_W2_张力'!G52,'30_W2_张力'!I52)</x:f>
        <x:v>4</x:v>
      </x:c>
      <x:c r="F1079" s="90" t="n">
        <x:f>IF(E1079=0,"",AVERAGE('30_W2_张力'!C52,'30_W2_张力'!E52,'30_W2_张力'!G52,'30_W2_张力'!I52))</x:f>
        <x:v>-36.425</x:v>
      </x:c>
      <x:c r="G1079" s="90" t="n">
        <x:f>IF(E1079&lt;2,"",STDEV.S('30_W2_张力'!C52,'30_W2_张力'!E52,'30_W2_张力'!G52,'30_W2_张力'!I52))</x:f>
        <x:v>1.2816005617976294</x:v>
      </x:c>
      <x:c r="H1079" s="90" t="n">
        <x:f>IF(E1079=0,"",MIN('30_W2_张力'!C52,'30_W2_张力'!E52,'30_W2_张力'!G52,'30_W2_张力'!I52))</x:f>
        <x:v>-37.9</x:v>
      </x:c>
      <x:c r="I1079" s="90" t="n">
        <x:f>IF(E1079=0,"",MAX('30_W2_张力'!C52,'30_W2_张力'!E52,'30_W2_张力'!G52,'30_W2_张力'!I52))</x:f>
        <x:v>-35</x:v>
      </x:c>
      <x:c r="J1079" s="32" t="str">
        <x:v>kPa</x:v>
      </x:c>
    </x:row>
    <x:row r="1080">
      <x:c r="A1080" s="72" t="n">
        <x:v>46240.969363425924</x:v>
      </x:c>
      <x:c r="B1080" s="32" t="str">
        <x:v>土壤张力</x:v>
      </x:c>
      <x:c r="C1080" s="32" t="str">
        <x:v>W2</x:v>
      </x:c>
      <x:c r="D1080" s="32" t="str">
        <x:v>V1</x:v>
      </x:c>
      <x:c r="E1080" s="86" t="n">
        <x:f>COUNT('30_W2_张力'!B53,'30_W2_张力'!D53,'30_W2_张力'!F53,'30_W2_张力'!H53)</x:f>
        <x:v>3</x:v>
      </x:c>
      <x:c r="F1080" s="90" t="n">
        <x:f>IF(E1080=0,"",AVERAGE('30_W2_张力'!B53,'30_W2_张力'!D53,'30_W2_张力'!F53,'30_W2_张力'!H53))</x:f>
        <x:v>-35.36666666666667</x:v>
      </x:c>
      <x:c r="G1080" s="90" t="n">
        <x:f>IF(E1080&lt;2,"",STDEV.S('30_W2_张力'!B53,'30_W2_张力'!D53,'30_W2_张力'!F53,'30_W2_张力'!H53))</x:f>
        <x:v>1.011599393699566</x:v>
      </x:c>
      <x:c r="H1080" s="90" t="n">
        <x:f>IF(E1080=0,"",MIN('30_W2_张力'!B53,'30_W2_张力'!D53,'30_W2_张力'!F53,'30_W2_张力'!H53))</x:f>
        <x:v>-36</x:v>
      </x:c>
      <x:c r="I1080" s="90" t="n">
        <x:f>IF(E1080=0,"",MAX('30_W2_张力'!B53,'30_W2_张力'!D53,'30_W2_张力'!F53,'30_W2_张力'!H53))</x:f>
        <x:v>-34.2</x:v>
      </x:c>
      <x:c r="J1080" s="32" t="str">
        <x:v>kPa</x:v>
      </x:c>
    </x:row>
    <x:row r="1081">
      <x:c r="A1081" s="72" t="n">
        <x:v>46240.969363425924</x:v>
      </x:c>
      <x:c r="B1081" s="32" t="str">
        <x:v>土壤张力</x:v>
      </x:c>
      <x:c r="C1081" s="32" t="str">
        <x:v>W2</x:v>
      </x:c>
      <x:c r="D1081" s="32" t="str">
        <x:v>V2</x:v>
      </x:c>
      <x:c r="E1081" s="86" t="n">
        <x:f>COUNT('30_W2_张力'!C53,'30_W2_张力'!E53,'30_W2_张力'!G53,'30_W2_张力'!I53)</x:f>
        <x:v>4</x:v>
      </x:c>
      <x:c r="F1081" s="90" t="n">
        <x:f>IF(E1081=0,"",AVERAGE('30_W2_张力'!C53,'30_W2_张力'!E53,'30_W2_张力'!G53,'30_W2_张力'!I53))</x:f>
        <x:v>-36.425</x:v>
      </x:c>
      <x:c r="G1081" s="90" t="n">
        <x:f>IF(E1081&lt;2,"",STDEV.S('30_W2_张力'!C53,'30_W2_张力'!E53,'30_W2_张力'!G53,'30_W2_张力'!I53))</x:f>
        <x:v>1.0531698185319716</x:v>
      </x:c>
      <x:c r="H1081" s="90" t="n">
        <x:f>IF(E1081=0,"",MIN('30_W2_张力'!C53,'30_W2_张力'!E53,'30_W2_张力'!G53,'30_W2_张力'!I53))</x:f>
        <x:v>-37.4</x:v>
      </x:c>
      <x:c r="I1081" s="90" t="n">
        <x:f>IF(E1081=0,"",MAX('30_W2_张力'!C53,'30_W2_张力'!E53,'30_W2_张力'!G53,'30_W2_张力'!I53))</x:f>
        <x:v>-35</x:v>
      </x:c>
      <x:c r="J1081" s="32" t="str">
        <x:v>kPa</x:v>
      </x:c>
    </x:row>
    <x:row r="1082">
      <x:c r="A1082" s="72" t="n">
        <x:v>46240.80269675926</x:v>
      </x:c>
      <x:c r="B1082" s="32" t="str">
        <x:v>土壤含水率</x:v>
      </x:c>
      <x:c r="C1082" s="32" t="str">
        <x:v>W2</x:v>
      </x:c>
      <x:c r="D1082" s="32" t="str">
        <x:v>V1</x:v>
      </x:c>
      <x:c r="E1082" s="86" t="n">
        <x:f>COUNT('31_W2_含水率'!B5,'31_W2_含水率'!D5,'31_W2_含水率'!F5,'31_W2_含水率'!H5)</x:f>
        <x:v>4</x:v>
      </x:c>
      <x:c r="F1082" s="90" t="n">
        <x:f>IF(E1082=0,"",AVERAGE('31_W2_含水率'!B5,'31_W2_含水率'!D5,'31_W2_含水率'!F5,'31_W2_含水率'!H5))</x:f>
        <x:v>38.025000000000006</x:v>
      </x:c>
      <x:c r="G1082" s="90" t="n">
        <x:f>IF(E1082&lt;2,"",STDEV.S('31_W2_含水率'!B5,'31_W2_含水率'!D5,'31_W2_含水率'!F5,'31_W2_含水率'!H5))</x:f>
        <x:v>2.7741365022891955</x:v>
      </x:c>
      <x:c r="H1082" s="90" t="n">
        <x:f>IF(E1082=0,"",MIN('31_W2_含水率'!B5,'31_W2_含水率'!D5,'31_W2_含水率'!F5,'31_W2_含水率'!H5))</x:f>
        <x:v>34</x:v>
      </x:c>
      <x:c r="I1082" s="90" t="n">
        <x:f>IF(E1082=0,"",MAX('31_W2_含水率'!B5,'31_W2_含水率'!D5,'31_W2_含水率'!F5,'31_W2_含水率'!H5))</x:f>
        <x:v>40.3</x:v>
      </x:c>
      <x:c r="J1082" s="32" t="str">
        <x:v>%</x:v>
      </x:c>
    </x:row>
    <x:row r="1083">
      <x:c r="A1083" s="72" t="n">
        <x:v>46240.80269675926</x:v>
      </x:c>
      <x:c r="B1083" s="32" t="str">
        <x:v>土壤含水率</x:v>
      </x:c>
      <x:c r="C1083" s="32" t="str">
        <x:v>W2</x:v>
      </x:c>
      <x:c r="D1083" s="32" t="str">
        <x:v>V2</x:v>
      </x:c>
      <x:c r="E1083" s="86" t="n">
        <x:f>COUNT('31_W2_含水率'!C5,'31_W2_含水率'!E5,'31_W2_含水率'!G5,'31_W2_含水率'!I5)</x:f>
        <x:v>4</x:v>
      </x:c>
      <x:c r="F1083" s="90" t="n">
        <x:f>IF(E1083=0,"",AVERAGE('31_W2_含水率'!C5,'31_W2_含水率'!E5,'31_W2_含水率'!G5,'31_W2_含水率'!I5))</x:f>
        <x:v>37</x:v>
      </x:c>
      <x:c r="G1083" s="90" t="n">
        <x:f>IF(E1083&lt;2,"",STDEV.S('31_W2_含水率'!C5,'31_W2_含水率'!E5,'31_W2_含水率'!G5,'31_W2_含水率'!I5))</x:f>
        <x:v>4.181706190858782</x:v>
      </x:c>
      <x:c r="H1083" s="90" t="n">
        <x:f>IF(E1083=0,"",MIN('31_W2_含水率'!C5,'31_W2_含水率'!E5,'31_W2_含水率'!G5,'31_W2_含水率'!I5))</x:f>
        <x:v>32.5</x:v>
      </x:c>
      <x:c r="I1083" s="90" t="n">
        <x:f>IF(E1083=0,"",MAX('31_W2_含水率'!C5,'31_W2_含水率'!E5,'31_W2_含水率'!G5,'31_W2_含水率'!I5))</x:f>
        <x:v>41.6</x:v>
      </x:c>
      <x:c r="J1083" s="32" t="str">
        <x:v>%</x:v>
      </x:c>
    </x:row>
    <x:row r="1084">
      <x:c r="A1084" s="72" t="n">
        <x:v>46240.80616898148</x:v>
      </x:c>
      <x:c r="B1084" s="32" t="str">
        <x:v>土壤含水率</x:v>
      </x:c>
      <x:c r="C1084" s="32" t="str">
        <x:v>W2</x:v>
      </x:c>
      <x:c r="D1084" s="32" t="str">
        <x:v>V1</x:v>
      </x:c>
      <x:c r="E1084" s="86" t="n">
        <x:f>COUNT('31_W2_含水率'!B6,'31_W2_含水率'!D6,'31_W2_含水率'!F6,'31_W2_含水率'!H6)</x:f>
        <x:v>4</x:v>
      </x:c>
      <x:c r="F1084" s="90" t="n">
        <x:f>IF(E1084=0,"",AVERAGE('31_W2_含水率'!B6,'31_W2_含水率'!D6,'31_W2_含水率'!F6,'31_W2_含水率'!H6))</x:f>
        <x:v>38.025</x:v>
      </x:c>
      <x:c r="G1084" s="90" t="n">
        <x:f>IF(E1084&lt;2,"",STDEV.S('31_W2_含水率'!B6,'31_W2_含水率'!D6,'31_W2_含水率'!F6,'31_W2_含水率'!H6))</x:f>
        <x:v>2.4499999999999997</x:v>
      </x:c>
      <x:c r="H1084" s="90" t="n">
        <x:f>IF(E1084=0,"",MIN('31_W2_含水率'!B6,'31_W2_含水率'!D6,'31_W2_含水率'!F6,'31_W2_含水率'!H6))</x:f>
        <x:v>34.4</x:v>
      </x:c>
      <x:c r="I1084" s="90" t="n">
        <x:f>IF(E1084=0,"",MAX('31_W2_含水率'!B6,'31_W2_含水率'!D6,'31_W2_含水率'!F6,'31_W2_含水率'!H6))</x:f>
        <x:v>39.8</x:v>
      </x:c>
      <x:c r="J1084" s="32" t="str">
        <x:v>%</x:v>
      </x:c>
    </x:row>
    <x:row r="1085">
      <x:c r="A1085" s="72" t="n">
        <x:v>46240.80616898148</x:v>
      </x:c>
      <x:c r="B1085" s="32" t="str">
        <x:v>土壤含水率</x:v>
      </x:c>
      <x:c r="C1085" s="32" t="str">
        <x:v>W2</x:v>
      </x:c>
      <x:c r="D1085" s="32" t="str">
        <x:v>V2</x:v>
      </x:c>
      <x:c r="E1085" s="86" t="n">
        <x:f>COUNT('31_W2_含水率'!C6,'31_W2_含水率'!E6,'31_W2_含水率'!G6,'31_W2_含水率'!I6)</x:f>
        <x:v>4</x:v>
      </x:c>
      <x:c r="F1085" s="90" t="n">
        <x:f>IF(E1085=0,"",AVERAGE('31_W2_含水率'!C6,'31_W2_含水率'!E6,'31_W2_含水率'!G6,'31_W2_含水率'!I6))</x:f>
        <x:v>37.025000000000006</x:v>
      </x:c>
      <x:c r="G1085" s="90" t="n">
        <x:f>IF(E1085&lt;2,"",STDEV.S('31_W2_含水率'!C6,'31_W2_含水率'!E6,'31_W2_含水率'!G6,'31_W2_含水率'!I6))</x:f>
        <x:v>4.1748253456482045</x:v>
      </x:c>
      <x:c r="H1085" s="90" t="n">
        <x:f>IF(E1085=0,"",MIN('31_W2_含水率'!C6,'31_W2_含水率'!E6,'31_W2_含水率'!G6,'31_W2_含水率'!I6))</x:f>
        <x:v>32.2</x:v>
      </x:c>
      <x:c r="I1085" s="90" t="n">
        <x:f>IF(E1085=0,"",MAX('31_W2_含水率'!C6,'31_W2_含水率'!E6,'31_W2_含水率'!G6,'31_W2_含水率'!I6))</x:f>
        <x:v>41.3</x:v>
      </x:c>
      <x:c r="J1085" s="32" t="str">
        <x:v>%</x:v>
      </x:c>
    </x:row>
    <x:row r="1086">
      <x:c r="A1086" s="72" t="n">
        <x:v>46240.809641203705</x:v>
      </x:c>
      <x:c r="B1086" s="32" t="str">
        <x:v>土壤含水率</x:v>
      </x:c>
      <x:c r="C1086" s="32" t="str">
        <x:v>W2</x:v>
      </x:c>
      <x:c r="D1086" s="32" t="str">
        <x:v>V1</x:v>
      </x:c>
      <x:c r="E1086" s="86" t="n">
        <x:f>COUNT('31_W2_含水率'!B7,'31_W2_含水率'!D7,'31_W2_含水率'!F7,'31_W2_含水率'!H7)</x:f>
        <x:v>4</x:v>
      </x:c>
      <x:c r="F1086" s="90" t="n">
        <x:f>IF(E1086=0,"",AVERAGE('31_W2_含水率'!B7,'31_W2_含水率'!D7,'31_W2_含水率'!F7,'31_W2_含水率'!H7))</x:f>
        <x:v>38.075</x:v>
      </x:c>
      <x:c r="G1086" s="90" t="n">
        <x:f>IF(E1086&lt;2,"",STDEV.S('31_W2_含水率'!B7,'31_W2_含水率'!D7,'31_W2_含水率'!F7,'31_W2_含水率'!H7))</x:f>
        <x:v>2.1250490190424633</x:v>
      </x:c>
      <x:c r="H1086" s="90" t="n">
        <x:f>IF(E1086=0,"",MIN('31_W2_含水率'!B7,'31_W2_含水率'!D7,'31_W2_含水率'!F7,'31_W2_含水率'!H7))</x:f>
        <x:v>34.9</x:v>
      </x:c>
      <x:c r="I1086" s="90" t="n">
        <x:f>IF(E1086=0,"",MAX('31_W2_含水率'!B7,'31_W2_含水率'!D7,'31_W2_含水率'!F7,'31_W2_含水率'!H7))</x:f>
        <x:v>39.4</x:v>
      </x:c>
      <x:c r="J1086" s="32" t="str">
        <x:v>%</x:v>
      </x:c>
    </x:row>
    <x:row r="1087">
      <x:c r="A1087" s="72" t="n">
        <x:v>46240.809641203705</x:v>
      </x:c>
      <x:c r="B1087" s="32" t="str">
        <x:v>土壤含水率</x:v>
      </x:c>
      <x:c r="C1087" s="32" t="str">
        <x:v>W2</x:v>
      </x:c>
      <x:c r="D1087" s="32" t="str">
        <x:v>V2</x:v>
      </x:c>
      <x:c r="E1087" s="86" t="n">
        <x:f>COUNT('31_W2_含水率'!C7,'31_W2_含水率'!E7,'31_W2_含水率'!G7,'31_W2_含水率'!I7)</x:f>
        <x:v>4</x:v>
      </x:c>
      <x:c r="F1087" s="90" t="n">
        <x:f>IF(E1087=0,"",AVERAGE('31_W2_含水率'!C7,'31_W2_含水率'!E7,'31_W2_含水率'!G7,'31_W2_含水率'!I7))</x:f>
        <x:v>37.025</x:v>
      </x:c>
      <x:c r="G1087" s="90" t="n">
        <x:f>IF(E1087&lt;2,"",STDEV.S('31_W2_含水率'!C7,'31_W2_含水率'!E7,'31_W2_含水率'!G7,'31_W2_含水率'!I7))</x:f>
        <x:v>4.099085263811914</x:v>
      </x:c>
      <x:c r="H1087" s="90" t="n">
        <x:f>IF(E1087=0,"",MIN('31_W2_含水率'!C7,'31_W2_含水率'!E7,'31_W2_含水率'!G7,'31_W2_含水率'!I7))</x:f>
        <x:v>32</x:v>
      </x:c>
      <x:c r="I1087" s="90" t="n">
        <x:f>IF(E1087=0,"",MAX('31_W2_含水率'!C7,'31_W2_含水率'!E7,'31_W2_含水率'!G7,'31_W2_含水率'!I7))</x:f>
        <x:v>40.8</x:v>
      </x:c>
      <x:c r="J1087" s="32" t="str">
        <x:v>%</x:v>
      </x:c>
    </x:row>
    <x:row r="1088">
      <x:c r="A1088" s="72" t="n">
        <x:v>46240.813113425924</x:v>
      </x:c>
      <x:c r="B1088" s="32" t="str">
        <x:v>土壤含水率</x:v>
      </x:c>
      <x:c r="C1088" s="32" t="str">
        <x:v>W2</x:v>
      </x:c>
      <x:c r="D1088" s="32" t="str">
        <x:v>V1</x:v>
      </x:c>
      <x:c r="E1088" s="86" t="n">
        <x:f>COUNT('31_W2_含水率'!B8,'31_W2_含水率'!D8,'31_W2_含水率'!F8,'31_W2_含水率'!H8)</x:f>
        <x:v>4</x:v>
      </x:c>
      <x:c r="F1088" s="90" t="n">
        <x:f>IF(E1088=0,"",AVERAGE('31_W2_含水率'!B8,'31_W2_含水率'!D8,'31_W2_含水率'!F8,'31_W2_含水率'!H8))</x:f>
        <x:v>38.1</x:v>
      </x:c>
      <x:c r="G1088" s="90" t="n">
        <x:f>IF(E1088&lt;2,"",STDEV.S('31_W2_含水率'!B8,'31_W2_含水率'!D8,'31_W2_含水率'!F8,'31_W2_含水率'!H8))</x:f>
        <x:v>1.8018509002319447</x:v>
      </x:c>
      <x:c r="H1088" s="90" t="n">
        <x:f>IF(E1088=0,"",MIN('31_W2_含水率'!B8,'31_W2_含水率'!D8,'31_W2_含水率'!F8,'31_W2_含水率'!H8))</x:f>
        <x:v>35.4</x:v>
      </x:c>
      <x:c r="I1088" s="90" t="n">
        <x:f>IF(E1088=0,"",MAX('31_W2_含水率'!B8,'31_W2_含水率'!D8,'31_W2_含水率'!F8,'31_W2_含水率'!H8))</x:f>
        <x:v>39.1</x:v>
      </x:c>
      <x:c r="J1088" s="32" t="str">
        <x:v>%</x:v>
      </x:c>
    </x:row>
    <x:row r="1089">
      <x:c r="A1089" s="72" t="n">
        <x:v>46240.813113425924</x:v>
      </x:c>
      <x:c r="B1089" s="32" t="str">
        <x:v>土壤含水率</x:v>
      </x:c>
      <x:c r="C1089" s="32" t="str">
        <x:v>W2</x:v>
      </x:c>
      <x:c r="D1089" s="32" t="str">
        <x:v>V2</x:v>
      </x:c>
      <x:c r="E1089" s="86" t="n">
        <x:f>COUNT('31_W2_含水率'!C8,'31_W2_含水率'!E8,'31_W2_含水率'!G8,'31_W2_含水率'!I8)</x:f>
        <x:v>4</x:v>
      </x:c>
      <x:c r="F1089" s="90" t="n">
        <x:f>IF(E1089=0,"",AVERAGE('31_W2_含水率'!C8,'31_W2_含水率'!E8,'31_W2_含水率'!G8,'31_W2_含水率'!I8))</x:f>
        <x:v>37.075</x:v>
      </x:c>
      <x:c r="G1089" s="90" t="n">
        <x:f>IF(E1089&lt;2,"",STDEV.S('31_W2_含水率'!C8,'31_W2_含水率'!E8,'31_W2_含水率'!G8,'31_W2_含水率'!I8))</x:f>
        <x:v>3.947467542615138</x:v>
      </x:c>
      <x:c r="H1089" s="90" t="n">
        <x:f>IF(E1089=0,"",MIN('31_W2_含水率'!C8,'31_W2_含水率'!E8,'31_W2_含水率'!G8,'31_W2_含水率'!I8))</x:f>
        <x:v>32</x:v>
      </x:c>
      <x:c r="I1089" s="90" t="n">
        <x:f>IF(E1089=0,"",MAX('31_W2_含水率'!C8,'31_W2_含水率'!E8,'31_W2_含水率'!G8,'31_W2_含水率'!I8))</x:f>
        <x:v>40.4</x:v>
      </x:c>
      <x:c r="J1089" s="32" t="str">
        <x:v>%</x:v>
      </x:c>
    </x:row>
    <x:row r="1090">
      <x:c r="A1090" s="72" t="n">
        <x:v>46240.81658564815</x:v>
      </x:c>
      <x:c r="B1090" s="32" t="str">
        <x:v>土壤含水率</x:v>
      </x:c>
      <x:c r="C1090" s="32" t="str">
        <x:v>W2</x:v>
      </x:c>
      <x:c r="D1090" s="32" t="str">
        <x:v>V1</x:v>
      </x:c>
      <x:c r="E1090" s="86" t="n">
        <x:f>COUNT('31_W2_含水率'!B9,'31_W2_含水率'!D9,'31_W2_含水率'!F9,'31_W2_含水率'!H9)</x:f>
        <x:v>4</x:v>
      </x:c>
      <x:c r="F1090" s="90" t="n">
        <x:f>IF(E1090=0,"",AVERAGE('31_W2_含水率'!B9,'31_W2_含水率'!D9,'31_W2_含水率'!F9,'31_W2_含水率'!H9))</x:f>
        <x:v>38.125</x:v>
      </x:c>
      <x:c r="G1090" s="90" t="n">
        <x:f>IF(E1090&lt;2,"",STDEV.S('31_W2_含水率'!B9,'31_W2_含水率'!D9,'31_W2_含水率'!F9,'31_W2_含水率'!H9))</x:f>
        <x:v>1.5283433296655997</x:v>
      </x:c>
      <x:c r="H1090" s="90" t="n">
        <x:f>IF(E1090=0,"",MIN('31_W2_含水率'!B9,'31_W2_含水率'!D9,'31_W2_含水率'!F9,'31_W2_含水率'!H9))</x:f>
        <x:v>35.9</x:v>
      </x:c>
      <x:c r="I1090" s="90" t="n">
        <x:f>IF(E1090=0,"",MAX('31_W2_含水率'!B9,'31_W2_含水率'!D9,'31_W2_含水率'!F9,'31_W2_含水率'!H9))</x:f>
        <x:v>39.3</x:v>
      </x:c>
      <x:c r="J1090" s="32" t="str">
        <x:v>%</x:v>
      </x:c>
    </x:row>
    <x:row r="1091">
      <x:c r="A1091" s="72" t="n">
        <x:v>46240.81658564815</x:v>
      </x:c>
      <x:c r="B1091" s="32" t="str">
        <x:v>土壤含水率</x:v>
      </x:c>
      <x:c r="C1091" s="32" t="str">
        <x:v>W2</x:v>
      </x:c>
      <x:c r="D1091" s="32" t="str">
        <x:v>V2</x:v>
      </x:c>
      <x:c r="E1091" s="86" t="n">
        <x:f>COUNT('31_W2_含水率'!C9,'31_W2_含水率'!E9,'31_W2_含水率'!G9,'31_W2_含水率'!I9)</x:f>
        <x:v>4</x:v>
      </x:c>
      <x:c r="F1091" s="90" t="n">
        <x:f>IF(E1091=0,"",AVERAGE('31_W2_含水率'!C9,'31_W2_含水率'!E9,'31_W2_含水率'!G9,'31_W2_含水率'!I9))</x:f>
        <x:v>37.1</x:v>
      </x:c>
      <x:c r="G1091" s="90" t="n">
        <x:f>IF(E1091&lt;2,"",STDEV.S('31_W2_含水率'!C9,'31_W2_含水率'!E9,'31_W2_含水率'!G9,'31_W2_含水率'!I9))</x:f>
        <x:v>3.7300580871259</x:v>
      </x:c>
      <x:c r="H1091" s="90" t="n">
        <x:f>IF(E1091=0,"",MIN('31_W2_含水率'!C9,'31_W2_含水率'!E9,'31_W2_含水率'!G9,'31_W2_含水率'!I9))</x:f>
        <x:v>32.1</x:v>
      </x:c>
      <x:c r="I1091" s="90" t="n">
        <x:f>IF(E1091=0,"",MAX('31_W2_含水率'!C9,'31_W2_含水率'!E9,'31_W2_含水率'!G9,'31_W2_含水率'!I9))</x:f>
        <x:v>40</x:v>
      </x:c>
      <x:c r="J1091" s="32" t="str">
        <x:v>%</x:v>
      </x:c>
    </x:row>
    <x:row r="1092">
      <x:c r="A1092" s="72" t="n">
        <x:v>46240.82005787037</x:v>
      </x:c>
      <x:c r="B1092" s="32" t="str">
        <x:v>土壤含水率</x:v>
      </x:c>
      <x:c r="C1092" s="32" t="str">
        <x:v>W2</x:v>
      </x:c>
      <x:c r="D1092" s="32" t="str">
        <x:v>V1</x:v>
      </x:c>
      <x:c r="E1092" s="86" t="n">
        <x:f>COUNT('31_W2_含水率'!B10,'31_W2_含水率'!D10,'31_W2_含水率'!F10,'31_W2_含水率'!H10)</x:f>
        <x:v>4</x:v>
      </x:c>
      <x:c r="F1092" s="90" t="n">
        <x:f>IF(E1092=0,"",AVERAGE('31_W2_含水率'!B10,'31_W2_含水率'!D10,'31_W2_含水率'!F10,'31_W2_含水率'!H10))</x:f>
        <x:v>38.1</x:v>
      </x:c>
      <x:c r="G1092" s="90" t="n">
        <x:f>IF(E1092&lt;2,"",STDEV.S('31_W2_含水率'!B10,'31_W2_含水率'!D10,'31_W2_含水率'!F10,'31_W2_含水率'!H10))</x:f>
        <x:v>1.388044187577136</x:v>
      </x:c>
      <x:c r="H1092" s="90" t="n">
        <x:f>IF(E1092=0,"",MIN('31_W2_含水率'!B10,'31_W2_含水率'!D10,'31_W2_含水率'!F10,'31_W2_含水率'!H10))</x:f>
        <x:v>36.3</x:v>
      </x:c>
      <x:c r="I1092" s="90" t="n">
        <x:f>IF(E1092=0,"",MAX('31_W2_含水率'!B10,'31_W2_含水率'!D10,'31_W2_含水率'!F10,'31_W2_含水率'!H10))</x:f>
        <x:v>39.6</x:v>
      </x:c>
      <x:c r="J1092" s="32" t="str">
        <x:v>%</x:v>
      </x:c>
    </x:row>
    <x:row r="1093">
      <x:c r="A1093" s="72" t="n">
        <x:v>46240.82005787037</x:v>
      </x:c>
      <x:c r="B1093" s="32" t="str">
        <x:v>土壤含水率</x:v>
      </x:c>
      <x:c r="C1093" s="32" t="str">
        <x:v>W2</x:v>
      </x:c>
      <x:c r="D1093" s="32" t="str">
        <x:v>V2</x:v>
      </x:c>
      <x:c r="E1093" s="86" t="n">
        <x:f>COUNT('31_W2_含水率'!C10,'31_W2_含水率'!E10,'31_W2_含水率'!G10,'31_W2_含水率'!I10)</x:f>
        <x:v>4</x:v>
      </x:c>
      <x:c r="F1093" s="90" t="n">
        <x:f>IF(E1093=0,"",AVERAGE('31_W2_含水率'!C10,'31_W2_含水率'!E10,'31_W2_含水率'!G10,'31_W2_含水率'!I10))</x:f>
        <x:v>37.125</x:v>
      </x:c>
      <x:c r="G1093" s="90" t="n">
        <x:f>IF(E1093&lt;2,"",STDEV.S('31_W2_含水率'!C10,'31_W2_含水率'!E10,'31_W2_含水率'!G10,'31_W2_含水率'!I10))</x:f>
        <x:v>3.474070619124872</x:v>
      </x:c>
      <x:c r="H1093" s="90" t="n">
        <x:f>IF(E1093=0,"",MIN('31_W2_含水率'!C10,'31_W2_含水率'!E10,'31_W2_含水率'!G10,'31_W2_含水率'!I10))</x:f>
        <x:v>32.3</x:v>
      </x:c>
      <x:c r="I1093" s="90" t="n">
        <x:f>IF(E1093=0,"",MAX('31_W2_含水率'!C10,'31_W2_含水率'!E10,'31_W2_含水率'!G10,'31_W2_含水率'!I10))</x:f>
        <x:v>39.9</x:v>
      </x:c>
      <x:c r="J1093" s="32" t="str">
        <x:v>%</x:v>
      </x:c>
    </x:row>
    <x:row r="1094">
      <x:c r="A1094" s="72" t="n">
        <x:v>46240.823530092595</x:v>
      </x:c>
      <x:c r="B1094" s="32" t="str">
        <x:v>土壤含水率</x:v>
      </x:c>
      <x:c r="C1094" s="32" t="str">
        <x:v>W2</x:v>
      </x:c>
      <x:c r="D1094" s="32" t="str">
        <x:v>V1</x:v>
      </x:c>
      <x:c r="E1094" s="86" t="n">
        <x:f>COUNT('31_W2_含水率'!B11,'31_W2_含水率'!D11,'31_W2_含水率'!F11,'31_W2_含水率'!H11)</x:f>
        <x:v>4</x:v>
      </x:c>
      <x:c r="F1094" s="90" t="n">
        <x:f>IF(E1094=0,"",AVERAGE('31_W2_含水率'!B11,'31_W2_含水率'!D11,'31_W2_含水率'!F11,'31_W2_含水率'!H11))</x:f>
        <x:v>38.1</x:v>
      </x:c>
      <x:c r="G1094" s="90" t="n">
        <x:f>IF(E1094&lt;2,"",STDEV.S('31_W2_含水率'!B11,'31_W2_含水率'!D11,'31_W2_含水率'!F11,'31_W2_含水率'!H11))</x:f>
        <x:v>1.4445299120013626</x:v>
      </x:c>
      <x:c r="H1094" s="90" t="n">
        <x:f>IF(E1094=0,"",MIN('31_W2_含水率'!B11,'31_W2_含水率'!D11,'31_W2_含水率'!F11,'31_W2_含水率'!H11))</x:f>
        <x:v>36.6</x:v>
      </x:c>
      <x:c r="I1094" s="90" t="n">
        <x:f>IF(E1094=0,"",MAX('31_W2_含水率'!B11,'31_W2_含水率'!D11,'31_W2_含水率'!F11,'31_W2_含水率'!H11))</x:f>
        <x:v>40</x:v>
      </x:c>
      <x:c r="J1094" s="32" t="str">
        <x:v>%</x:v>
      </x:c>
    </x:row>
    <x:row r="1095">
      <x:c r="A1095" s="72" t="n">
        <x:v>46240.823530092595</x:v>
      </x:c>
      <x:c r="B1095" s="32" t="str">
        <x:v>土壤含水率</x:v>
      </x:c>
      <x:c r="C1095" s="32" t="str">
        <x:v>W2</x:v>
      </x:c>
      <x:c r="D1095" s="32" t="str">
        <x:v>V2</x:v>
      </x:c>
      <x:c r="E1095" s="86" t="n">
        <x:f>COUNT('31_W2_含水率'!C11,'31_W2_含水率'!E11,'31_W2_含水率'!G11,'31_W2_含水率'!I11)</x:f>
        <x:v>4</x:v>
      </x:c>
      <x:c r="F1095" s="90" t="n">
        <x:f>IF(E1095=0,"",AVERAGE('31_W2_含水率'!C11,'31_W2_含水率'!E11,'31_W2_含水率'!G11,'31_W2_含水率'!I11))</x:f>
        <x:v>37.1</x:v>
      </x:c>
      <x:c r="G1095" s="90" t="n">
        <x:f>IF(E1095&lt;2,"",STDEV.S('31_W2_含水率'!C11,'31_W2_含水率'!E11,'31_W2_含水率'!G11,'31_W2_含水率'!I11))</x:f>
        <x:v>3.1506613062445576</x:v>
      </x:c>
      <x:c r="H1095" s="90" t="n">
        <x:f>IF(E1095=0,"",MIN('31_W2_含水率'!C11,'31_W2_含水率'!E11,'31_W2_含水率'!G11,'31_W2_含水率'!I11))</x:f>
        <x:v>32.6</x:v>
      </x:c>
      <x:c r="I1095" s="90" t="n">
        <x:f>IF(E1095=0,"",MAX('31_W2_含水率'!C11,'31_W2_含水率'!E11,'31_W2_含水率'!G11,'31_W2_含水率'!I11))</x:f>
        <x:v>39.6</x:v>
      </x:c>
      <x:c r="J1095" s="32" t="str">
        <x:v>%</x:v>
      </x:c>
    </x:row>
    <x:row r="1096">
      <x:c r="A1096" s="72" t="n">
        <x:v>46240.827002314814</x:v>
      </x:c>
      <x:c r="B1096" s="32" t="str">
        <x:v>土壤含水率</x:v>
      </x:c>
      <x:c r="C1096" s="32" t="str">
        <x:v>W2</x:v>
      </x:c>
      <x:c r="D1096" s="32" t="str">
        <x:v>V1</x:v>
      </x:c>
      <x:c r="E1096" s="86" t="n">
        <x:f>COUNT('31_W2_含水率'!B12,'31_W2_含水率'!D12,'31_W2_含水率'!F12,'31_W2_含水率'!H12)</x:f>
        <x:v>4</x:v>
      </x:c>
      <x:c r="F1096" s="90" t="n">
        <x:f>IF(E1096=0,"",AVERAGE('31_W2_含水率'!B12,'31_W2_含水率'!D12,'31_W2_含水率'!F12,'31_W2_含水率'!H12))</x:f>
        <x:v>38.075</x:v>
      </x:c>
      <x:c r="G1096" s="90" t="n">
        <x:f>IF(E1096&lt;2,"",STDEV.S('31_W2_含水率'!B12,'31_W2_含水率'!D12,'31_W2_含水率'!F12,'31_W2_含水率'!H12))</x:f>
        <x:v>1.5945218719101968</x:v>
      </x:c>
      <x:c r="H1096" s="90" t="n">
        <x:f>IF(E1096=0,"",MIN('31_W2_含水率'!B12,'31_W2_含水率'!D12,'31_W2_含水率'!F12,'31_W2_含水率'!H12))</x:f>
        <x:v>36.9</x:v>
      </x:c>
      <x:c r="I1096" s="90" t="n">
        <x:f>IF(E1096=0,"",MAX('31_W2_含水率'!B12,'31_W2_含水率'!D12,'31_W2_含水率'!F12,'31_W2_含水率'!H12))</x:f>
        <x:v>40.4</x:v>
      </x:c>
      <x:c r="J1096" s="32" t="str">
        <x:v>%</x:v>
      </x:c>
    </x:row>
    <x:row r="1097">
      <x:c r="A1097" s="72" t="n">
        <x:v>46240.827002314814</x:v>
      </x:c>
      <x:c r="B1097" s="32" t="str">
        <x:v>土壤含水率</x:v>
      </x:c>
      <x:c r="C1097" s="32" t="str">
        <x:v>W2</x:v>
      </x:c>
      <x:c r="D1097" s="32" t="str">
        <x:v>V2</x:v>
      </x:c>
      <x:c r="E1097" s="86" t="n">
        <x:f>COUNT('31_W2_含水率'!C12,'31_W2_含水率'!E12,'31_W2_含水率'!G12,'31_W2_含水率'!I12)</x:f>
        <x:v>4</x:v>
      </x:c>
      <x:c r="F1097" s="90" t="n">
        <x:f>IF(E1097=0,"",AVERAGE('31_W2_含水率'!C12,'31_W2_含水率'!E12,'31_W2_含水率'!G12,'31_W2_含水率'!I12))</x:f>
        <x:v>37.1</x:v>
      </x:c>
      <x:c r="G1097" s="90" t="n">
        <x:f>IF(E1097&lt;2,"",STDEV.S('31_W2_含水率'!C12,'31_W2_含水率'!E12,'31_W2_含水率'!G12,'31_W2_含水率'!I12))</x:f>
        <x:v>2.8201654797783284</x:v>
      </x:c>
      <x:c r="H1097" s="90" t="n">
        <x:f>IF(E1097=0,"",MIN('31_W2_含水率'!C12,'31_W2_含水率'!E12,'31_W2_含水率'!G12,'31_W2_含水率'!I12))</x:f>
        <x:v>33</x:v>
      </x:c>
      <x:c r="I1097" s="90" t="n">
        <x:f>IF(E1097=0,"",MAX('31_W2_含水率'!C12,'31_W2_含水率'!E12,'31_W2_含水率'!G12,'31_W2_含水率'!I12))</x:f>
        <x:v>39.3</x:v>
      </x:c>
      <x:c r="J1097" s="32" t="str">
        <x:v>%</x:v>
      </x:c>
    </x:row>
    <x:row r="1098">
      <x:c r="A1098" s="72" t="n">
        <x:v>46240.83047453704</x:v>
      </x:c>
      <x:c r="B1098" s="32" t="str">
        <x:v>土壤含水率</x:v>
      </x:c>
      <x:c r="C1098" s="32" t="str">
        <x:v>W2</x:v>
      </x:c>
      <x:c r="D1098" s="32" t="str">
        <x:v>V1</x:v>
      </x:c>
      <x:c r="E1098" s="86" t="n">
        <x:f>COUNT('31_W2_含水率'!B13,'31_W2_含水率'!D13,'31_W2_含水率'!F13,'31_W2_含水率'!H13)</x:f>
        <x:v>4</x:v>
      </x:c>
      <x:c r="F1098" s="90" t="n">
        <x:f>IF(E1098=0,"",AVERAGE('31_W2_含水率'!B13,'31_W2_含水率'!D13,'31_W2_含水率'!F13,'31_W2_含水率'!H13))</x:f>
        <x:v>38.1</x:v>
      </x:c>
      <x:c r="G1098" s="90" t="n">
        <x:f>IF(E1098&lt;2,"",STDEV.S('31_W2_含水率'!B13,'31_W2_含水率'!D13,'31_W2_含水率'!F13,'31_W2_含水率'!H13))</x:f>
        <x:v>1.8743887892679392</x:v>
      </x:c>
      <x:c r="H1098" s="90" t="n">
        <x:f>IF(E1098=0,"",MIN('31_W2_含水率'!B13,'31_W2_含水率'!D13,'31_W2_含水率'!F13,'31_W2_含水率'!H13))</x:f>
        <x:v>37</x:v>
      </x:c>
      <x:c r="I1098" s="90" t="n">
        <x:f>IF(E1098=0,"",MAX('31_W2_含水率'!B13,'31_W2_含水率'!D13,'31_W2_含水率'!F13,'31_W2_含水率'!H13))</x:f>
        <x:v>40.9</x:v>
      </x:c>
      <x:c r="J1098" s="32" t="str">
        <x:v>%</x:v>
      </x:c>
    </x:row>
    <x:row r="1099">
      <x:c r="A1099" s="72" t="n">
        <x:v>46240.83047453704</x:v>
      </x:c>
      <x:c r="B1099" s="32" t="str">
        <x:v>土壤含水率</x:v>
      </x:c>
      <x:c r="C1099" s="32" t="str">
        <x:v>W2</x:v>
      </x:c>
      <x:c r="D1099" s="32" t="str">
        <x:v>V2</x:v>
      </x:c>
      <x:c r="E1099" s="86" t="n">
        <x:f>COUNT('31_W2_含水率'!C13,'31_W2_含水率'!E13,'31_W2_含水率'!G13,'31_W2_含水率'!I13)</x:f>
        <x:v>4</x:v>
      </x:c>
      <x:c r="F1099" s="90" t="n">
        <x:f>IF(E1099=0,"",AVERAGE('31_W2_含水率'!C13,'31_W2_含水率'!E13,'31_W2_含水率'!G13,'31_W2_含水率'!I13))</x:f>
        <x:v>37.075</x:v>
      </x:c>
      <x:c r="G1099" s="90" t="n">
        <x:f>IF(E1099&lt;2,"",STDEV.S('31_W2_含水率'!C13,'31_W2_含水率'!E13,'31_W2_含水率'!G13,'31_W2_含水率'!I13))</x:f>
        <x:v>2.4784067462787465</x:v>
      </x:c>
      <x:c r="H1099" s="90" t="n">
        <x:f>IF(E1099=0,"",MIN('31_W2_含水率'!C13,'31_W2_含水率'!E13,'31_W2_含水率'!G13,'31_W2_含水率'!I13))</x:f>
        <x:v>33.4</x:v>
      </x:c>
      <x:c r="I1099" s="90" t="n">
        <x:f>IF(E1099=0,"",MAX('31_W2_含水率'!C13,'31_W2_含水率'!E13,'31_W2_含水率'!G13,'31_W2_含水率'!I13))</x:f>
        <x:v>38.8</x:v>
      </x:c>
      <x:c r="J1099" s="32" t="str">
        <x:v>%</x:v>
      </x:c>
    </x:row>
    <x:row r="1100">
      <x:c r="A1100" s="72" t="n">
        <x:v>46240.83394675926</x:v>
      </x:c>
      <x:c r="B1100" s="32" t="str">
        <x:v>土壤含水率</x:v>
      </x:c>
      <x:c r="C1100" s="32" t="str">
        <x:v>W2</x:v>
      </x:c>
      <x:c r="D1100" s="32" t="str">
        <x:v>V1</x:v>
      </x:c>
      <x:c r="E1100" s="86" t="n">
        <x:f>COUNT('31_W2_含水率'!B14,'31_W2_含水率'!D14,'31_W2_含水率'!F14,'31_W2_含水率'!H14)</x:f>
        <x:v>4</x:v>
      </x:c>
      <x:c r="F1100" s="90" t="n">
        <x:f>IF(E1100=0,"",AVERAGE('31_W2_含水率'!B14,'31_W2_含水率'!D14,'31_W2_含水率'!F14,'31_W2_含水率'!H14))</x:f>
        <x:v>38.075</x:v>
      </x:c>
      <x:c r="G1100" s="90" t="n">
        <x:f>IF(E1100&lt;2,"",STDEV.S('31_W2_含水率'!B14,'31_W2_含水率'!D14,'31_W2_含水率'!F14,'31_W2_含水率'!H14))</x:f>
        <x:v>2.217167863138317</x:v>
      </x:c>
      <x:c r="H1100" s="90" t="n">
        <x:f>IF(E1100=0,"",MIN('31_W2_含水率'!B14,'31_W2_含水率'!D14,'31_W2_含水率'!F14,'31_W2_含水率'!H14))</x:f>
        <x:v>36.9</x:v>
      </x:c>
      <x:c r="I1100" s="90" t="n">
        <x:f>IF(E1100=0,"",MAX('31_W2_含水率'!B14,'31_W2_含水率'!D14,'31_W2_含水率'!F14,'31_W2_含水率'!H14))</x:f>
        <x:v>41.4</x:v>
      </x:c>
      <x:c r="J1100" s="32" t="str">
        <x:v>%</x:v>
      </x:c>
    </x:row>
    <x:row r="1101">
      <x:c r="A1101" s="72" t="n">
        <x:v>46240.83394675926</x:v>
      </x:c>
      <x:c r="B1101" s="32" t="str">
        <x:v>土壤含水率</x:v>
      </x:c>
      <x:c r="C1101" s="32" t="str">
        <x:v>W2</x:v>
      </x:c>
      <x:c r="D1101" s="32" t="str">
        <x:v>V2</x:v>
      </x:c>
      <x:c r="E1101" s="86" t="n">
        <x:f>COUNT('31_W2_含水率'!C14,'31_W2_含水率'!E14,'31_W2_含水率'!G14,'31_W2_含水率'!I14)</x:f>
        <x:v>4</x:v>
      </x:c>
      <x:c r="F1101" s="90" t="n">
        <x:f>IF(E1101=0,"",AVERAGE('31_W2_含水率'!C14,'31_W2_含水率'!E14,'31_W2_含水率'!G14,'31_W2_含水率'!I14))</x:f>
        <x:v>37.1</x:v>
      </x:c>
      <x:c r="G1101" s="90" t="n">
        <x:f>IF(E1101&lt;2,"",STDEV.S('31_W2_含水率'!C14,'31_W2_含水率'!E14,'31_W2_含水率'!G14,'31_W2_含水率'!I14))</x:f>
        <x:v>2.1400934559032705</x:v>
      </x:c>
      <x:c r="H1101" s="90" t="n">
        <x:f>IF(E1101=0,"",MIN('31_W2_含水率'!C14,'31_W2_含水率'!E14,'31_W2_含水率'!G14,'31_W2_含水率'!I14))</x:f>
        <x:v>33.9</x:v>
      </x:c>
      <x:c r="I1101" s="90" t="n">
        <x:f>IF(E1101=0,"",MAX('31_W2_含水率'!C14,'31_W2_含水率'!E14,'31_W2_含水率'!G14,'31_W2_含水率'!I14))</x:f>
        <x:v>38.4</x:v>
      </x:c>
      <x:c r="J1101" s="32" t="str">
        <x:v>%</x:v>
      </x:c>
    </x:row>
    <x:row r="1102">
      <x:c r="A1102" s="72" t="n">
        <x:v>46240.83741898148</x:v>
      </x:c>
      <x:c r="B1102" s="32" t="str">
        <x:v>土壤含水率</x:v>
      </x:c>
      <x:c r="C1102" s="32" t="str">
        <x:v>W2</x:v>
      </x:c>
      <x:c r="D1102" s="32" t="str">
        <x:v>V1</x:v>
      </x:c>
      <x:c r="E1102" s="86" t="n">
        <x:f>COUNT('31_W2_含水率'!B15,'31_W2_含水率'!D15,'31_W2_含水率'!F15,'31_W2_含水率'!H15)</x:f>
        <x:v>4</x:v>
      </x:c>
      <x:c r="F1102" s="90" t="n">
        <x:f>IF(E1102=0,"",AVERAGE('31_W2_含水率'!B15,'31_W2_含水率'!D15,'31_W2_含水率'!F15,'31_W2_含水率'!H15))</x:f>
        <x:v>38.075</x:v>
      </x:c>
      <x:c r="G1102" s="90" t="n">
        <x:f>IF(E1102&lt;2,"",STDEV.S('31_W2_含水率'!B15,'31_W2_含水率'!D15,'31_W2_含水率'!F15,'31_W2_含水率'!H15))</x:f>
        <x:v>2.566937215178171</x:v>
      </x:c>
      <x:c r="H1102" s="90" t="n">
        <x:f>IF(E1102=0,"",MIN('31_W2_含水率'!B15,'31_W2_含水率'!D15,'31_W2_含水率'!F15,'31_W2_含水率'!H15))</x:f>
        <x:v>36.4</x:v>
      </x:c>
      <x:c r="I1102" s="90" t="n">
        <x:f>IF(E1102=0,"",MAX('31_W2_含水率'!B15,'31_W2_含水率'!D15,'31_W2_含水率'!F15,'31_W2_含水率'!H15))</x:f>
        <x:v>41.9</x:v>
      </x:c>
      <x:c r="J1102" s="32" t="str">
        <x:v>%</x:v>
      </x:c>
    </x:row>
    <x:row r="1103">
      <x:c r="A1103" s="72" t="n">
        <x:v>46240.83741898148</x:v>
      </x:c>
      <x:c r="B1103" s="32" t="str">
        <x:v>土壤含水率</x:v>
      </x:c>
      <x:c r="C1103" s="32" t="str">
        <x:v>W2</x:v>
      </x:c>
      <x:c r="D1103" s="32" t="str">
        <x:v>V2</x:v>
      </x:c>
      <x:c r="E1103" s="86" t="n">
        <x:f>COUNT('31_W2_含水率'!C15,'31_W2_含水率'!E15,'31_W2_含水率'!G15,'31_W2_含水率'!I15)</x:f>
        <x:v>4</x:v>
      </x:c>
      <x:c r="F1103" s="90" t="n">
        <x:f>IF(E1103=0,"",AVERAGE('31_W2_含水率'!C15,'31_W2_含水率'!E15,'31_W2_含水率'!G15,'31_W2_含水率'!I15))</x:f>
        <x:v>37.075</x:v>
      </x:c>
      <x:c r="G1103" s="90" t="n">
        <x:f>IF(E1103&lt;2,"",STDEV.S('31_W2_含水率'!C15,'31_W2_含水率'!E15,'31_W2_含水率'!G15,'31_W2_含水率'!I15))</x:f>
        <x:v>1.7839562774911277</x:v>
      </x:c>
      <x:c r="H1103" s="90" t="n">
        <x:f>IF(E1103=0,"",MIN('31_W2_含水率'!C15,'31_W2_含水率'!E15,'31_W2_含水率'!G15,'31_W2_含水率'!I15))</x:f>
        <x:v>34.4</x:v>
      </x:c>
      <x:c r="I1103" s="90" t="n">
        <x:f>IF(E1103=0,"",MAX('31_W2_含水率'!C15,'31_W2_含水率'!E15,'31_W2_含水率'!G15,'31_W2_含水率'!I15))</x:f>
        <x:v>38</x:v>
      </x:c>
      <x:c r="J1103" s="32" t="str">
        <x:v>%</x:v>
      </x:c>
    </x:row>
    <x:row r="1104">
      <x:c r="A1104" s="72" t="n">
        <x:v>46240.840891203705</x:v>
      </x:c>
      <x:c r="B1104" s="32" t="str">
        <x:v>土壤含水率</x:v>
      </x:c>
      <x:c r="C1104" s="32" t="str">
        <x:v>W2</x:v>
      </x:c>
      <x:c r="D1104" s="32" t="str">
        <x:v>V1</x:v>
      </x:c>
      <x:c r="E1104" s="86" t="n">
        <x:f>COUNT('31_W2_含水率'!B16,'31_W2_含水率'!D16,'31_W2_含水率'!F16,'31_W2_含水率'!H16)</x:f>
        <x:v>4</x:v>
      </x:c>
      <x:c r="F1104" s="90" t="n">
        <x:f>IF(E1104=0,"",AVERAGE('31_W2_含水率'!B16,'31_W2_含水率'!D16,'31_W2_含水率'!F16,'31_W2_含水率'!H16))</x:f>
        <x:v>38</x:v>
      </x:c>
      <x:c r="G1104" s="90" t="n">
        <x:f>IF(E1104&lt;2,"",STDEV.S('31_W2_含水率'!B16,'31_W2_含水率'!D16,'31_W2_含水率'!F16,'31_W2_含水率'!H16))</x:f>
        <x:v>2.9154759474226486</x:v>
      </x:c>
      <x:c r="H1104" s="90" t="n">
        <x:f>IF(E1104=0,"",MIN('31_W2_含水率'!B16,'31_W2_含水率'!D16,'31_W2_含水率'!F16,'31_W2_含水率'!H16))</x:f>
        <x:v>35.9</x:v>
      </x:c>
      <x:c r="I1104" s="90" t="n">
        <x:f>IF(E1104=0,"",MAX('31_W2_含水率'!B16,'31_W2_含水率'!D16,'31_W2_含水率'!F16,'31_W2_含水率'!H16))</x:f>
        <x:v>42.3</x:v>
      </x:c>
      <x:c r="J1104" s="32" t="str">
        <x:v>%</x:v>
      </x:c>
    </x:row>
    <x:row r="1105">
      <x:c r="A1105" s="72" t="n">
        <x:v>46240.840891203705</x:v>
      </x:c>
      <x:c r="B1105" s="32" t="str">
        <x:v>土壤含水率</x:v>
      </x:c>
      <x:c r="C1105" s="32" t="str">
        <x:v>W2</x:v>
      </x:c>
      <x:c r="D1105" s="32" t="str">
        <x:v>V2</x:v>
      </x:c>
      <x:c r="E1105" s="86" t="n">
        <x:f>COUNT('31_W2_含水率'!C16,'31_W2_含水率'!E16,'31_W2_含水率'!G16,'31_W2_含水率'!I16)</x:f>
        <x:v>4</x:v>
      </x:c>
      <x:c r="F1105" s="90" t="n">
        <x:f>IF(E1105=0,"",AVERAGE('31_W2_含水率'!C16,'31_W2_含水率'!E16,'31_W2_含水率'!G16,'31_W2_含水率'!I16))</x:f>
        <x:v>37.075</x:v>
      </x:c>
      <x:c r="G1105" s="90" t="n">
        <x:f>IF(E1105&lt;2,"",STDEV.S('31_W2_含水率'!C16,'31_W2_含水率'!E16,'31_W2_含水率'!G16,'31_W2_含水率'!I16))</x:f>
        <x:v>1.4795832746644133</x:v>
      </x:c>
      <x:c r="H1105" s="90" t="n">
        <x:f>IF(E1105=0,"",MIN('31_W2_含水率'!C16,'31_W2_含水率'!E16,'31_W2_含水率'!G16,'31_W2_含水率'!I16))</x:f>
        <x:v>34.9</x:v>
      </x:c>
      <x:c r="I1105" s="90" t="n">
        <x:f>IF(E1105=0,"",MAX('31_W2_含水率'!C16,'31_W2_含水率'!E16,'31_W2_含水率'!G16,'31_W2_含水率'!I16))</x:f>
        <x:v>38.1</x:v>
      </x:c>
      <x:c r="J1105" s="32" t="str">
        <x:v>%</x:v>
      </x:c>
    </x:row>
    <x:row r="1106">
      <x:c r="A1106" s="72" t="n">
        <x:v>46240.844363425924</x:v>
      </x:c>
      <x:c r="B1106" s="32" t="str">
        <x:v>土壤含水率</x:v>
      </x:c>
      <x:c r="C1106" s="32" t="str">
        <x:v>W2</x:v>
      </x:c>
      <x:c r="D1106" s="32" t="str">
        <x:v>V1</x:v>
      </x:c>
      <x:c r="E1106" s="86" t="n">
        <x:f>COUNT('31_W2_含水率'!B17,'31_W2_含水率'!D17,'31_W2_含水率'!F17,'31_W2_含水率'!H17)</x:f>
        <x:v>4</x:v>
      </x:c>
      <x:c r="F1106" s="90" t="n">
        <x:f>IF(E1106=0,"",AVERAGE('31_W2_含水率'!B17,'31_W2_含水率'!D17,'31_W2_含水率'!F17,'31_W2_含水率'!H17))</x:f>
        <x:v>37.975</x:v>
      </x:c>
      <x:c r="G1106" s="90" t="n">
        <x:f>IF(E1106&lt;2,"",STDEV.S('31_W2_含水率'!B17,'31_W2_含水率'!D17,'31_W2_含水率'!F17,'31_W2_含水率'!H17))</x:f>
        <x:v>3.191002977121771</x:v>
      </x:c>
      <x:c r="H1106" s="90" t="n">
        <x:f>IF(E1106=0,"",MIN('31_W2_含水率'!B17,'31_W2_含水率'!D17,'31_W2_含水率'!F17,'31_W2_含水率'!H17))</x:f>
        <x:v>35.5</x:v>
      </x:c>
      <x:c r="I1106" s="90" t="n">
        <x:f>IF(E1106=0,"",MAX('31_W2_含水率'!B17,'31_W2_含水率'!D17,'31_W2_含水率'!F17,'31_W2_含水率'!H17))</x:f>
        <x:v>42.6</x:v>
      </x:c>
      <x:c r="J1106" s="32" t="str">
        <x:v>%</x:v>
      </x:c>
    </x:row>
    <x:row r="1107">
      <x:c r="A1107" s="72" t="n">
        <x:v>46240.844363425924</x:v>
      </x:c>
      <x:c r="B1107" s="32" t="str">
        <x:v>土壤含水率</x:v>
      </x:c>
      <x:c r="C1107" s="32" t="str">
        <x:v>W2</x:v>
      </x:c>
      <x:c r="D1107" s="32" t="str">
        <x:v>V2</x:v>
      </x:c>
      <x:c r="E1107" s="86" t="n">
        <x:f>COUNT('31_W2_含水率'!C17,'31_W2_含水率'!E17,'31_W2_含水率'!G17,'31_W2_含水率'!I17)</x:f>
        <x:v>4</x:v>
      </x:c>
      <x:c r="F1107" s="90" t="n">
        <x:f>IF(E1107=0,"",AVERAGE('31_W2_含水率'!C17,'31_W2_含水率'!E17,'31_W2_含水率'!G17,'31_W2_含水率'!I17))</x:f>
        <x:v>37</x:v>
      </x:c>
      <x:c r="G1107" s="90" t="n">
        <x:f>IF(E1107&lt;2,"",STDEV.S('31_W2_含水率'!C17,'31_W2_含水率'!E17,'31_W2_含水率'!G17,'31_W2_含水率'!I17))</x:f>
        <x:v>1.251665557034575</x:v>
      </x:c>
      <x:c r="H1107" s="90" t="n">
        <x:f>IF(E1107=0,"",MIN('31_W2_含水率'!C17,'31_W2_含水率'!E17,'31_W2_含水率'!G17,'31_W2_含水率'!I17))</x:f>
        <x:v>35.3</x:v>
      </x:c>
      <x:c r="I1107" s="90" t="n">
        <x:f>IF(E1107=0,"",MAX('31_W2_含水率'!C17,'31_W2_含水率'!E17,'31_W2_含水率'!G17,'31_W2_含水率'!I17))</x:f>
        <x:v>38.2</x:v>
      </x:c>
      <x:c r="J1107" s="32" t="str">
        <x:v>%</x:v>
      </x:c>
    </x:row>
    <x:row r="1108">
      <x:c r="A1108" s="72" t="n">
        <x:v>46240.84783564815</x:v>
      </x:c>
      <x:c r="B1108" s="32" t="str">
        <x:v>土壤含水率</x:v>
      </x:c>
      <x:c r="C1108" s="32" t="str">
        <x:v>W2</x:v>
      </x:c>
      <x:c r="D1108" s="32" t="str">
        <x:v>V1</x:v>
      </x:c>
      <x:c r="E1108" s="86" t="n">
        <x:f>COUNT('31_W2_含水率'!B18,'31_W2_含水率'!D18,'31_W2_含水率'!F18,'31_W2_含水率'!H18)</x:f>
        <x:v>4</x:v>
      </x:c>
      <x:c r="F1108" s="90" t="n">
        <x:f>IF(E1108=0,"",AVERAGE('31_W2_含水率'!B18,'31_W2_含水率'!D18,'31_W2_含水率'!F18,'31_W2_含水率'!H18))</x:f>
        <x:v>37.949999999999996</x:v>
      </x:c>
      <x:c r="G1108" s="90" t="n">
        <x:f>IF(E1108&lt;2,"",STDEV.S('31_W2_含水率'!B18,'31_W2_含水率'!D18,'31_W2_含水率'!F18,'31_W2_含水率'!H18))</x:f>
        <x:v>3.4971416900091414</x:v>
      </x:c>
      <x:c r="H1108" s="90" t="n">
        <x:f>IF(E1108=0,"",MIN('31_W2_含水率'!B18,'31_W2_含水率'!D18,'31_W2_含水率'!F18,'31_W2_含水率'!H18))</x:f>
        <x:v>35.2</x:v>
      </x:c>
      <x:c r="I1108" s="90" t="n">
        <x:f>IF(E1108=0,"",MAX('31_W2_含水率'!B18,'31_W2_含水率'!D18,'31_W2_含水率'!F18,'31_W2_含水率'!H18))</x:f>
        <x:v>42.9</x:v>
      </x:c>
      <x:c r="J1108" s="32" t="str">
        <x:v>%</x:v>
      </x:c>
    </x:row>
    <x:row r="1109">
      <x:c r="A1109" s="72" t="n">
        <x:v>46240.84783564815</x:v>
      </x:c>
      <x:c r="B1109" s="32" t="str">
        <x:v>土壤含水率</x:v>
      </x:c>
      <x:c r="C1109" s="32" t="str">
        <x:v>W2</x:v>
      </x:c>
      <x:c r="D1109" s="32" t="str">
        <x:v>V2</x:v>
      </x:c>
      <x:c r="E1109" s="86" t="n">
        <x:f>COUNT('31_W2_含水率'!C18,'31_W2_含水率'!E18,'31_W2_含水率'!G18,'31_W2_含水率'!I18)</x:f>
        <x:v>4</x:v>
      </x:c>
      <x:c r="F1109" s="90" t="n">
        <x:f>IF(E1109=0,"",AVERAGE('31_W2_含水率'!C18,'31_W2_含水率'!E18,'31_W2_含水率'!G18,'31_W2_含水率'!I18))</x:f>
        <x:v>36.975</x:v>
      </x:c>
      <x:c r="G1109" s="90" t="n">
        <x:f>IF(E1109&lt;2,"",STDEV.S('31_W2_含水率'!C18,'31_W2_含水率'!E18,'31_W2_含水率'!G18,'31_W2_含水率'!I18))</x:f>
        <x:v>1.2311918344975048</x:v>
      </x:c>
      <x:c r="H1109" s="90" t="n">
        <x:f>IF(E1109=0,"",MIN('31_W2_含水率'!C18,'31_W2_含水率'!E18,'31_W2_含水率'!G18,'31_W2_含水率'!I18))</x:f>
        <x:v>35.6</x:v>
      </x:c>
      <x:c r="I1109" s="90" t="n">
        <x:f>IF(E1109=0,"",MAX('31_W2_含水率'!C18,'31_W2_含水率'!E18,'31_W2_含水率'!G18,'31_W2_含水率'!I18))</x:f>
        <x:v>38.5</x:v>
      </x:c>
      <x:c r="J1109" s="32" t="str">
        <x:v>%</x:v>
      </x:c>
    </x:row>
    <x:row r="1110">
      <x:c r="A1110" s="72" t="n">
        <x:v>46240.85130787037</x:v>
      </x:c>
      <x:c r="B1110" s="32" t="str">
        <x:v>土壤含水率</x:v>
      </x:c>
      <x:c r="C1110" s="32" t="str">
        <x:v>W2</x:v>
      </x:c>
      <x:c r="D1110" s="32" t="str">
        <x:v>V1</x:v>
      </x:c>
      <x:c r="E1110" s="86" t="n">
        <x:f>COUNT('31_W2_含水率'!B19,'31_W2_含水率'!D19,'31_W2_含水率'!F19,'31_W2_含水率'!H19)</x:f>
        <x:v>4</x:v>
      </x:c>
      <x:c r="F1110" s="90" t="n">
        <x:f>IF(E1110=0,"",AVERAGE('31_W2_含水率'!B19,'31_W2_含水率'!D19,'31_W2_含水率'!F19,'31_W2_含水率'!H19))</x:f>
        <x:v>37.975</x:v>
      </x:c>
      <x:c r="G1110" s="90" t="n">
        <x:f>IF(E1110&lt;2,"",STDEV.S('31_W2_含水率'!B19,'31_W2_含水率'!D19,'31_W2_含水率'!F19,'31_W2_含水率'!H19))</x:f>
        <x:v>3.666401505563732</x:v>
      </x:c>
      <x:c r="H1110" s="90" t="n">
        <x:f>IF(E1110=0,"",MIN('31_W2_含水率'!B19,'31_W2_含水率'!D19,'31_W2_含水率'!F19,'31_W2_含水率'!H19))</x:f>
        <x:v>35.1</x:v>
      </x:c>
      <x:c r="I1110" s="90" t="n">
        <x:f>IF(E1110=0,"",MAX('31_W2_含水率'!B19,'31_W2_含水率'!D19,'31_W2_含水率'!F19,'31_W2_含水率'!H19))</x:f>
        <x:v>43</x:v>
      </x:c>
      <x:c r="J1110" s="32" t="str">
        <x:v>%</x:v>
      </x:c>
    </x:row>
    <x:row r="1111">
      <x:c r="A1111" s="72" t="n">
        <x:v>46240.85130787037</x:v>
      </x:c>
      <x:c r="B1111" s="32" t="str">
        <x:v>土壤含水率</x:v>
      </x:c>
      <x:c r="C1111" s="32" t="str">
        <x:v>W2</x:v>
      </x:c>
      <x:c r="D1111" s="32" t="str">
        <x:v>V2</x:v>
      </x:c>
      <x:c r="E1111" s="86" t="n">
        <x:f>COUNT('31_W2_含水率'!C19,'31_W2_含水率'!E19,'31_W2_含水率'!G19,'31_W2_含水率'!I19)</x:f>
        <x:v>4</x:v>
      </x:c>
      <x:c r="F1111" s="90" t="n">
        <x:f>IF(E1111=0,"",AVERAGE('31_W2_含水率'!C19,'31_W2_含水率'!E19,'31_W2_含水率'!G19,'31_W2_含水率'!I19))</x:f>
        <x:v>36.949999999999996</x:v>
      </x:c>
      <x:c r="G1111" s="90" t="n">
        <x:f>IF(E1111&lt;2,"",STDEV.S('31_W2_含水率'!C19,'31_W2_含水率'!E19,'31_W2_含水率'!G19,'31_W2_含水率'!I19))</x:f>
        <x:v>1.3527749258468675</x:v>
      </x:c>
      <x:c r="H1111" s="90" t="n">
        <x:f>IF(E1111=0,"",MIN('31_W2_含水率'!C19,'31_W2_含水率'!E19,'31_W2_含水率'!G19,'31_W2_含水率'!I19))</x:f>
        <x:v>35.9</x:v>
      </x:c>
      <x:c r="I1111" s="90" t="n">
        <x:f>IF(E1111=0,"",MAX('31_W2_含水率'!C19,'31_W2_含水率'!E19,'31_W2_含水率'!G19,'31_W2_含水率'!I19))</x:f>
        <x:v>38.9</x:v>
      </x:c>
      <x:c r="J1111" s="32" t="str">
        <x:v>%</x:v>
      </x:c>
    </x:row>
    <x:row r="1112">
      <x:c r="A1112" s="72" t="n">
        <x:v>46240.854780092595</x:v>
      </x:c>
      <x:c r="B1112" s="32" t="str">
        <x:v>土壤含水率</x:v>
      </x:c>
      <x:c r="C1112" s="32" t="str">
        <x:v>W2</x:v>
      </x:c>
      <x:c r="D1112" s="32" t="str">
        <x:v>V1</x:v>
      </x:c>
      <x:c r="E1112" s="86" t="n">
        <x:f>COUNT('31_W2_含水率'!B20,'31_W2_含水率'!D20,'31_W2_含水率'!F20,'31_W2_含水率'!H20)</x:f>
        <x:v>4</x:v>
      </x:c>
      <x:c r="F1112" s="90" t="n">
        <x:f>IF(E1112=0,"",AVERAGE('31_W2_含水率'!B20,'31_W2_含水率'!D20,'31_W2_含水率'!F20,'31_W2_含水率'!H20))</x:f>
        <x:v>37.925</x:v>
      </x:c>
      <x:c r="G1112" s="90" t="n">
        <x:f>IF(E1112&lt;2,"",STDEV.S('31_W2_含水率'!B20,'31_W2_含水率'!D20,'31_W2_含水率'!F20,'31_W2_含水率'!H20))</x:f>
        <x:v>3.8395963329495983</x:v>
      </x:c>
      <x:c r="H1112" s="90" t="n">
        <x:f>IF(E1112=0,"",MIN('31_W2_含水率'!B20,'31_W2_含水率'!D20,'31_W2_含水率'!F20,'31_W2_含水率'!H20))</x:f>
        <x:v>34.9</x:v>
      </x:c>
      <x:c r="I1112" s="90" t="n">
        <x:f>IF(E1112=0,"",MAX('31_W2_含水率'!B20,'31_W2_含水率'!D20,'31_W2_含水率'!F20,'31_W2_含水率'!H20))</x:f>
        <x:v>43</x:v>
      </x:c>
      <x:c r="J1112" s="32" t="str">
        <x:v>%</x:v>
      </x:c>
    </x:row>
    <x:row r="1113">
      <x:c r="A1113" s="72" t="n">
        <x:v>46240.854780092595</x:v>
      </x:c>
      <x:c r="B1113" s="32" t="str">
        <x:v>土壤含水率</x:v>
      </x:c>
      <x:c r="C1113" s="32" t="str">
        <x:v>W2</x:v>
      </x:c>
      <x:c r="D1113" s="32" t="str">
        <x:v>V2</x:v>
      </x:c>
      <x:c r="E1113" s="86" t="n">
        <x:f>COUNT('31_W2_含水率'!C20,'31_W2_含水率'!E20,'31_W2_含水率'!G20,'31_W2_含水率'!I20)</x:f>
        <x:v>4</x:v>
      </x:c>
      <x:c r="F1113" s="90" t="n">
        <x:f>IF(E1113=0,"",AVERAGE('31_W2_含水率'!C20,'31_W2_含水率'!E20,'31_W2_含水率'!G20,'31_W2_含水率'!I20))</x:f>
        <x:v>36.975</x:v>
      </x:c>
      <x:c r="G1113" s="90" t="n">
        <x:f>IF(E1113&lt;2,"",STDEV.S('31_W2_含水率'!C20,'31_W2_含水率'!E20,'31_W2_含水率'!G20,'31_W2_含水率'!I20))</x:f>
        <x:v>1.625576820700885</x:v>
      </x:c>
      <x:c r="H1113" s="90" t="n">
        <x:f>IF(E1113=0,"",MIN('31_W2_含水率'!C20,'31_W2_含水率'!E20,'31_W2_含水率'!G20,'31_W2_含水率'!I20))</x:f>
        <x:v>36</x:v>
      </x:c>
      <x:c r="I1113" s="90" t="n">
        <x:f>IF(E1113=0,"",MAX('31_W2_含水率'!C20,'31_W2_含水率'!E20,'31_W2_含水率'!G20,'31_W2_含水率'!I20))</x:f>
        <x:v>39.4</x:v>
      </x:c>
      <x:c r="J1113" s="32" t="str">
        <x:v>%</x:v>
      </x:c>
    </x:row>
    <x:row r="1114">
      <x:c r="A1114" s="72" t="n">
        <x:v>46240.858252314814</x:v>
      </x:c>
      <x:c r="B1114" s="32" t="str">
        <x:v>土壤含水率</x:v>
      </x:c>
      <x:c r="C1114" s="32" t="str">
        <x:v>W2</x:v>
      </x:c>
      <x:c r="D1114" s="32" t="str">
        <x:v>V1</x:v>
      </x:c>
      <x:c r="E1114" s="86" t="n">
        <x:f>COUNT('31_W2_含水率'!B21,'31_W2_含水率'!D21,'31_W2_含水率'!F21,'31_W2_含水率'!H21)</x:f>
        <x:v>4</x:v>
      </x:c>
      <x:c r="F1114" s="90" t="n">
        <x:f>IF(E1114=0,"",AVERAGE('31_W2_含水率'!B21,'31_W2_含水率'!D21,'31_W2_含水率'!F21,'31_W2_含水率'!H21))</x:f>
        <x:v>37.925000000000004</x:v>
      </x:c>
      <x:c r="G1114" s="90" t="n">
        <x:f>IF(E1114&lt;2,"",STDEV.S('31_W2_含水率'!B21,'31_W2_含水率'!D21,'31_W2_含水率'!F21,'31_W2_含水率'!H21))</x:f>
        <x:v>3.960113634733225</x:v>
      </x:c>
      <x:c r="H1114" s="90" t="n">
        <x:f>IF(E1114=0,"",MIN('31_W2_含水率'!B21,'31_W2_含水率'!D21,'31_W2_含水率'!F21,'31_W2_含水率'!H21))</x:f>
        <x:v>34.4</x:v>
      </x:c>
      <x:c r="I1114" s="90" t="n">
        <x:f>IF(E1114=0,"",MAX('31_W2_含水率'!B21,'31_W2_含水率'!D21,'31_W2_含水率'!F21,'31_W2_含水率'!H21))</x:f>
        <x:v>42.9</x:v>
      </x:c>
      <x:c r="J1114" s="32" t="str">
        <x:v>%</x:v>
      </x:c>
    </x:row>
    <x:row r="1115">
      <x:c r="A1115" s="72" t="n">
        <x:v>46240.858252314814</x:v>
      </x:c>
      <x:c r="B1115" s="32" t="str">
        <x:v>土壤含水率</x:v>
      </x:c>
      <x:c r="C1115" s="32" t="str">
        <x:v>W2</x:v>
      </x:c>
      <x:c r="D1115" s="32" t="str">
        <x:v>V2</x:v>
      </x:c>
      <x:c r="E1115" s="86" t="n">
        <x:f>COUNT('31_W2_含水率'!C21,'31_W2_含水率'!E21,'31_W2_含水率'!G21,'31_W2_含水率'!I21)</x:f>
        <x:v>4</x:v>
      </x:c>
      <x:c r="F1115" s="90" t="n">
        <x:f>IF(E1115=0,"",AVERAGE('31_W2_含水率'!C21,'31_W2_含水率'!E21,'31_W2_含水率'!G21,'31_W2_含水率'!I21))</x:f>
        <x:v>36.925</x:v>
      </x:c>
      <x:c r="G1115" s="90" t="n">
        <x:f>IF(E1115&lt;2,"",STDEV.S('31_W2_含水率'!C21,'31_W2_含水率'!E21,'31_W2_含水率'!G21,'31_W2_含水率'!I21))</x:f>
        <x:v>1.917246289169268</x:v>
      </x:c>
      <x:c r="H1115" s="90" t="n">
        <x:f>IF(E1115=0,"",MIN('31_W2_含水率'!C21,'31_W2_含水率'!E21,'31_W2_含水率'!G21,'31_W2_含水率'!I21))</x:f>
        <x:v>35.9</x:v>
      </x:c>
      <x:c r="I1115" s="90" t="n">
        <x:f>IF(E1115=0,"",MAX('31_W2_含水率'!C21,'31_W2_含水率'!E21,'31_W2_含水率'!G21,'31_W2_含水率'!I21))</x:f>
        <x:v>39.8</x:v>
      </x:c>
      <x:c r="J1115" s="32" t="str">
        <x:v>%</x:v>
      </x:c>
    </x:row>
    <x:row r="1116">
      <x:c r="A1116" s="72" t="n">
        <x:v>46240.86172453704</x:v>
      </x:c>
      <x:c r="B1116" s="32" t="str">
        <x:v>土壤含水率</x:v>
      </x:c>
      <x:c r="C1116" s="32" t="str">
        <x:v>W2</x:v>
      </x:c>
      <x:c r="D1116" s="32" t="str">
        <x:v>V1</x:v>
      </x:c>
      <x:c r="E1116" s="86" t="n">
        <x:f>COUNT('31_W2_含水率'!B22,'31_W2_含水率'!D22,'31_W2_含水率'!F22,'31_W2_含水率'!H22)</x:f>
        <x:v>4</x:v>
      </x:c>
      <x:c r="F1116" s="90" t="n">
        <x:f>IF(E1116=0,"",AVERAGE('31_W2_含水率'!B22,'31_W2_含水率'!D22,'31_W2_含水率'!F22,'31_W2_含水率'!H22))</x:f>
        <x:v>37.875</x:v>
      </x:c>
      <x:c r="G1116" s="90" t="n">
        <x:f>IF(E1116&lt;2,"",STDEV.S('31_W2_含水率'!B22,'31_W2_含水率'!D22,'31_W2_含水率'!F22,'31_W2_含水率'!H22))</x:f>
        <x:v>4.040936360135689</x:v>
      </x:c>
      <x:c r="H1116" s="90" t="n">
        <x:f>IF(E1116=0,"",MIN('31_W2_含水率'!B22,'31_W2_含水率'!D22,'31_W2_含水率'!F22,'31_W2_含水率'!H22))</x:f>
        <x:v>33.9</x:v>
      </x:c>
      <x:c r="I1116" s="90" t="n">
        <x:f>IF(E1116=0,"",MAX('31_W2_含水率'!B22,'31_W2_含水率'!D22,'31_W2_含水率'!F22,'31_W2_含水率'!H22))</x:f>
        <x:v>42.6</x:v>
      </x:c>
      <x:c r="J1116" s="32" t="str">
        <x:v>%</x:v>
      </x:c>
    </x:row>
    <x:row r="1117">
      <x:c r="A1117" s="72" t="n">
        <x:v>46240.86172453704</x:v>
      </x:c>
      <x:c r="B1117" s="32" t="str">
        <x:v>土壤含水率</x:v>
      </x:c>
      <x:c r="C1117" s="32" t="str">
        <x:v>W2</x:v>
      </x:c>
      <x:c r="D1117" s="32" t="str">
        <x:v>V2</x:v>
      </x:c>
      <x:c r="E1117" s="86" t="n">
        <x:f>COUNT('31_W2_含水率'!C22,'31_W2_含水率'!E22,'31_W2_含水率'!G22,'31_W2_含水率'!I22)</x:f>
        <x:v>4</x:v>
      </x:c>
      <x:c r="F1117" s="90" t="n">
        <x:f>IF(E1117=0,"",AVERAGE('31_W2_含水率'!C22,'31_W2_含水率'!E22,'31_W2_含水率'!G22,'31_W2_含水率'!I22))</x:f>
        <x:v>36.925000000000004</x:v>
      </x:c>
      <x:c r="G1117" s="90" t="n">
        <x:f>IF(E1117&lt;2,"",STDEV.S('31_W2_含水率'!C22,'31_W2_含水率'!E22,'31_W2_含水率'!G22,'31_W2_含水率'!I22))</x:f>
        <x:v>2.2691775308835274</x:v>
      </x:c>
      <x:c r="H1117" s="90" t="n">
        <x:f>IF(E1117=0,"",MIN('31_W2_含水率'!C22,'31_W2_含水率'!E22,'31_W2_含水率'!G22,'31_W2_含水率'!I22))</x:f>
        <x:v>35.4</x:v>
      </x:c>
      <x:c r="I1117" s="90" t="n">
        <x:f>IF(E1117=0,"",MAX('31_W2_含水率'!C22,'31_W2_含水率'!E22,'31_W2_含水率'!G22,'31_W2_含水率'!I22))</x:f>
        <x:v>40.3</x:v>
      </x:c>
      <x:c r="J1117" s="32" t="str">
        <x:v>%</x:v>
      </x:c>
    </x:row>
    <x:row r="1118">
      <x:c r="A1118" s="72" t="n">
        <x:v>46240.86519675926</x:v>
      </x:c>
      <x:c r="B1118" s="32" t="str">
        <x:v>土壤含水率</x:v>
      </x:c>
      <x:c r="C1118" s="32" t="str">
        <x:v>W2</x:v>
      </x:c>
      <x:c r="D1118" s="32" t="str">
        <x:v>V1</x:v>
      </x:c>
      <x:c r="E1118" s="86" t="n">
        <x:f>COUNT('31_W2_含水率'!B23,'31_W2_含水率'!D23,'31_W2_含水率'!F23,'31_W2_含水率'!H23)</x:f>
        <x:v>4</x:v>
      </x:c>
      <x:c r="F1118" s="90" t="n">
        <x:f>IF(E1118=0,"",AVERAGE('31_W2_含水率'!B23,'31_W2_含水率'!D23,'31_W2_含水率'!F23,'31_W2_含水率'!H23))</x:f>
        <x:v>37.875</x:v>
      </x:c>
      <x:c r="G1118" s="90" t="n">
        <x:f>IF(E1118&lt;2,"",STDEV.S('31_W2_含水率'!B23,'31_W2_含水率'!D23,'31_W2_含水率'!F23,'31_W2_含水率'!H23))</x:f>
        <x:v>4.072980071970235</x:v>
      </x:c>
      <x:c r="H1118" s="90" t="n">
        <x:f>IF(E1118=0,"",MIN('31_W2_含水率'!B23,'31_W2_含水率'!D23,'31_W2_含水率'!F23,'31_W2_含水率'!H23))</x:f>
        <x:v>33.5</x:v>
      </x:c>
      <x:c r="I1118" s="90" t="n">
        <x:f>IF(E1118=0,"",MAX('31_W2_含水率'!B23,'31_W2_含水率'!D23,'31_W2_含水率'!F23,'31_W2_含水率'!H23))</x:f>
        <x:v>42.3</x:v>
      </x:c>
      <x:c r="J1118" s="32" t="str">
        <x:v>%</x:v>
      </x:c>
    </x:row>
    <x:row r="1119">
      <x:c r="A1119" s="72" t="n">
        <x:v>46240.86519675926</x:v>
      </x:c>
      <x:c r="B1119" s="32" t="str">
        <x:v>土壤含水率</x:v>
      </x:c>
      <x:c r="C1119" s="32" t="str">
        <x:v>W2</x:v>
      </x:c>
      <x:c r="D1119" s="32" t="str">
        <x:v>V2</x:v>
      </x:c>
      <x:c r="E1119" s="86" t="n">
        <x:f>COUNT('31_W2_含水率'!C23,'31_W2_含水率'!E23,'31_W2_含水率'!G23,'31_W2_含水率'!I23)</x:f>
        <x:v>4</x:v>
      </x:c>
      <x:c r="F1119" s="90" t="n">
        <x:f>IF(E1119=0,"",AVERAGE('31_W2_含水率'!C23,'31_W2_含水率'!E23,'31_W2_含水率'!G23,'31_W2_含水率'!I23))</x:f>
        <x:v>36.875</x:v>
      </x:c>
      <x:c r="G1119" s="90" t="n">
        <x:f>IF(E1119&lt;2,"",STDEV.S('31_W2_含水率'!C23,'31_W2_含水率'!E23,'31_W2_含水率'!G23,'31_W2_含水率'!I23))</x:f>
        <x:v>2.670049937111038</x:v>
      </x:c>
      <x:c r="H1119" s="90" t="n">
        <x:f>IF(E1119=0,"",MIN('31_W2_含水率'!C23,'31_W2_含水率'!E23,'31_W2_含水率'!G23,'31_W2_含水率'!I23))</x:f>
        <x:v>34.9</x:v>
      </x:c>
      <x:c r="I1119" s="90" t="n">
        <x:f>IF(E1119=0,"",MAX('31_W2_含水率'!C23,'31_W2_含水率'!E23,'31_W2_含水率'!G23,'31_W2_含水率'!I23))</x:f>
        <x:v>40.8</x:v>
      </x:c>
      <x:c r="J1119" s="32" t="str">
        <x:v>%</x:v>
      </x:c>
    </x:row>
    <x:row r="1120">
      <x:c r="A1120" s="72" t="n">
        <x:v>46240.86866898148</x:v>
      </x:c>
      <x:c r="B1120" s="32" t="str">
        <x:v>土壤含水率</x:v>
      </x:c>
      <x:c r="C1120" s="32" t="str">
        <x:v>W2</x:v>
      </x:c>
      <x:c r="D1120" s="32" t="str">
        <x:v>V1</x:v>
      </x:c>
      <x:c r="E1120" s="86" t="n">
        <x:f>COUNT('31_W2_含水率'!B24,'31_W2_含水率'!D24,'31_W2_含水率'!F24,'31_W2_含水率'!H24)</x:f>
        <x:v>4</x:v>
      </x:c>
      <x:c r="F1120" s="90" t="n">
        <x:f>IF(E1120=0,"",AVERAGE('31_W2_含水率'!B24,'31_W2_含水率'!D24,'31_W2_含水率'!F24,'31_W2_含水率'!H24))</x:f>
        <x:v>37.875</x:v>
      </x:c>
      <x:c r="G1120" s="90" t="n">
        <x:f>IF(E1120&lt;2,"",STDEV.S('31_W2_含水率'!B24,'31_W2_含水率'!D24,'31_W2_含水率'!F24,'31_W2_含水率'!H24))</x:f>
        <x:v>4.024404717884786</x:v>
      </x:c>
      <x:c r="H1120" s="90" t="n">
        <x:f>IF(E1120=0,"",MIN('31_W2_含水率'!B24,'31_W2_含水率'!D24,'31_W2_含水率'!F24,'31_W2_含水率'!H24))</x:f>
        <x:v>33.2</x:v>
      </x:c>
      <x:c r="I1120" s="90" t="n">
        <x:f>IF(E1120=0,"",MAX('31_W2_含水率'!B24,'31_W2_含水率'!D24,'31_W2_含水率'!F24,'31_W2_含水率'!H24))</x:f>
        <x:v>41.8</x:v>
      </x:c>
      <x:c r="J1120" s="32" t="str">
        <x:v>%</x:v>
      </x:c>
    </x:row>
    <x:row r="1121">
      <x:c r="A1121" s="72" t="n">
        <x:v>46240.86866898148</x:v>
      </x:c>
      <x:c r="B1121" s="32" t="str">
        <x:v>土壤含水率</x:v>
      </x:c>
      <x:c r="C1121" s="32" t="str">
        <x:v>W2</x:v>
      </x:c>
      <x:c r="D1121" s="32" t="str">
        <x:v>V2</x:v>
      </x:c>
      <x:c r="E1121" s="86" t="n">
        <x:f>COUNT('31_W2_含水率'!C24,'31_W2_含水率'!E24,'31_W2_含水率'!G24,'31_W2_含水率'!I24)</x:f>
        <x:v>4</x:v>
      </x:c>
      <x:c r="F1121" s="90" t="n">
        <x:f>IF(E1121=0,"",AVERAGE('31_W2_含水率'!C24,'31_W2_含水率'!E24,'31_W2_含水率'!G24,'31_W2_含水率'!I24))</x:f>
        <x:v>36.875</x:v>
      </x:c>
      <x:c r="G1121" s="90" t="n">
        <x:f>IF(E1121&lt;2,"",STDEV.S('31_W2_含水率'!C24,'31_W2_含水率'!E24,'31_W2_含水率'!G24,'31_W2_含水率'!I24))</x:f>
        <x:v>2.9981939007787135</x:v>
      </x:c>
      <x:c r="H1121" s="90" t="n">
        <x:f>IF(E1121=0,"",MIN('31_W2_含水率'!C24,'31_W2_含水率'!E24,'31_W2_含水率'!G24,'31_W2_含水率'!I24))</x:f>
        <x:v>34.5</x:v>
      </x:c>
      <x:c r="I1121" s="90" t="n">
        <x:f>IF(E1121=0,"",MAX('31_W2_含水率'!C24,'31_W2_含水率'!E24,'31_W2_含水率'!G24,'31_W2_含水率'!I24))</x:f>
        <x:v>41.2</x:v>
      </x:c>
      <x:c r="J1121" s="32" t="str">
        <x:v>%</x:v>
      </x:c>
    </x:row>
    <x:row r="1122">
      <x:c r="A1122" s="72" t="n">
        <x:v>46240.872141203705</x:v>
      </x:c>
      <x:c r="B1122" s="32" t="str">
        <x:v>土壤含水率</x:v>
      </x:c>
      <x:c r="C1122" s="32" t="str">
        <x:v>W2</x:v>
      </x:c>
      <x:c r="D1122" s="32" t="str">
        <x:v>V1</x:v>
      </x:c>
      <x:c r="E1122" s="86" t="n">
        <x:f>COUNT('31_W2_含水率'!B25,'31_W2_含水率'!D25,'31_W2_含水率'!F25,'31_W2_含水率'!H25)</x:f>
        <x:v>4</x:v>
      </x:c>
      <x:c r="F1122" s="90" t="n">
        <x:f>IF(E1122=0,"",AVERAGE('31_W2_含水率'!B25,'31_W2_含水率'!D25,'31_W2_含水率'!F25,'31_W2_含水率'!H25))</x:f>
        <x:v>37.925</x:v>
      </x:c>
      <x:c r="G1122" s="90" t="n">
        <x:f>IF(E1122&lt;2,"",STDEV.S('31_W2_含水率'!B25,'31_W2_含水率'!D25,'31_W2_含水率'!F25,'31_W2_含水率'!H25))</x:f>
        <x:v>3.9135448551579577</x:v>
      </x:c>
      <x:c r="H1122" s="90" t="n">
        <x:f>IF(E1122=0,"",MIN('31_W2_含水率'!B25,'31_W2_含水率'!D25,'31_W2_含水率'!F25,'31_W2_含水率'!H25))</x:f>
        <x:v>33.1</x:v>
      </x:c>
      <x:c r="I1122" s="90" t="n">
        <x:f>IF(E1122=0,"",MAX('31_W2_含水率'!B25,'31_W2_含水率'!D25,'31_W2_含水率'!F25,'31_W2_含水率'!H25))</x:f>
        <x:v>41.4</x:v>
      </x:c>
      <x:c r="J1122" s="32" t="str">
        <x:v>%</x:v>
      </x:c>
    </x:row>
    <x:row r="1123">
      <x:c r="A1123" s="72" t="n">
        <x:v>46240.872141203705</x:v>
      </x:c>
      <x:c r="B1123" s="32" t="str">
        <x:v>土壤含水率</x:v>
      </x:c>
      <x:c r="C1123" s="32" t="str">
        <x:v>W2</x:v>
      </x:c>
      <x:c r="D1123" s="32" t="str">
        <x:v>V2</x:v>
      </x:c>
      <x:c r="E1123" s="86" t="n">
        <x:f>COUNT('31_W2_含水率'!C25,'31_W2_含水率'!E25,'31_W2_含水率'!G25,'31_W2_含水率'!I25)</x:f>
        <x:v>4</x:v>
      </x:c>
      <x:c r="F1123" s="90" t="n">
        <x:f>IF(E1123=0,"",AVERAGE('31_W2_含水率'!C25,'31_W2_含水率'!E25,'31_W2_含水率'!G25,'31_W2_含水率'!I25))</x:f>
        <x:v>36.875</x:v>
      </x:c>
      <x:c r="G1123" s="90" t="n">
        <x:f>IF(E1123&lt;2,"",STDEV.S('31_W2_含水率'!C25,'31_W2_含水率'!E25,'31_W2_含水率'!G25,'31_W2_含水率'!I25))</x:f>
        <x:v>3.3559648389099674</x:v>
      </x:c>
      <x:c r="H1123" s="90" t="n">
        <x:f>IF(E1123=0,"",MIN('31_W2_含水率'!C25,'31_W2_含水率'!E25,'31_W2_含水率'!G25,'31_W2_含水率'!I25))</x:f>
        <x:v>34.2</x:v>
      </x:c>
      <x:c r="I1123" s="90" t="n">
        <x:f>IF(E1123=0,"",MAX('31_W2_含水率'!C25,'31_W2_含水率'!E25,'31_W2_含水率'!G25,'31_W2_含水率'!I25))</x:f>
        <x:v>41.6</x:v>
      </x:c>
      <x:c r="J1123" s="32" t="str">
        <x:v>%</x:v>
      </x:c>
    </x:row>
    <x:row r="1124">
      <x:c r="A1124" s="72" t="n">
        <x:v>46240.875613425924</x:v>
      </x:c>
      <x:c r="B1124" s="32" t="str">
        <x:v>土壤含水率</x:v>
      </x:c>
      <x:c r="C1124" s="32" t="str">
        <x:v>W2</x:v>
      </x:c>
      <x:c r="D1124" s="32" t="str">
        <x:v>V1</x:v>
      </x:c>
      <x:c r="E1124" s="86" t="n">
        <x:f>COUNT('31_W2_含水率'!B26,'31_W2_含水率'!D26,'31_W2_含水率'!F26,'31_W2_含水率'!H26)</x:f>
        <x:v>4</x:v>
      </x:c>
      <x:c r="F1124" s="90" t="n">
        <x:f>IF(E1124=0,"",AVERAGE('31_W2_含水率'!B26,'31_W2_含水率'!D26,'31_W2_含水率'!F26,'31_W2_含水率'!H26))</x:f>
        <x:v>37.925</x:v>
      </x:c>
      <x:c r="G1124" s="90" t="n">
        <x:f>IF(E1124&lt;2,"",STDEV.S('31_W2_含水率'!B26,'31_W2_含水率'!D26,'31_W2_含水率'!F26,'31_W2_含水率'!H26))</x:f>
        <x:v>3.822193959843831</x:v>
      </x:c>
      <x:c r="H1124" s="90" t="n">
        <x:f>IF(E1124=0,"",MIN('31_W2_含水率'!B26,'31_W2_含水率'!D26,'31_W2_含水率'!F26,'31_W2_含水率'!H26))</x:f>
        <x:v>33</x:v>
      </x:c>
      <x:c r="I1124" s="90" t="n">
        <x:f>IF(E1124=0,"",MAX('31_W2_含水率'!B26,'31_W2_含水率'!D26,'31_W2_含水率'!F26,'31_W2_含水率'!H26))</x:f>
        <x:v>41</x:v>
      </x:c>
      <x:c r="J1124" s="32" t="str">
        <x:v>%</x:v>
      </x:c>
    </x:row>
    <x:row r="1125">
      <x:c r="A1125" s="72" t="n">
        <x:v>46240.875613425924</x:v>
      </x:c>
      <x:c r="B1125" s="32" t="str">
        <x:v>土壤含水率</x:v>
      </x:c>
      <x:c r="C1125" s="32" t="str">
        <x:v>W2</x:v>
      </x:c>
      <x:c r="D1125" s="32" t="str">
        <x:v>V2</x:v>
      </x:c>
      <x:c r="E1125" s="86" t="n">
        <x:f>COUNT('31_W2_含水率'!C26,'31_W2_含水率'!E26,'31_W2_含水率'!G26,'31_W2_含水率'!I26)</x:f>
        <x:v>4</x:v>
      </x:c>
      <x:c r="F1125" s="90" t="n">
        <x:f>IF(E1125=0,"",AVERAGE('31_W2_含水率'!C26,'31_W2_含水率'!E26,'31_W2_含水率'!G26,'31_W2_含水率'!I26))</x:f>
        <x:v>36.925</x:v>
      </x:c>
      <x:c r="G1125" s="90" t="n">
        <x:f>IF(E1125&lt;2,"",STDEV.S('31_W2_含水率'!C26,'31_W2_含水率'!E26,'31_W2_含水率'!G26,'31_W2_含水率'!I26))</x:f>
        <x:v>3.5752622281449495</x:v>
      </x:c>
      <x:c r="H1125" s="90" t="n">
        <x:f>IF(E1125=0,"",MIN('31_W2_含水率'!C26,'31_W2_含水率'!E26,'31_W2_含水率'!G26,'31_W2_含水率'!I26))</x:f>
        <x:v>34.1</x:v>
      </x:c>
      <x:c r="I1125" s="90" t="n">
        <x:f>IF(E1125=0,"",MAX('31_W2_含水率'!C26,'31_W2_含水率'!E26,'31_W2_含水率'!G26,'31_W2_含水率'!I26))</x:f>
        <x:v>41.8</x:v>
      </x:c>
      <x:c r="J1125" s="32" t="str">
        <x:v>%</x:v>
      </x:c>
    </x:row>
    <x:row r="1126">
      <x:c r="A1126" s="72" t="n">
        <x:v>46240.87908564815</x:v>
      </x:c>
      <x:c r="B1126" s="32" t="str">
        <x:v>土壤含水率</x:v>
      </x:c>
      <x:c r="C1126" s="32" t="str">
        <x:v>W2</x:v>
      </x:c>
      <x:c r="D1126" s="32" t="str">
        <x:v>V1</x:v>
      </x:c>
      <x:c r="E1126" s="86" t="n">
        <x:f>COUNT('31_W2_含水率'!B27,'31_W2_含水率'!D27,'31_W2_含水率'!F27,'31_W2_含水率'!H27)</x:f>
        <x:v>4</x:v>
      </x:c>
      <x:c r="F1126" s="90" t="n">
        <x:f>IF(E1126=0,"",AVERAGE('31_W2_含水率'!B27,'31_W2_含水率'!D27,'31_W2_含水率'!F27,'31_W2_含水率'!H27))</x:f>
        <x:v>37.95</x:v>
      </x:c>
      <x:c r="G1126" s="90" t="n">
        <x:f>IF(E1126&lt;2,"",STDEV.S('31_W2_含水率'!B27,'31_W2_含水率'!D27,'31_W2_含水率'!F27,'31_W2_含水率'!H27))</x:f>
        <x:v>3.6170890690351167</x:v>
      </x:c>
      <x:c r="H1126" s="90" t="n">
        <x:f>IF(E1126=0,"",MIN('31_W2_含水率'!B27,'31_W2_含水率'!D27,'31_W2_含水率'!F27,'31_W2_含水率'!H27))</x:f>
        <x:v>33.1</x:v>
      </x:c>
      <x:c r="I1126" s="90" t="n">
        <x:f>IF(E1126=0,"",MAX('31_W2_含水率'!B27,'31_W2_含水率'!D27,'31_W2_含水率'!F27,'31_W2_含水率'!H27))</x:f>
        <x:v>41</x:v>
      </x:c>
      <x:c r="J1126" s="32" t="str">
        <x:v>%</x:v>
      </x:c>
    </x:row>
    <x:row r="1127">
      <x:c r="A1127" s="72" t="n">
        <x:v>46240.87908564815</x:v>
      </x:c>
      <x:c r="B1127" s="32" t="str">
        <x:v>土壤含水率</x:v>
      </x:c>
      <x:c r="C1127" s="32" t="str">
        <x:v>W2</x:v>
      </x:c>
      <x:c r="D1127" s="32" t="str">
        <x:v>V2</x:v>
      </x:c>
      <x:c r="E1127" s="86" t="n">
        <x:f>COUNT('31_W2_含水率'!C27,'31_W2_含水率'!E27,'31_W2_含水率'!G27,'31_W2_含水率'!I27)</x:f>
        <x:v>4</x:v>
      </x:c>
      <x:c r="F1127" s="90" t="n">
        <x:f>IF(E1127=0,"",AVERAGE('31_W2_含水率'!C27,'31_W2_含水率'!E27,'31_W2_含水率'!G27,'31_W2_含水率'!I27))</x:f>
        <x:v>36.925</x:v>
      </x:c>
      <x:c r="G1127" s="90" t="n">
        <x:f>IF(E1127&lt;2,"",STDEV.S('31_W2_含水率'!C27,'31_W2_含水率'!E27,'31_W2_含水率'!G27,'31_W2_含水率'!I27))</x:f>
        <x:v>3.8395963329495983</x:v>
      </x:c>
      <x:c r="H1127" s="90" t="n">
        <x:f>IF(E1127=0,"",MIN('31_W2_含水率'!C27,'31_W2_含水率'!E27,'31_W2_含水率'!G27,'31_W2_含水率'!I27))</x:f>
        <x:v>33.9</x:v>
      </x:c>
      <x:c r="I1127" s="90" t="n">
        <x:f>IF(E1127=0,"",MAX('31_W2_含水率'!C27,'31_W2_含水率'!E27,'31_W2_含水率'!G27,'31_W2_含水率'!I27))</x:f>
        <x:v>42</x:v>
      </x:c>
      <x:c r="J1127" s="32" t="str">
        <x:v>%</x:v>
      </x:c>
    </x:row>
    <x:row r="1128">
      <x:c r="A1128" s="72" t="n">
        <x:v>46240.88255787037</x:v>
      </x:c>
      <x:c r="B1128" s="32" t="str">
        <x:v>土壤含水率</x:v>
      </x:c>
      <x:c r="C1128" s="32" t="str">
        <x:v>W2</x:v>
      </x:c>
      <x:c r="D1128" s="32" t="str">
        <x:v>V1</x:v>
      </x:c>
      <x:c r="E1128" s="86" t="n">
        <x:f>COUNT('31_W2_含水率'!B28,'31_W2_含水率'!D28,'31_W2_含水率'!F28,'31_W2_含水率'!H28)</x:f>
        <x:v>4</x:v>
      </x:c>
      <x:c r="F1128" s="90" t="n">
        <x:f>IF(E1128=0,"",AVERAGE('31_W2_含水率'!B28,'31_W2_含水率'!D28,'31_W2_含水率'!F28,'31_W2_含水率'!H28))</x:f>
        <x:v>37.949999999999996</x:v>
      </x:c>
      <x:c r="G1128" s="90" t="n">
        <x:f>IF(E1128&lt;2,"",STDEV.S('31_W2_含水率'!B28,'31_W2_含水率'!D28,'31_W2_含水率'!F28,'31_W2_含水率'!H28))</x:f>
        <x:v>3.4200389861325635</x:v>
      </x:c>
      <x:c r="H1128" s="90" t="n">
        <x:f>IF(E1128=0,"",MIN('31_W2_含水率'!B28,'31_W2_含水率'!D28,'31_W2_含水率'!F28,'31_W2_含水率'!H28))</x:f>
        <x:v>33.2</x:v>
      </x:c>
      <x:c r="I1128" s="90" t="n">
        <x:f>IF(E1128=0,"",MAX('31_W2_含水率'!B28,'31_W2_含水率'!D28,'31_W2_含水率'!F28,'31_W2_含水率'!H28))</x:f>
        <x:v>40.9</x:v>
      </x:c>
      <x:c r="J1128" s="32" t="str">
        <x:v>%</x:v>
      </x:c>
    </x:row>
    <x:row r="1129">
      <x:c r="A1129" s="72" t="n">
        <x:v>46240.88255787037</x:v>
      </x:c>
      <x:c r="B1129" s="32" t="str">
        <x:v>土壤含水率</x:v>
      </x:c>
      <x:c r="C1129" s="32" t="str">
        <x:v>W2</x:v>
      </x:c>
      <x:c r="D1129" s="32" t="str">
        <x:v>V2</x:v>
      </x:c>
      <x:c r="E1129" s="86" t="n">
        <x:f>COUNT('31_W2_含水率'!C28,'31_W2_含水率'!E28,'31_W2_含水率'!G28,'31_W2_含水率'!I28)</x:f>
        <x:v>4</x:v>
      </x:c>
      <x:c r="F1129" s="90" t="n">
        <x:f>IF(E1129=0,"",AVERAGE('31_W2_含水率'!C28,'31_W2_含水率'!E28,'31_W2_含水率'!G28,'31_W2_含水率'!I28))</x:f>
        <x:v>36.95</x:v>
      </x:c>
      <x:c r="G1129" s="90" t="n">
        <x:f>IF(E1129&lt;2,"",STDEV.S('31_W2_含水率'!C28,'31_W2_含水率'!E28,'31_W2_含水率'!G28,'31_W2_含水率'!I28))</x:f>
        <x:v>4.002082791080998</x:v>
      </x:c>
      <x:c r="H1129" s="90" t="n">
        <x:f>IF(E1129=0,"",MIN('31_W2_含水率'!C28,'31_W2_含水率'!E28,'31_W2_含水率'!G28,'31_W2_含水率'!I28))</x:f>
        <x:v>33.4</x:v>
      </x:c>
      <x:c r="I1129" s="90" t="n">
        <x:f>IF(E1129=0,"",MAX('31_W2_含水率'!C28,'31_W2_含水率'!E28,'31_W2_含水率'!G28,'31_W2_含水率'!I28))</x:f>
        <x:v>42</x:v>
      </x:c>
      <x:c r="J1129" s="32" t="str">
        <x:v>%</x:v>
      </x:c>
    </x:row>
    <x:row r="1130">
      <x:c r="A1130" s="72" t="n">
        <x:v>46240.886030092595</x:v>
      </x:c>
      <x:c r="B1130" s="32" t="str">
        <x:v>土壤含水率</x:v>
      </x:c>
      <x:c r="C1130" s="32" t="str">
        <x:v>W2</x:v>
      </x:c>
      <x:c r="D1130" s="32" t="str">
        <x:v>V1</x:v>
      </x:c>
      <x:c r="E1130" s="86" t="n">
        <x:f>COUNT('31_W2_含水率'!B29,'31_W2_含水率'!D29,'31_W2_含水率'!F29,'31_W2_含水率'!H29)</x:f>
        <x:v>4</x:v>
      </x:c>
      <x:c r="F1130" s="90" t="n">
        <x:f>IF(E1130=0,"",AVERAGE('31_W2_含水率'!B29,'31_W2_含水率'!D29,'31_W2_含水率'!F29,'31_W2_含水率'!H29))</x:f>
        <x:v>37.95</x:v>
      </x:c>
      <x:c r="G1130" s="90" t="n">
        <x:f>IF(E1130&lt;2,"",STDEV.S('31_W2_含水率'!B29,'31_W2_含水率'!D29,'31_W2_含水率'!F29,'31_W2_含水率'!H29))</x:f>
        <x:v>3.1246333118196983</x:v>
      </x:c>
      <x:c r="H1130" s="90" t="n">
        <x:f>IF(E1130=0,"",MIN('31_W2_含水率'!B29,'31_W2_含水率'!D29,'31_W2_含水率'!F29,'31_W2_含水率'!H29))</x:f>
        <x:v>33.5</x:v>
      </x:c>
      <x:c r="I1130" s="90" t="n">
        <x:f>IF(E1130=0,"",MAX('31_W2_含水率'!B29,'31_W2_含水率'!D29,'31_W2_含水率'!F29,'31_W2_含水率'!H29))</x:f>
        <x:v>40.6</x:v>
      </x:c>
      <x:c r="J1130" s="32" t="str">
        <x:v>%</x:v>
      </x:c>
    </x:row>
    <x:row r="1131">
      <x:c r="A1131" s="72" t="n">
        <x:v>46240.886030092595</x:v>
      </x:c>
      <x:c r="B1131" s="32" t="str">
        <x:v>土壤含水率</x:v>
      </x:c>
      <x:c r="C1131" s="32" t="str">
        <x:v>W2</x:v>
      </x:c>
      <x:c r="D1131" s="32" t="str">
        <x:v>V2</x:v>
      </x:c>
      <x:c r="E1131" s="86" t="n">
        <x:f>COUNT('31_W2_含水率'!C29,'31_W2_含水率'!E29,'31_W2_含水率'!G29,'31_W2_含水率'!I29)</x:f>
        <x:v>4</x:v>
      </x:c>
      <x:c r="F1131" s="90" t="n">
        <x:f>IF(E1131=0,"",AVERAGE('31_W2_含水率'!C29,'31_W2_含水率'!E29,'31_W2_含水率'!G29,'31_W2_含水率'!I29))</x:f>
        <x:v>36.949999999999996</x:v>
      </x:c>
      <x:c r="G1131" s="90" t="n">
        <x:f>IF(E1131&lt;2,"",STDEV.S('31_W2_含水率'!C29,'31_W2_含水率'!E29,'31_W2_含水率'!G29,'31_W2_含水率'!I29))</x:f>
        <x:v>4.158926143449371</x:v>
      </x:c>
      <x:c r="H1131" s="90" t="n">
        <x:f>IF(E1131=0,"",MIN('31_W2_含水率'!C29,'31_W2_含水率'!E29,'31_W2_含水率'!G29,'31_W2_含水率'!I29))</x:f>
        <x:v>32.9</x:v>
      </x:c>
      <x:c r="I1131" s="90" t="n">
        <x:f>IF(E1131=0,"",MAX('31_W2_含水率'!C29,'31_W2_含水率'!E29,'31_W2_含水率'!G29,'31_W2_含水率'!I29))</x:f>
        <x:v>41.9</x:v>
      </x:c>
      <x:c r="J1131" s="32" t="str">
        <x:v>%</x:v>
      </x:c>
    </x:row>
    <x:row r="1132">
      <x:c r="A1132" s="72" t="n">
        <x:v>46240.889502314814</x:v>
      </x:c>
      <x:c r="B1132" s="32" t="str">
        <x:v>土壤含水率</x:v>
      </x:c>
      <x:c r="C1132" s="32" t="str">
        <x:v>W2</x:v>
      </x:c>
      <x:c r="D1132" s="32" t="str">
        <x:v>V1</x:v>
      </x:c>
      <x:c r="E1132" s="86" t="n">
        <x:f>COUNT('31_W2_含水率'!B30,'31_W2_含水率'!D30,'31_W2_含水率'!F30,'31_W2_含水率'!H30)</x:f>
        <x:v>4</x:v>
      </x:c>
      <x:c r="F1132" s="90" t="n">
        <x:f>IF(E1132=0,"",AVERAGE('31_W2_含水率'!B30,'31_W2_含水率'!D30,'31_W2_含水率'!F30,'31_W2_含水率'!H30))</x:f>
        <x:v>38</x:v>
      </x:c>
      <x:c r="G1132" s="90" t="n">
        <x:f>IF(E1132&lt;2,"",STDEV.S('31_W2_含水率'!B30,'31_W2_含水率'!D30,'31_W2_含水率'!F30,'31_W2_含水率'!H30))</x:f>
        <x:v>2.82252841733554</x:v>
      </x:c>
      <x:c r="H1132" s="90" t="n">
        <x:f>IF(E1132=0,"",MIN('31_W2_含水率'!B30,'31_W2_含水率'!D30,'31_W2_含水率'!F30,'31_W2_含水率'!H30))</x:f>
        <x:v>33.9</x:v>
      </x:c>
      <x:c r="I1132" s="90" t="n">
        <x:f>IF(E1132=0,"",MAX('31_W2_含水率'!B30,'31_W2_含水率'!D30,'31_W2_含水率'!F30,'31_W2_含水率'!H30))</x:f>
        <x:v>40.3</x:v>
      </x:c>
      <x:c r="J1132" s="32" t="str">
        <x:v>%</x:v>
      </x:c>
    </x:row>
    <x:row r="1133">
      <x:c r="A1133" s="72" t="n">
        <x:v>46240.889502314814</x:v>
      </x:c>
      <x:c r="B1133" s="32" t="str">
        <x:v>土壤含水率</x:v>
      </x:c>
      <x:c r="C1133" s="32" t="str">
        <x:v>W2</x:v>
      </x:c>
      <x:c r="D1133" s="32" t="str">
        <x:v>V2</x:v>
      </x:c>
      <x:c r="E1133" s="86" t="n">
        <x:f>COUNT('31_W2_含水率'!C30,'31_W2_含水率'!E30,'31_W2_含水率'!G30,'31_W2_含水率'!I30)</x:f>
        <x:v>4</x:v>
      </x:c>
      <x:c r="F1133" s="90" t="n">
        <x:f>IF(E1133=0,"",AVERAGE('31_W2_含水率'!C30,'31_W2_含水率'!E30,'31_W2_含水率'!G30,'31_W2_含水率'!I30))</x:f>
        <x:v>36.95</x:v>
      </x:c>
      <x:c r="G1133" s="90" t="n">
        <x:f>IF(E1133&lt;2,"",STDEV.S('31_W2_含水率'!C30,'31_W2_含水率'!E30,'31_W2_含水率'!G30,'31_W2_含水率'!I30))</x:f>
        <x:v>4.182901704160244</x:v>
      </x:c>
      <x:c r="H1133" s="90" t="n">
        <x:f>IF(E1133=0,"",MIN('31_W2_含水率'!C30,'31_W2_含水率'!E30,'31_W2_含水率'!G30,'31_W2_含水率'!I30))</x:f>
        <x:v>32.5</x:v>
      </x:c>
      <x:c r="I1133" s="90" t="n">
        <x:f>IF(E1133=0,"",MAX('31_W2_含水率'!C30,'31_W2_含水率'!E30,'31_W2_含水率'!G30,'31_W2_含水率'!I30))</x:f>
        <x:v>41.6</x:v>
      </x:c>
      <x:c r="J1133" s="32" t="str">
        <x:v>%</x:v>
      </x:c>
    </x:row>
    <x:row r="1134">
      <x:c r="A1134" s="72" t="n">
        <x:v>46240.89297453704</x:v>
      </x:c>
      <x:c r="B1134" s="32" t="str">
        <x:v>土壤含水率</x:v>
      </x:c>
      <x:c r="C1134" s="32" t="str">
        <x:v>W2</x:v>
      </x:c>
      <x:c r="D1134" s="32" t="str">
        <x:v>V1</x:v>
      </x:c>
      <x:c r="E1134" s="86" t="n">
        <x:f>COUNT('31_W2_含水率'!B31,'31_W2_含水率'!D31,'31_W2_含水率'!F31,'31_W2_含水率'!H31)</x:f>
        <x:v>4</x:v>
      </x:c>
      <x:c r="F1134" s="90" t="n">
        <x:f>IF(E1134=0,"",AVERAGE('31_W2_含水率'!B31,'31_W2_含水率'!D31,'31_W2_含水率'!F31,'31_W2_含水率'!H31))</x:f>
        <x:v>38.05</x:v>
      </x:c>
      <x:c r="G1134" s="90" t="n">
        <x:f>IF(E1134&lt;2,"",STDEV.S('31_W2_含水率'!B31,'31_W2_含水率'!D31,'31_W2_含水率'!F31,'31_W2_含水率'!H31))</x:f>
        <x:v>2.477229635432829</x:v>
      </x:c>
      <x:c r="H1134" s="90" t="n">
        <x:f>IF(E1134=0,"",MIN('31_W2_含水率'!B31,'31_W2_含水率'!D31,'31_W2_含水率'!F31,'31_W2_含水率'!H31))</x:f>
        <x:v>34.4</x:v>
      </x:c>
      <x:c r="I1134" s="90" t="n">
        <x:f>IF(E1134=0,"",MAX('31_W2_含水率'!B31,'31_W2_含水率'!D31,'31_W2_含水率'!F31,'31_W2_含水率'!H31))</x:f>
        <x:v>39.9</x:v>
      </x:c>
      <x:c r="J1134" s="32" t="str">
        <x:v>%</x:v>
      </x:c>
    </x:row>
    <x:row r="1135">
      <x:c r="A1135" s="72" t="n">
        <x:v>46240.89297453704</x:v>
      </x:c>
      <x:c r="B1135" s="32" t="str">
        <x:v>土壤含水率</x:v>
      </x:c>
      <x:c r="C1135" s="32" t="str">
        <x:v>W2</x:v>
      </x:c>
      <x:c r="D1135" s="32" t="str">
        <x:v>V2</x:v>
      </x:c>
      <x:c r="E1135" s="86" t="n">
        <x:f>COUNT('31_W2_含水率'!C31,'31_W2_含水率'!E31,'31_W2_含水率'!G31,'31_W2_含水率'!I31)</x:f>
        <x:v>4</x:v>
      </x:c>
      <x:c r="F1135" s="90" t="n">
        <x:f>IF(E1135=0,"",AVERAGE('31_W2_含水率'!C31,'31_W2_含水率'!E31,'31_W2_含水率'!G31,'31_W2_含水率'!I31))</x:f>
        <x:v>37</x:v>
      </x:c>
      <x:c r="G1135" s="90" t="n">
        <x:f>IF(E1135&lt;2,"",STDEV.S('31_W2_含水率'!C31,'31_W2_含水率'!E31,'31_W2_含水率'!G31,'31_W2_含水率'!I31))</x:f>
        <x:v>4.1912607490666405</x:v>
      </x:c>
      <x:c r="H1135" s="90" t="n">
        <x:f>IF(E1135=0,"",MIN('31_W2_含水率'!C31,'31_W2_含水率'!E31,'31_W2_含水率'!G31,'31_W2_含水率'!I31))</x:f>
        <x:v>32.2</x:v>
      </x:c>
      <x:c r="I1135" s="90" t="n">
        <x:f>IF(E1135=0,"",MAX('31_W2_含水率'!C31,'31_W2_含水率'!E31,'31_W2_含水率'!G31,'31_W2_含水率'!I31))</x:f>
        <x:v>41.3</x:v>
      </x:c>
      <x:c r="J1135" s="32" t="str">
        <x:v>%</x:v>
      </x:c>
    </x:row>
    <x:row r="1136">
      <x:c r="A1136" s="72" t="n">
        <x:v>46240.89644675926</x:v>
      </x:c>
      <x:c r="B1136" s="32" t="str">
        <x:v>土壤含水率</x:v>
      </x:c>
      <x:c r="C1136" s="32" t="str">
        <x:v>W2</x:v>
      </x:c>
      <x:c r="D1136" s="32" t="str">
        <x:v>V1</x:v>
      </x:c>
      <x:c r="E1136" s="86" t="n">
        <x:f>COUNT('31_W2_含水率'!B32,'31_W2_含水率'!D32,'31_W2_含水率'!F32,'31_W2_含水率'!H32)</x:f>
        <x:v>4</x:v>
      </x:c>
      <x:c r="F1136" s="90" t="n">
        <x:f>IF(E1136=0,"",AVERAGE('31_W2_含水率'!B32,'31_W2_含水率'!D32,'31_W2_含水率'!F32,'31_W2_含水率'!H32))</x:f>
        <x:v>38.05</x:v>
      </x:c>
      <x:c r="G1136" s="90" t="n">
        <x:f>IF(E1136&lt;2,"",STDEV.S('31_W2_含水率'!B32,'31_W2_含水率'!D32,'31_W2_含水率'!F32,'31_W2_含水率'!H32))</x:f>
        <x:v>2.174856317093156</x:v>
      </x:c>
      <x:c r="H1136" s="90" t="n">
        <x:f>IF(E1136=0,"",MIN('31_W2_含水率'!B32,'31_W2_含水率'!D32,'31_W2_含水率'!F32,'31_W2_含水率'!H32))</x:f>
        <x:v>34.8</x:v>
      </x:c>
      <x:c r="I1136" s="90" t="n">
        <x:f>IF(E1136=0,"",MAX('31_W2_含水率'!B32,'31_W2_含水率'!D32,'31_W2_含水率'!F32,'31_W2_含水率'!H32))</x:f>
        <x:v>39.4</x:v>
      </x:c>
      <x:c r="J1136" s="32" t="str">
        <x:v>%</x:v>
      </x:c>
    </x:row>
    <x:row r="1137">
      <x:c r="A1137" s="72" t="n">
        <x:v>46240.89644675926</x:v>
      </x:c>
      <x:c r="B1137" s="32" t="str">
        <x:v>土壤含水率</x:v>
      </x:c>
      <x:c r="C1137" s="32" t="str">
        <x:v>W2</x:v>
      </x:c>
      <x:c r="D1137" s="32" t="str">
        <x:v>V2</x:v>
      </x:c>
      <x:c r="E1137" s="86" t="n">
        <x:f>COUNT('31_W2_含水率'!C32,'31_W2_含水率'!E32,'31_W2_含水率'!G32,'31_W2_含水率'!I32)</x:f>
        <x:v>4</x:v>
      </x:c>
      <x:c r="F1137" s="90" t="n">
        <x:f>IF(E1137=0,"",AVERAGE('31_W2_含水率'!C32,'31_W2_含水率'!E32,'31_W2_含水率'!G32,'31_W2_含水率'!I32))</x:f>
        <x:v>37.05</x:v>
      </x:c>
      <x:c r="G1137" s="90" t="n">
        <x:f>IF(E1137&lt;2,"",STDEV.S('31_W2_含水率'!C32,'31_W2_含水率'!E32,'31_W2_含水率'!G32,'31_W2_含水率'!I32))</x:f>
        <x:v>4.066530052350118</x:v>
      </x:c>
      <x:c r="H1137" s="90" t="n">
        <x:f>IF(E1137=0,"",MIN('31_W2_含水率'!C32,'31_W2_含水率'!E32,'31_W2_含水率'!G32,'31_W2_含水率'!I32))</x:f>
        <x:v>32.1</x:v>
      </x:c>
      <x:c r="I1137" s="90" t="n">
        <x:f>IF(E1137=0,"",MAX('31_W2_含水率'!C32,'31_W2_含水率'!E32,'31_W2_含水率'!G32,'31_W2_含水率'!I32))</x:f>
        <x:v>40.9</x:v>
      </x:c>
      <x:c r="J1137" s="32" t="str">
        <x:v>%</x:v>
      </x:c>
    </x:row>
    <x:row r="1138">
      <x:c r="A1138" s="72" t="n">
        <x:v>46240.89991898148</x:v>
      </x:c>
      <x:c r="B1138" s="32" t="str">
        <x:v>土壤含水率</x:v>
      </x:c>
      <x:c r="C1138" s="32" t="str">
        <x:v>W2</x:v>
      </x:c>
      <x:c r="D1138" s="32" t="str">
        <x:v>V1</x:v>
      </x:c>
      <x:c r="E1138" s="86" t="n">
        <x:f>COUNT('31_W2_含水率'!B33,'31_W2_含水率'!D33,'31_W2_含水率'!F33,'31_W2_含水率'!H33)</x:f>
        <x:v>4</x:v>
      </x:c>
      <x:c r="F1138" s="90" t="n">
        <x:f>IF(E1138=0,"",AVERAGE('31_W2_含水率'!B33,'31_W2_含水率'!D33,'31_W2_含水率'!F33,'31_W2_含水率'!H33))</x:f>
        <x:v>38.075</x:v>
      </x:c>
      <x:c r="G1138" s="90" t="n">
        <x:f>IF(E1138&lt;2,"",STDEV.S('31_W2_含水率'!B33,'31_W2_含水率'!D33,'31_W2_含水率'!F33,'31_W2_含水率'!H33))</x:f>
        <x:v>1.8518009252256766</x:v>
      </x:c>
      <x:c r="H1138" s="90" t="n">
        <x:f>IF(E1138=0,"",MIN('31_W2_含水率'!B33,'31_W2_含水率'!D33,'31_W2_含水率'!F33,'31_W2_含水率'!H33))</x:f>
        <x:v>35.3</x:v>
      </x:c>
      <x:c r="I1138" s="90" t="n">
        <x:f>IF(E1138=0,"",MAX('31_W2_含水率'!B33,'31_W2_含水率'!D33,'31_W2_含水率'!F33,'31_W2_含水率'!H33))</x:f>
        <x:v>39.1</x:v>
      </x:c>
      <x:c r="J1138" s="32" t="str">
        <x:v>%</x:v>
      </x:c>
    </x:row>
    <x:row r="1139">
      <x:c r="A1139" s="72" t="n">
        <x:v>46240.89991898148</x:v>
      </x:c>
      <x:c r="B1139" s="32" t="str">
        <x:v>土壤含水率</x:v>
      </x:c>
      <x:c r="C1139" s="32" t="str">
        <x:v>W2</x:v>
      </x:c>
      <x:c r="D1139" s="32" t="str">
        <x:v>V2</x:v>
      </x:c>
      <x:c r="E1139" s="86" t="n">
        <x:f>COUNT('31_W2_含水率'!C33,'31_W2_含水率'!E33,'31_W2_含水率'!G33,'31_W2_含水率'!I33)</x:f>
        <x:v>4</x:v>
      </x:c>
      <x:c r="F1139" s="90" t="n">
        <x:f>IF(E1139=0,"",AVERAGE('31_W2_含水率'!C33,'31_W2_含水率'!E33,'31_W2_含水率'!G33,'31_W2_含水率'!I33))</x:f>
        <x:v>37.05</x:v>
      </x:c>
      <x:c r="G1139" s="90" t="n">
        <x:f>IF(E1139&lt;2,"",STDEV.S('31_W2_含水率'!C33,'31_W2_含水率'!E33,'31_W2_含水率'!G33,'31_W2_含水率'!I33))</x:f>
        <x:v>3.957692930652065</x:v>
      </x:c>
      <x:c r="H1139" s="90" t="n">
        <x:f>IF(E1139=0,"",MIN('31_W2_含水率'!C33,'31_W2_含水率'!E33,'31_W2_含水率'!G33,'31_W2_含水率'!I33))</x:f>
        <x:v>32</x:v>
      </x:c>
      <x:c r="I1139" s="90" t="n">
        <x:f>IF(E1139=0,"",MAX('31_W2_含水率'!C33,'31_W2_含水率'!E33,'31_W2_含水率'!G33,'31_W2_含水率'!I33))</x:f>
        <x:v>40.4</x:v>
      </x:c>
      <x:c r="J1139" s="32" t="str">
        <x:v>%</x:v>
      </x:c>
    </x:row>
    <x:row r="1140">
      <x:c r="A1140" s="72" t="n">
        <x:v>46240.903391203705</x:v>
      </x:c>
      <x:c r="B1140" s="32" t="str">
        <x:v>土壤含水率</x:v>
      </x:c>
      <x:c r="C1140" s="32" t="str">
        <x:v>W2</x:v>
      </x:c>
      <x:c r="D1140" s="32" t="str">
        <x:v>V1</x:v>
      </x:c>
      <x:c r="E1140" s="86" t="n">
        <x:f>COUNT('31_W2_含水率'!B34,'31_W2_含水率'!D34,'31_W2_含水率'!F34,'31_W2_含水率'!H34)</x:f>
        <x:v>4</x:v>
      </x:c>
      <x:c r="F1140" s="90" t="n">
        <x:f>IF(E1140=0,"",AVERAGE('31_W2_含水率'!B34,'31_W2_含水率'!D34,'31_W2_含水率'!F34,'31_W2_含水率'!H34))</x:f>
        <x:v>38.075</x:v>
      </x:c>
      <x:c r="G1140" s="90" t="n">
        <x:f>IF(E1140&lt;2,"",STDEV.S('31_W2_含水率'!B34,'31_W2_含水率'!D34,'31_W2_含水率'!F34,'31_W2_含水率'!H34))</x:f>
        <x:v>1.5521490478258433</x:v>
      </x:c>
      <x:c r="H1140" s="90" t="n">
        <x:f>IF(E1140=0,"",MIN('31_W2_含水率'!B34,'31_W2_含水率'!D34,'31_W2_含水率'!F34,'31_W2_含水率'!H34))</x:f>
        <x:v>35.8</x:v>
      </x:c>
      <x:c r="I1140" s="90" t="n">
        <x:f>IF(E1140=0,"",MAX('31_W2_含水率'!B34,'31_W2_含水率'!D34,'31_W2_含水率'!F34,'31_W2_含水率'!H34))</x:f>
        <x:v>39.2</x:v>
      </x:c>
      <x:c r="J1140" s="32" t="str">
        <x:v>%</x:v>
      </x:c>
    </x:row>
    <x:row r="1141">
      <x:c r="A1141" s="72" t="n">
        <x:v>46240.903391203705</x:v>
      </x:c>
      <x:c r="B1141" s="32" t="str">
        <x:v>土壤含水率</x:v>
      </x:c>
      <x:c r="C1141" s="32" t="str">
        <x:v>W2</x:v>
      </x:c>
      <x:c r="D1141" s="32" t="str">
        <x:v>V2</x:v>
      </x:c>
      <x:c r="E1141" s="86" t="n">
        <x:f>COUNT('31_W2_含水率'!C34,'31_W2_含水率'!E34,'31_W2_含水率'!G34,'31_W2_含水率'!I34)</x:f>
        <x:v>4</x:v>
      </x:c>
      <x:c r="F1141" s="90" t="n">
        <x:f>IF(E1141=0,"",AVERAGE('31_W2_含水率'!C34,'31_W2_含水率'!E34,'31_W2_含水率'!G34,'31_W2_含水率'!I34))</x:f>
        <x:v>37.075</x:v>
      </x:c>
      <x:c r="G1141" s="90" t="n">
        <x:f>IF(E1141&lt;2,"",STDEV.S('31_W2_含水率'!C34,'31_W2_含水率'!E34,'31_W2_含水率'!G34,'31_W2_含水率'!I34))</x:f>
        <x:v>3.736642878306675</x:v>
      </x:c>
      <x:c r="H1141" s="90" t="n">
        <x:f>IF(E1141=0,"",MIN('31_W2_含水率'!C34,'31_W2_含水率'!E34,'31_W2_含水率'!G34,'31_W2_含水率'!I34))</x:f>
        <x:v>32.1</x:v>
      </x:c>
      <x:c r="I1141" s="90" t="n">
        <x:f>IF(E1141=0,"",MAX('31_W2_含水率'!C34,'31_W2_含水率'!E34,'31_W2_含水率'!G34,'31_W2_含水率'!I34))</x:f>
        <x:v>40</x:v>
      </x:c>
      <x:c r="J1141" s="32" t="str">
        <x:v>%</x:v>
      </x:c>
    </x:row>
    <x:row r="1142">
      <x:c r="A1142" s="72" t="n">
        <x:v>46240.906863425924</x:v>
      </x:c>
      <x:c r="B1142" s="32" t="str">
        <x:v>土壤含水率</x:v>
      </x:c>
      <x:c r="C1142" s="32" t="str">
        <x:v>W2</x:v>
      </x:c>
      <x:c r="D1142" s="32" t="str">
        <x:v>V1</x:v>
      </x:c>
      <x:c r="E1142" s="86" t="n">
        <x:f>COUNT('31_W2_含水率'!B35,'31_W2_含水率'!D35,'31_W2_含水率'!F35,'31_W2_含水率'!H35)</x:f>
        <x:v>4</x:v>
      </x:c>
      <x:c r="F1142" s="90" t="n">
        <x:f>IF(E1142=0,"",AVERAGE('31_W2_含水率'!B35,'31_W2_含水率'!D35,'31_W2_含水率'!F35,'31_W2_含水率'!H35))</x:f>
        <x:v>38.075</x:v>
      </x:c>
      <x:c r="G1142" s="90" t="n">
        <x:f>IF(E1142&lt;2,"",STDEV.S('31_W2_含水率'!B35,'31_W2_含水率'!D35,'31_W2_含水率'!F35,'31_W2_含水率'!H35))</x:f>
        <x:v>1.3937359864766343</x:v>
      </x:c>
      <x:c r="H1142" s="90" t="n">
        <x:f>IF(E1142=0,"",MIN('31_W2_含水率'!B35,'31_W2_含水率'!D35,'31_W2_含水率'!F35,'31_W2_含水率'!H35))</x:f>
        <x:v>36.2</x:v>
      </x:c>
      <x:c r="I1142" s="90" t="n">
        <x:f>IF(E1142=0,"",MAX('31_W2_含水率'!B35,'31_W2_含水率'!D35,'31_W2_含水率'!F35,'31_W2_含水率'!H35))</x:f>
        <x:v>39.5</x:v>
      </x:c>
      <x:c r="J1142" s="32" t="str">
        <x:v>%</x:v>
      </x:c>
    </x:row>
    <x:row r="1143">
      <x:c r="A1143" s="72" t="n">
        <x:v>46240.906863425924</x:v>
      </x:c>
      <x:c r="B1143" s="32" t="str">
        <x:v>土壤含水率</x:v>
      </x:c>
      <x:c r="C1143" s="32" t="str">
        <x:v>W2</x:v>
      </x:c>
      <x:c r="D1143" s="32" t="str">
        <x:v>V2</x:v>
      </x:c>
      <x:c r="E1143" s="86" t="n">
        <x:f>COUNT('31_W2_含水率'!C35,'31_W2_含水率'!E35,'31_W2_含水率'!G35,'31_W2_含水率'!I35)</x:f>
        <x:v>4</x:v>
      </x:c>
      <x:c r="F1143" s="90" t="n">
        <x:f>IF(E1143=0,"",AVERAGE('31_W2_含水率'!C35,'31_W2_含水率'!E35,'31_W2_含水率'!G35,'31_W2_含水率'!I35))</x:f>
        <x:v>37.075</x:v>
      </x:c>
      <x:c r="G1143" s="90" t="n">
        <x:f>IF(E1143&lt;2,"",STDEV.S('31_W2_含水率'!C35,'31_W2_含水率'!E35,'31_W2_含水率'!G35,'31_W2_含水率'!I35))</x:f>
        <x:v>3.5226647110769216</x:v>
      </x:c>
      <x:c r="H1143" s="90" t="n">
        <x:f>IF(E1143=0,"",MIN('31_W2_含水率'!C35,'31_W2_含水率'!E35,'31_W2_含水率'!G35,'31_W2_含水率'!I35))</x:f>
        <x:v>32.2</x:v>
      </x:c>
      <x:c r="I1143" s="90" t="n">
        <x:f>IF(E1143=0,"",MAX('31_W2_含水率'!C35,'31_W2_含水率'!E35,'31_W2_含水率'!G35,'31_W2_含水率'!I35))</x:f>
        <x:v>39.9</x:v>
      </x:c>
      <x:c r="J1143" s="32" t="str">
        <x:v>%</x:v>
      </x:c>
    </x:row>
    <x:row r="1144">
      <x:c r="A1144" s="72" t="n">
        <x:v>46240.91033564815</x:v>
      </x:c>
      <x:c r="B1144" s="32" t="str">
        <x:v>土壤含水率</x:v>
      </x:c>
      <x:c r="C1144" s="32" t="str">
        <x:v>W2</x:v>
      </x:c>
      <x:c r="D1144" s="32" t="str">
        <x:v>V1</x:v>
      </x:c>
      <x:c r="E1144" s="86" t="n">
        <x:f>COUNT('31_W2_含水率'!B36,'31_W2_含水率'!D36,'31_W2_含水率'!F36,'31_W2_含水率'!H36)</x:f>
        <x:v>4</x:v>
      </x:c>
      <x:c r="F1144" s="90" t="n">
        <x:f>IF(E1144=0,"",AVERAGE('31_W2_含水率'!B36,'31_W2_含水率'!D36,'31_W2_含水率'!F36,'31_W2_含水率'!H36))</x:f>
        <x:v>38.1</x:v>
      </x:c>
      <x:c r="G1144" s="90" t="n">
        <x:f>IF(E1144&lt;2,"",STDEV.S('31_W2_含水率'!B36,'31_W2_含水率'!D36,'31_W2_含水率'!F36,'31_W2_含水率'!H36))</x:f>
        <x:v>1.3880441875771328</x:v>
      </x:c>
      <x:c r="H1144" s="90" t="n">
        <x:f>IF(E1144=0,"",MIN('31_W2_含水率'!B36,'31_W2_含水率'!D36,'31_W2_含水率'!F36,'31_W2_含水率'!H36))</x:f>
        <x:v>36.6</x:v>
      </x:c>
      <x:c r="I1144" s="90" t="n">
        <x:f>IF(E1144=0,"",MAX('31_W2_含水率'!B36,'31_W2_含水率'!D36,'31_W2_含水率'!F36,'31_W2_含水率'!H36))</x:f>
        <x:v>39.9</x:v>
      </x:c>
      <x:c r="J1144" s="32" t="str">
        <x:v>%</x:v>
      </x:c>
    </x:row>
    <x:row r="1145">
      <x:c r="A1145" s="72" t="n">
        <x:v>46240.91033564815</x:v>
      </x:c>
      <x:c r="B1145" s="32" t="str">
        <x:v>土壤含水率</x:v>
      </x:c>
      <x:c r="C1145" s="32" t="str">
        <x:v>W2</x:v>
      </x:c>
      <x:c r="D1145" s="32" t="str">
        <x:v>V2</x:v>
      </x:c>
      <x:c r="E1145" s="86" t="n">
        <x:f>COUNT('31_W2_含水率'!C36,'31_W2_含水率'!E36,'31_W2_含水率'!G36,'31_W2_含水率'!I36)</x:f>
        <x:v>4</x:v>
      </x:c>
      <x:c r="F1145" s="90" t="n">
        <x:f>IF(E1145=0,"",AVERAGE('31_W2_含水率'!C36,'31_W2_含水率'!E36,'31_W2_含水率'!G36,'31_W2_含水率'!I36))</x:f>
        <x:v>37.075</x:v>
      </x:c>
      <x:c r="G1145" s="90" t="n">
        <x:f>IF(E1145&lt;2,"",STDEV.S('31_W2_含水率'!C36,'31_W2_含水率'!E36,'31_W2_含水率'!G36,'31_W2_含水率'!I36))</x:f>
        <x:v>3.2159757461772007</x:v>
      </x:c>
      <x:c r="H1145" s="90" t="n">
        <x:f>IF(E1145=0,"",MIN('31_W2_含水率'!C36,'31_W2_含水率'!E36,'31_W2_含水率'!G36,'31_W2_含水率'!I36))</x:f>
        <x:v>32.5</x:v>
      </x:c>
      <x:c r="I1145" s="90" t="n">
        <x:f>IF(E1145=0,"",MAX('31_W2_含水率'!C36,'31_W2_含水率'!E36,'31_W2_含水率'!G36,'31_W2_含水率'!I36))</x:f>
        <x:v>39.6</x:v>
      </x:c>
      <x:c r="J1145" s="32" t="str">
        <x:v>%</x:v>
      </x:c>
    </x:row>
    <x:row r="1146">
      <x:c r="A1146" s="72" t="n">
        <x:v>46240.91380787037</x:v>
      </x:c>
      <x:c r="B1146" s="32" t="str">
        <x:v>土壤含水率</x:v>
      </x:c>
      <x:c r="C1146" s="32" t="str">
        <x:v>W2</x:v>
      </x:c>
      <x:c r="D1146" s="32" t="str">
        <x:v>V1</x:v>
      </x:c>
      <x:c r="E1146" s="86" t="n">
        <x:f>COUNT('31_W2_含水率'!B37,'31_W2_含水率'!D37,'31_W2_含水率'!F37,'31_W2_含水率'!H37)</x:f>
        <x:v>4</x:v>
      </x:c>
      <x:c r="F1146" s="90" t="n">
        <x:f>IF(E1146=0,"",AVERAGE('31_W2_含水率'!B37,'31_W2_含水率'!D37,'31_W2_含水率'!F37,'31_W2_含水率'!H37))</x:f>
        <x:v>38.099999999999994</x:v>
      </x:c>
      <x:c r="G1146" s="90" t="n">
        <x:f>IF(E1146&lt;2,"",STDEV.S('31_W2_含水率'!B37,'31_W2_含水率'!D37,'31_W2_含水率'!F37,'31_W2_含水率'!H37))</x:f>
        <x:v>1.5979153085609183</x:v>
      </x:c>
      <x:c r="H1146" s="90" t="n">
        <x:f>IF(E1146=0,"",MIN('31_W2_含水率'!B37,'31_W2_含水率'!D37,'31_W2_含水率'!F37,'31_W2_含水率'!H37))</x:f>
        <x:v>36.8</x:v>
      </x:c>
      <x:c r="I1146" s="90" t="n">
        <x:f>IF(E1146=0,"",MAX('31_W2_含水率'!B37,'31_W2_含水率'!D37,'31_W2_含水率'!F37,'31_W2_含水率'!H37))</x:f>
        <x:v>40.4</x:v>
      </x:c>
      <x:c r="J1146" s="32" t="str">
        <x:v>%</x:v>
      </x:c>
    </x:row>
    <x:row r="1147">
      <x:c r="A1147" s="72" t="n">
        <x:v>46240.91380787037</x:v>
      </x:c>
      <x:c r="B1147" s="32" t="str">
        <x:v>土壤含水率</x:v>
      </x:c>
      <x:c r="C1147" s="32" t="str">
        <x:v>W2</x:v>
      </x:c>
      <x:c r="D1147" s="32" t="str">
        <x:v>V2</x:v>
      </x:c>
      <x:c r="E1147" s="86" t="n">
        <x:f>COUNT('31_W2_含水率'!C37,'31_W2_含水率'!E37,'31_W2_含水率'!G37,'31_W2_含水率'!I37)</x:f>
        <x:v>4</x:v>
      </x:c>
      <x:c r="F1147" s="90" t="n">
        <x:f>IF(E1147=0,"",AVERAGE('31_W2_含水率'!C37,'31_W2_含水率'!E37,'31_W2_含水率'!G37,'31_W2_含水率'!I37))</x:f>
        <x:v>37.1</x:v>
      </x:c>
      <x:c r="G1147" s="90" t="n">
        <x:f>IF(E1147&lt;2,"",STDEV.S('31_W2_含水率'!C37,'31_W2_含水率'!E37,'31_W2_含水率'!G37,'31_W2_含水率'!I37))</x:f>
        <x:v>2.88559641437722</x:v>
      </x:c>
      <x:c r="H1147" s="90" t="n">
        <x:f>IF(E1147=0,"",MIN('31_W2_含水率'!C37,'31_W2_含水率'!E37,'31_W2_含水率'!G37,'31_W2_含水率'!I37))</x:f>
        <x:v>32.9</x:v>
      </x:c>
      <x:c r="I1147" s="90" t="n">
        <x:f>IF(E1147=0,"",MAX('31_W2_含水率'!C37,'31_W2_含水率'!E37,'31_W2_含水率'!G37,'31_W2_含水率'!I37))</x:f>
        <x:v>39.3</x:v>
      </x:c>
      <x:c r="J1147" s="32" t="str">
        <x:v>%</x:v>
      </x:c>
    </x:row>
    <x:row r="1148">
      <x:c r="A1148" s="72" t="n">
        <x:v>46240.917280092595</x:v>
      </x:c>
      <x:c r="B1148" s="32" t="str">
        <x:v>土壤含水率</x:v>
      </x:c>
      <x:c r="C1148" s="32" t="str">
        <x:v>W2</x:v>
      </x:c>
      <x:c r="D1148" s="32" t="str">
        <x:v>V1</x:v>
      </x:c>
      <x:c r="E1148" s="86" t="n">
        <x:f>COUNT('31_W2_含水率'!B38,'31_W2_含水率'!D38,'31_W2_含水率'!F38,'31_W2_含水率'!H38)</x:f>
        <x:v>4</x:v>
      </x:c>
      <x:c r="F1148" s="90" t="n">
        <x:f>IF(E1148=0,"",AVERAGE('31_W2_含水率'!B38,'31_W2_含水率'!D38,'31_W2_含水率'!F38,'31_W2_含水率'!H38))</x:f>
        <x:v>38.075</x:v>
      </x:c>
      <x:c r="G1148" s="90" t="n">
        <x:f>IF(E1148&lt;2,"",STDEV.S('31_W2_含水率'!B38,'31_W2_含水率'!D38,'31_W2_含水率'!F38,'31_W2_含水率'!H38))</x:f>
        <x:v>1.824600412875833</x:v>
      </x:c>
      <x:c r="H1148" s="90" t="n">
        <x:f>IF(E1148=0,"",MIN('31_W2_含水率'!B38,'31_W2_含水率'!D38,'31_W2_含水率'!F38,'31_W2_含水率'!H38))</x:f>
        <x:v>37</x:v>
      </x:c>
      <x:c r="I1148" s="90" t="n">
        <x:f>IF(E1148=0,"",MAX('31_W2_含水率'!B38,'31_W2_含水率'!D38,'31_W2_含水率'!F38,'31_W2_含水率'!H38))</x:f>
        <x:v>40.8</x:v>
      </x:c>
      <x:c r="J1148" s="32" t="str">
        <x:v>%</x:v>
      </x:c>
    </x:row>
    <x:row r="1149">
      <x:c r="A1149" s="72" t="n">
        <x:v>46240.917280092595</x:v>
      </x:c>
      <x:c r="B1149" s="32" t="str">
        <x:v>土壤含水率</x:v>
      </x:c>
      <x:c r="C1149" s="32" t="str">
        <x:v>W2</x:v>
      </x:c>
      <x:c r="D1149" s="32" t="str">
        <x:v>V2</x:v>
      </x:c>
      <x:c r="E1149" s="86" t="n">
        <x:f>COUNT('31_W2_含水率'!C38,'31_W2_含水率'!E38,'31_W2_含水率'!G38,'31_W2_含水率'!I38)</x:f>
        <x:v>4</x:v>
      </x:c>
      <x:c r="F1149" s="90" t="n">
        <x:f>IF(E1149=0,"",AVERAGE('31_W2_含水率'!C38,'31_W2_含水率'!E38,'31_W2_含水率'!G38,'31_W2_含水率'!I38))</x:f>
        <x:v>37.099999999999994</x:v>
      </x:c>
      <x:c r="G1149" s="90" t="n">
        <x:f>IF(E1149&lt;2,"",STDEV.S('31_W2_含水率'!C38,'31_W2_含水率'!E38,'31_W2_含水率'!G38,'31_W2_含水率'!I38))</x:f>
        <x:v>2.5073226092121983</x:v>
      </x:c>
      <x:c r="H1149" s="90" t="n">
        <x:f>IF(E1149=0,"",MIN('31_W2_含水率'!C38,'31_W2_含水率'!E38,'31_W2_含水率'!G38,'31_W2_含水率'!I38))</x:f>
        <x:v>33.4</x:v>
      </x:c>
      <x:c r="I1149" s="90" t="n">
        <x:f>IF(E1149=0,"",MAX('31_W2_含水率'!C38,'31_W2_含水率'!E38,'31_W2_含水率'!G38,'31_W2_含水率'!I38))</x:f>
        <x:v>38.9</x:v>
      </x:c>
      <x:c r="J1149" s="32" t="str">
        <x:v>%</x:v>
      </x:c>
    </x:row>
    <x:row r="1150">
      <x:c r="A1150" s="72" t="n">
        <x:v>46240.920752314814</x:v>
      </x:c>
      <x:c r="B1150" s="32" t="str">
        <x:v>土壤含水率</x:v>
      </x:c>
      <x:c r="C1150" s="32" t="str">
        <x:v>W2</x:v>
      </x:c>
      <x:c r="D1150" s="32" t="str">
        <x:v>V1</x:v>
      </x:c>
      <x:c r="E1150" s="86" t="n">
        <x:f>COUNT('31_W2_含水率'!B39,'31_W2_含水率'!D39,'31_W2_含水率'!F39,'31_W2_含水率'!H39)</x:f>
        <x:v>4</x:v>
      </x:c>
      <x:c r="F1150" s="90" t="n">
        <x:f>IF(E1150=0,"",AVERAGE('31_W2_含水率'!B39,'31_W2_含水率'!D39,'31_W2_含水率'!F39,'31_W2_含水率'!H39))</x:f>
        <x:v>38.05</x:v>
      </x:c>
      <x:c r="G1150" s="90" t="n">
        <x:f>IF(E1150&lt;2,"",STDEV.S('31_W2_含水率'!B39,'31_W2_含水率'!D39,'31_W2_含水率'!F39,'31_W2_含水率'!H39))</x:f>
        <x:v>2.167179426505028</x:v>
      </x:c>
      <x:c r="H1150" s="90" t="n">
        <x:f>IF(E1150=0,"",MIN('31_W2_含水率'!B39,'31_W2_含水率'!D39,'31_W2_含水率'!F39,'31_W2_含水率'!H39))</x:f>
        <x:v>36.9</x:v>
      </x:c>
      <x:c r="I1150" s="90" t="n">
        <x:f>IF(E1150=0,"",MAX('31_W2_含水率'!B39,'31_W2_含水率'!D39,'31_W2_含水率'!F39,'31_W2_含水率'!H39))</x:f>
        <x:v>41.3</x:v>
      </x:c>
      <x:c r="J1150" s="32" t="str">
        <x:v>%</x:v>
      </x:c>
    </x:row>
    <x:row r="1151">
      <x:c r="A1151" s="72" t="n">
        <x:v>46240.920752314814</x:v>
      </x:c>
      <x:c r="B1151" s="32" t="str">
        <x:v>土壤含水率</x:v>
      </x:c>
      <x:c r="C1151" s="32" t="str">
        <x:v>W2</x:v>
      </x:c>
      <x:c r="D1151" s="32" t="str">
        <x:v>V2</x:v>
      </x:c>
      <x:c r="E1151" s="86" t="n">
        <x:f>COUNT('31_W2_含水率'!C39,'31_W2_含水率'!E39,'31_W2_含水率'!G39,'31_W2_含水率'!I39)</x:f>
        <x:v>4</x:v>
      </x:c>
      <x:c r="F1151" s="90" t="n">
        <x:f>IF(E1151=0,"",AVERAGE('31_W2_含水率'!C39,'31_W2_含水率'!E39,'31_W2_含水率'!G39,'31_W2_含水率'!I39))</x:f>
        <x:v>37.075</x:v>
      </x:c>
      <x:c r="G1151" s="90" t="n">
        <x:f>IF(E1151&lt;2,"",STDEV.S('31_W2_含水率'!C39,'31_W2_含水率'!E39,'31_W2_含水率'!G39,'31_W2_含水率'!I39))</x:f>
        <x:v>2.189939116353087</x:v>
      </x:c>
      <x:c r="H1151" s="90" t="n">
        <x:f>IF(E1151=0,"",MIN('31_W2_含水率'!C39,'31_W2_含水率'!E39,'31_W2_含水率'!G39,'31_W2_含水率'!I39))</x:f>
        <x:v>33.8</x:v>
      </x:c>
      <x:c r="I1151" s="90" t="n">
        <x:f>IF(E1151=0,"",MAX('31_W2_含水率'!C39,'31_W2_含水率'!E39,'31_W2_含水率'!G39,'31_W2_含水率'!I39))</x:f>
        <x:v>38.4</x:v>
      </x:c>
      <x:c r="J1151" s="32" t="str">
        <x:v>%</x:v>
      </x:c>
    </x:row>
    <x:row r="1152">
      <x:c r="A1152" s="72" t="n">
        <x:v>46240.92422453704</x:v>
      </x:c>
      <x:c r="B1152" s="32" t="str">
        <x:v>土壤含水率</x:v>
      </x:c>
      <x:c r="C1152" s="32" t="str">
        <x:v>W2</x:v>
      </x:c>
      <x:c r="D1152" s="32" t="str">
        <x:v>V1</x:v>
      </x:c>
      <x:c r="E1152" s="86" t="n">
        <x:f>COUNT('31_W2_含水率'!B40,'31_W2_含水率'!D40,'31_W2_含水率'!F40,'31_W2_含水率'!H40)</x:f>
        <x:v>4</x:v>
      </x:c>
      <x:c r="F1152" s="90" t="n">
        <x:f>IF(E1152=0,"",AVERAGE('31_W2_含水率'!B40,'31_W2_含水率'!D40,'31_W2_含水率'!F40,'31_W2_含水率'!H40))</x:f>
        <x:v>38.025000000000006</x:v>
      </x:c>
      <x:c r="G1152" s="90" t="n">
        <x:f>IF(E1152&lt;2,"",STDEV.S('31_W2_含水率'!B40,'31_W2_含水率'!D40,'31_W2_含水率'!F40,'31_W2_含水率'!H40))</x:f>
        <x:v>2.530316185775998</x:v>
      </x:c>
      <x:c r="H1152" s="90" t="n">
        <x:f>IF(E1152=0,"",MIN('31_W2_含水率'!B40,'31_W2_含水率'!D40,'31_W2_含水率'!F40,'31_W2_含水率'!H40))</x:f>
        <x:v>36.4</x:v>
      </x:c>
      <x:c r="I1152" s="90" t="n">
        <x:f>IF(E1152=0,"",MAX('31_W2_含水率'!B40,'31_W2_含水率'!D40,'31_W2_含水率'!F40,'31_W2_含水率'!H40))</x:f>
        <x:v>41.8</x:v>
      </x:c>
      <x:c r="J1152" s="32" t="str">
        <x:v>%</x:v>
      </x:c>
    </x:row>
    <x:row r="1153">
      <x:c r="A1153" s="72" t="n">
        <x:v>46240.92422453704</x:v>
      </x:c>
      <x:c r="B1153" s="32" t="str">
        <x:v>土壤含水率</x:v>
      </x:c>
      <x:c r="C1153" s="32" t="str">
        <x:v>W2</x:v>
      </x:c>
      <x:c r="D1153" s="32" t="str">
        <x:v>V2</x:v>
      </x:c>
      <x:c r="E1153" s="86" t="n">
        <x:f>COUNT('31_W2_含水率'!C40,'31_W2_含水率'!E40,'31_W2_含水率'!G40,'31_W2_含水率'!I40)</x:f>
        <x:v>4</x:v>
      </x:c>
      <x:c r="F1153" s="90" t="n">
        <x:f>IF(E1153=0,"",AVERAGE('31_W2_含水率'!C40,'31_W2_含水率'!E40,'31_W2_含水率'!G40,'31_W2_含水率'!I40))</x:f>
        <x:v>37.05</x:v>
      </x:c>
      <x:c r="G1153" s="90" t="n">
        <x:f>IF(E1153&lt;2,"",STDEV.S('31_W2_含水率'!C40,'31_W2_含水率'!E40,'31_W2_含水率'!G40,'31_W2_含水率'!I40))</x:f>
        <x:v>1.8339392937971906</x:v>
      </x:c>
      <x:c r="H1153" s="90" t="n">
        <x:f>IF(E1153=0,"",MIN('31_W2_含水率'!C40,'31_W2_含水率'!E40,'31_W2_含水率'!G40,'31_W2_含水率'!I40))</x:f>
        <x:v>34.3</x:v>
      </x:c>
      <x:c r="I1153" s="90" t="n">
        <x:f>IF(E1153=0,"",MAX('31_W2_含水率'!C40,'31_W2_含水率'!E40,'31_W2_含水率'!G40,'31_W2_含水率'!I40))</x:f>
        <x:v>38</x:v>
      </x:c>
      <x:c r="J1153" s="32" t="str">
        <x:v>%</x:v>
      </x:c>
    </x:row>
    <x:row r="1154">
      <x:c r="A1154" s="72" t="n">
        <x:v>46240.92769675926</x:v>
      </x:c>
      <x:c r="B1154" s="32" t="str">
        <x:v>土壤含水率</x:v>
      </x:c>
      <x:c r="C1154" s="32" t="str">
        <x:v>W2</x:v>
      </x:c>
      <x:c r="D1154" s="32" t="str">
        <x:v>V1</x:v>
      </x:c>
      <x:c r="E1154" s="86" t="n">
        <x:f>COUNT('31_W2_含水率'!B41,'31_W2_含水率'!D41,'31_W2_含水率'!F41,'31_W2_含水率'!H41)</x:f>
        <x:v>4</x:v>
      </x:c>
      <x:c r="F1154" s="90" t="n">
        <x:f>IF(E1154=0,"",AVERAGE('31_W2_含水率'!B41,'31_W2_含水率'!D41,'31_W2_含水率'!F41,'31_W2_含水率'!H41))</x:f>
        <x:v>38</x:v>
      </x:c>
      <x:c r="G1154" s="90" t="n">
        <x:f>IF(E1154&lt;2,"",STDEV.S('31_W2_含水率'!B41,'31_W2_含水率'!D41,'31_W2_含水率'!F41,'31_W2_含水率'!H41))</x:f>
        <x:v>2.84253408071038</x:v>
      </x:c>
      <x:c r="H1154" s="90" t="n">
        <x:f>IF(E1154=0,"",MIN('31_W2_含水率'!B41,'31_W2_含水率'!D41,'31_W2_含水率'!F41,'31_W2_含水率'!H41))</x:f>
        <x:v>36</x:v>
      </x:c>
      <x:c r="I1154" s="90" t="n">
        <x:f>IF(E1154=0,"",MAX('31_W2_含水率'!B41,'31_W2_含水率'!D41,'31_W2_含水率'!F41,'31_W2_含水率'!H41))</x:f>
        <x:v>42.2</x:v>
      </x:c>
      <x:c r="J1154" s="32" t="str">
        <x:v>%</x:v>
      </x:c>
    </x:row>
    <x:row r="1155">
      <x:c r="A1155" s="72" t="n">
        <x:v>46240.92769675926</x:v>
      </x:c>
      <x:c r="B1155" s="32" t="str">
        <x:v>土壤含水率</x:v>
      </x:c>
      <x:c r="C1155" s="32" t="str">
        <x:v>W2</x:v>
      </x:c>
      <x:c r="D1155" s="32" t="str">
        <x:v>V2</x:v>
      </x:c>
      <x:c r="E1155" s="86" t="n">
        <x:f>COUNT('31_W2_含水率'!C41,'31_W2_含水率'!E41,'31_W2_含水率'!G41,'31_W2_含水率'!I41)</x:f>
        <x:v>4</x:v>
      </x:c>
      <x:c r="F1155" s="90" t="n">
        <x:f>IF(E1155=0,"",AVERAGE('31_W2_含水率'!C41,'31_W2_含水率'!E41,'31_W2_含水率'!G41,'31_W2_含水率'!I41))</x:f>
        <x:v>37.025000000000006</x:v>
      </x:c>
      <x:c r="G1155" s="90" t="n">
        <x:f>IF(E1155&lt;2,"",STDEV.S('31_W2_含水率'!C41,'31_W2_含水率'!E41,'31_W2_含水率'!G41,'31_W2_含水率'!I41))</x:f>
        <x:v>1.5063753405664437</x:v>
      </x:c>
      <x:c r="H1155" s="90" t="n">
        <x:f>IF(E1155=0,"",MIN('31_W2_含水率'!C41,'31_W2_含水率'!E41,'31_W2_含水率'!G41,'31_W2_含水率'!I41))</x:f>
        <x:v>34.8</x:v>
      </x:c>
      <x:c r="I1155" s="90" t="n">
        <x:f>IF(E1155=0,"",MAX('31_W2_含水率'!C41,'31_W2_含水率'!E41,'31_W2_含水率'!G41,'31_W2_含水率'!I41))</x:f>
        <x:v>38</x:v>
      </x:c>
      <x:c r="J1155" s="32" t="str">
        <x:v>%</x:v>
      </x:c>
    </x:row>
    <x:row r="1156">
      <x:c r="A1156" s="72" t="n">
        <x:v>46240.93116898148</x:v>
      </x:c>
      <x:c r="B1156" s="32" t="str">
        <x:v>土壤含水率</x:v>
      </x:c>
      <x:c r="C1156" s="32" t="str">
        <x:v>W2</x:v>
      </x:c>
      <x:c r="D1156" s="32" t="str">
        <x:v>V1</x:v>
      </x:c>
      <x:c r="E1156" s="86" t="n">
        <x:f>COUNT('31_W2_含水率'!B42,'31_W2_含水率'!D42,'31_W2_含水率'!F42,'31_W2_含水率'!H42)</x:f>
        <x:v>4</x:v>
      </x:c>
      <x:c r="F1156" s="90" t="n">
        <x:f>IF(E1156=0,"",AVERAGE('31_W2_含水率'!B42,'31_W2_含水率'!D42,'31_W2_含水率'!F42,'31_W2_含水率'!H42))</x:f>
        <x:v>38</x:v>
      </x:c>
      <x:c r="G1156" s="90" t="n">
        <x:f>IF(E1156&lt;2,"",STDEV.S('31_W2_含水率'!B42,'31_W2_含水率'!D42,'31_W2_含水率'!F42,'31_W2_含水率'!H42))</x:f>
        <x:v>3.1654383582688834</x:v>
      </x:c>
      <x:c r="H1156" s="90" t="n">
        <x:f>IF(E1156=0,"",MIN('31_W2_含水率'!B42,'31_W2_含水率'!D42,'31_W2_含水率'!F42,'31_W2_含水率'!H42))</x:f>
        <x:v>35.6</x:v>
      </x:c>
      <x:c r="I1156" s="90" t="n">
        <x:f>IF(E1156=0,"",MAX('31_W2_含水率'!B42,'31_W2_含水率'!D42,'31_W2_含水率'!F42,'31_W2_含水率'!H42))</x:f>
        <x:v>42.6</x:v>
      </x:c>
      <x:c r="J1156" s="32" t="str">
        <x:v>%</x:v>
      </x:c>
    </x:row>
    <x:row r="1157">
      <x:c r="A1157" s="72" t="n">
        <x:v>46240.93116898148</x:v>
      </x:c>
      <x:c r="B1157" s="32" t="str">
        <x:v>土壤含水率</x:v>
      </x:c>
      <x:c r="C1157" s="32" t="str">
        <x:v>W2</x:v>
      </x:c>
      <x:c r="D1157" s="32" t="str">
        <x:v>V2</x:v>
      </x:c>
      <x:c r="E1157" s="86" t="n">
        <x:f>COUNT('31_W2_含水率'!C42,'31_W2_含水率'!E42,'31_W2_含水率'!G42,'31_W2_含水率'!I42)</x:f>
        <x:v>4</x:v>
      </x:c>
      <x:c r="F1157" s="90" t="n">
        <x:f>IF(E1157=0,"",AVERAGE('31_W2_含水率'!C42,'31_W2_含水率'!E42,'31_W2_含水率'!G42,'31_W2_含水率'!I42))</x:f>
        <x:v>37</x:v>
      </x:c>
      <x:c r="G1157" s="90" t="n">
        <x:f>IF(E1157&lt;2,"",STDEV.S('31_W2_含水率'!C42,'31_W2_含水率'!E42,'31_W2_含水率'!G42,'31_W2_含水率'!I42))</x:f>
        <x:v>1.296148139681572</x:v>
      </x:c>
      <x:c r="H1157" s="90" t="n">
        <x:f>IF(E1157=0,"",MIN('31_W2_含水率'!C42,'31_W2_含水率'!E42,'31_W2_含水率'!G42,'31_W2_含水率'!I42))</x:f>
        <x:v>35.2</x:v>
      </x:c>
      <x:c r="I1157" s="90" t="n">
        <x:f>IF(E1157=0,"",MAX('31_W2_含水率'!C42,'31_W2_含水率'!E42,'31_W2_含水率'!G42,'31_W2_含水率'!I42))</x:f>
        <x:v>38.2</x:v>
      </x:c>
      <x:c r="J1157" s="32" t="str">
        <x:v>%</x:v>
      </x:c>
    </x:row>
    <x:row r="1158">
      <x:c r="A1158" s="72" t="n">
        <x:v>46240.934641203705</x:v>
      </x:c>
      <x:c r="B1158" s="32" t="str">
        <x:v>土壤含水率</x:v>
      </x:c>
      <x:c r="C1158" s="32" t="str">
        <x:v>W2</x:v>
      </x:c>
      <x:c r="D1158" s="32" t="str">
        <x:v>V1</x:v>
      </x:c>
      <x:c r="E1158" s="86" t="n">
        <x:f>COUNT('31_W2_含水率'!B43,'31_W2_含水率'!D43,'31_W2_含水率'!F43,'31_W2_含水率'!H43)</x:f>
        <x:v>4</x:v>
      </x:c>
      <x:c r="F1158" s="90" t="n">
        <x:f>IF(E1158=0,"",AVERAGE('31_W2_含水率'!B43,'31_W2_含水率'!D43,'31_W2_含水率'!F43,'31_W2_含水率'!H43))</x:f>
        <x:v>37.974999999999994</x:v>
      </x:c>
      <x:c r="G1158" s="90" t="n">
        <x:f>IF(E1158&lt;2,"",STDEV.S('31_W2_含水率'!B43,'31_W2_含水率'!D43,'31_W2_含水率'!F43,'31_W2_含水率'!H43))</x:f>
        <x:v>3.4033072150483266</x:v>
      </x:c>
      <x:c r="H1158" s="90" t="n">
        <x:f>IF(E1158=0,"",MIN('31_W2_含水率'!B43,'31_W2_含水率'!D43,'31_W2_含水率'!F43,'31_W2_含水率'!H43))</x:f>
        <x:v>35.3</x:v>
      </x:c>
      <x:c r="I1158" s="90" t="n">
        <x:f>IF(E1158=0,"",MAX('31_W2_含水率'!B43,'31_W2_含水率'!D43,'31_W2_含水率'!F43,'31_W2_含水率'!H43))</x:f>
        <x:v>42.8</x:v>
      </x:c>
      <x:c r="J1158" s="32" t="str">
        <x:v>%</x:v>
      </x:c>
    </x:row>
    <x:row r="1159">
      <x:c r="A1159" s="72" t="n">
        <x:v>46240.934641203705</x:v>
      </x:c>
      <x:c r="B1159" s="32" t="str">
        <x:v>土壤含水率</x:v>
      </x:c>
      <x:c r="C1159" s="32" t="str">
        <x:v>W2</x:v>
      </x:c>
      <x:c r="D1159" s="32" t="str">
        <x:v>V2</x:v>
      </x:c>
      <x:c r="E1159" s="86" t="n">
        <x:f>COUNT('31_W2_含水率'!C43,'31_W2_含水率'!E43,'31_W2_含水率'!G43,'31_W2_含水率'!I43)</x:f>
        <x:v>4</x:v>
      </x:c>
      <x:c r="F1159" s="90" t="n">
        <x:f>IF(E1159=0,"",AVERAGE('31_W2_含水率'!C43,'31_W2_含水率'!E43,'31_W2_含水率'!G43,'31_W2_含水率'!I43))</x:f>
        <x:v>37</x:v>
      </x:c>
      <x:c r="G1159" s="90" t="n">
        <x:f>IF(E1159&lt;2,"",STDEV.S('31_W2_含水率'!C43,'31_W2_含水率'!E43,'31_W2_含水率'!G43,'31_W2_含水率'!I43))</x:f>
        <x:v>1.2192894105447911</x:v>
      </x:c>
      <x:c r="H1159" s="90" t="n">
        <x:f>IF(E1159=0,"",MIN('31_W2_含水率'!C43,'31_W2_含水率'!E43,'31_W2_含水率'!G43,'31_W2_含水率'!I43))</x:f>
        <x:v>35.6</x:v>
      </x:c>
      <x:c r="I1159" s="90" t="n">
        <x:f>IF(E1159=0,"",MAX('31_W2_含水率'!C43,'31_W2_含水率'!E43,'31_W2_含水率'!G43,'31_W2_含水率'!I43))</x:f>
        <x:v>38.5</x:v>
      </x:c>
      <x:c r="J1159" s="32" t="str">
        <x:v>%</x:v>
      </x:c>
    </x:row>
    <x:row r="1160">
      <x:c r="A1160" s="72" t="n">
        <x:v>46240.938113425924</x:v>
      </x:c>
      <x:c r="B1160" s="32" t="str">
        <x:v>土壤含水率</x:v>
      </x:c>
      <x:c r="C1160" s="32" t="str">
        <x:v>W2</x:v>
      </x:c>
      <x:c r="D1160" s="32" t="str">
        <x:v>V1</x:v>
      </x:c>
      <x:c r="E1160" s="86" t="n">
        <x:f>COUNT('31_W2_含水率'!B44,'31_W2_含水率'!D44,'31_W2_含水率'!F44,'31_W2_含水率'!H44)</x:f>
        <x:v>4</x:v>
      </x:c>
      <x:c r="F1160" s="90" t="n">
        <x:f>IF(E1160=0,"",AVERAGE('31_W2_含水率'!B44,'31_W2_含水率'!D44,'31_W2_含水率'!F44,'31_W2_含水率'!H44))</x:f>
        <x:v>37.95</x:v>
      </x:c>
      <x:c r="G1160" s="90" t="n">
        <x:f>IF(E1160&lt;2,"",STDEV.S('31_W2_含水率'!B44,'31_W2_含水率'!D44,'31_W2_含水率'!F44,'31_W2_含水率'!H44))</x:f>
        <x:v>3.662876829305985</x:v>
      </x:c>
      <x:c r="H1160" s="90" t="n">
        <x:f>IF(E1160=0,"",MIN('31_W2_含水率'!B44,'31_W2_含水率'!D44,'31_W2_含水率'!F44,'31_W2_含水率'!H44))</x:f>
        <x:v>35.1</x:v>
      </x:c>
      <x:c r="I1160" s="90" t="n">
        <x:f>IF(E1160=0,"",MAX('31_W2_含水率'!B44,'31_W2_含水率'!D44,'31_W2_含水率'!F44,'31_W2_含水率'!H44))</x:f>
        <x:v>43</x:v>
      </x:c>
      <x:c r="J1160" s="32" t="str">
        <x:v>%</x:v>
      </x:c>
    </x:row>
    <x:row r="1161">
      <x:c r="A1161" s="72" t="n">
        <x:v>46240.938113425924</x:v>
      </x:c>
      <x:c r="B1161" s="32" t="str">
        <x:v>土壤含水率</x:v>
      </x:c>
      <x:c r="C1161" s="32" t="str">
        <x:v>W2</x:v>
      </x:c>
      <x:c r="D1161" s="32" t="str">
        <x:v>V2</x:v>
      </x:c>
      <x:c r="E1161" s="86" t="n">
        <x:f>COUNT('31_W2_含水率'!C44,'31_W2_含水率'!E44,'31_W2_含水率'!G44,'31_W2_含水率'!I44)</x:f>
        <x:v>4</x:v>
      </x:c>
      <x:c r="F1161" s="90" t="n">
        <x:f>IF(E1161=0,"",AVERAGE('31_W2_含水率'!C44,'31_W2_含水率'!E44,'31_W2_含水率'!G44,'31_W2_含水率'!I44))</x:f>
        <x:v>36.974999999999994</x:v>
      </x:c>
      <x:c r="G1161" s="90" t="n">
        <x:f>IF(E1161&lt;2,"",STDEV.S('31_W2_含水率'!C44,'31_W2_含水率'!E44,'31_W2_含水率'!G44,'31_W2_含水率'!I44))</x:f>
        <x:v>1.3598406769422173</x:v>
      </x:c>
      <x:c r="H1161" s="90" t="n">
        <x:f>IF(E1161=0,"",MIN('31_W2_含水率'!C44,'31_W2_含水率'!E44,'31_W2_含水率'!G44,'31_W2_含水率'!I44))</x:f>
        <x:v>35.8</x:v>
      </x:c>
      <x:c r="I1161" s="90" t="n">
        <x:f>IF(E1161=0,"",MAX('31_W2_含水率'!C44,'31_W2_含水率'!E44,'31_W2_含水率'!G44,'31_W2_含水率'!I44))</x:f>
        <x:v>38.9</x:v>
      </x:c>
      <x:c r="J1161" s="32" t="str">
        <x:v>%</x:v>
      </x:c>
    </x:row>
    <x:row r="1162">
      <x:c r="A1162" s="72" t="n">
        <x:v>46240.94158564815</x:v>
      </x:c>
      <x:c r="B1162" s="32" t="str">
        <x:v>土壤含水率</x:v>
      </x:c>
      <x:c r="C1162" s="32" t="str">
        <x:v>W2</x:v>
      </x:c>
      <x:c r="D1162" s="32" t="str">
        <x:v>V1</x:v>
      </x:c>
      <x:c r="E1162" s="86" t="n">
        <x:f>COUNT('31_W2_含水率'!B45,'31_W2_含水率'!D45,'31_W2_含水率'!F45,'31_W2_含水率'!H45)</x:f>
        <x:v>4</x:v>
      </x:c>
      <x:c r="F1162" s="90" t="n">
        <x:f>IF(E1162=0,"",AVERAGE('31_W2_含水率'!B45,'31_W2_含水率'!D45,'31_W2_含水率'!F45,'31_W2_含水率'!H45))</x:f>
        <x:v>37.925</x:v>
      </x:c>
      <x:c r="G1162" s="90" t="n">
        <x:f>IF(E1162&lt;2,"",STDEV.S('31_W2_含水率'!B45,'31_W2_含水率'!D45,'31_W2_含水率'!F45,'31_W2_含水率'!H45))</x:f>
        <x:v>3.8395963329495983</x:v>
      </x:c>
      <x:c r="H1162" s="90" t="n">
        <x:f>IF(E1162=0,"",MIN('31_W2_含水率'!B45,'31_W2_含水率'!D45,'31_W2_含水率'!F45,'31_W2_含水率'!H45))</x:f>
        <x:v>34.9</x:v>
      </x:c>
      <x:c r="I1162" s="90" t="n">
        <x:f>IF(E1162=0,"",MAX('31_W2_含水率'!B45,'31_W2_含水率'!D45,'31_W2_含水率'!F45,'31_W2_含水率'!H45))</x:f>
        <x:v>43</x:v>
      </x:c>
      <x:c r="J1162" s="32" t="str">
        <x:v>%</x:v>
      </x:c>
    </x:row>
    <x:row r="1163">
      <x:c r="A1163" s="72" t="n">
        <x:v>46240.94158564815</x:v>
      </x:c>
      <x:c r="B1163" s="32" t="str">
        <x:v>土壤含水率</x:v>
      </x:c>
      <x:c r="C1163" s="32" t="str">
        <x:v>W2</x:v>
      </x:c>
      <x:c r="D1163" s="32" t="str">
        <x:v>V2</x:v>
      </x:c>
      <x:c r="E1163" s="86" t="n">
        <x:f>COUNT('31_W2_含水率'!C45,'31_W2_含水率'!E45,'31_W2_含水率'!G45,'31_W2_含水率'!I45)</x:f>
        <x:v>4</x:v>
      </x:c>
      <x:c r="F1163" s="90" t="n">
        <x:f>IF(E1163=0,"",AVERAGE('31_W2_含水率'!C45,'31_W2_含水率'!E45,'31_W2_含水率'!G45,'31_W2_含水率'!I45))</x:f>
        <x:v>36.95</x:v>
      </x:c>
      <x:c r="G1163" s="90" t="n">
        <x:f>IF(E1163&lt;2,"",STDEV.S('31_W2_含水率'!C45,'31_W2_含水率'!E45,'31_W2_含水率'!G45,'31_W2_含水率'!I45))</x:f>
        <x:v>1.5758595538097069</x:v>
      </x:c>
      <x:c r="H1163" s="90" t="n">
        <x:f>IF(E1163=0,"",MIN('31_W2_含水率'!C45,'31_W2_含水率'!E45,'31_W2_含水率'!G45,'31_W2_含水率'!I45))</x:f>
        <x:v>36</x:v>
      </x:c>
      <x:c r="I1163" s="90" t="n">
        <x:f>IF(E1163=0,"",MAX('31_W2_含水率'!C45,'31_W2_含水率'!E45,'31_W2_含水率'!G45,'31_W2_含水率'!I45))</x:f>
        <x:v>39.3</x:v>
      </x:c>
      <x:c r="J1163" s="32" t="str">
        <x:v>%</x:v>
      </x:c>
    </x:row>
    <x:row r="1164">
      <x:c r="A1164" s="72" t="n">
        <x:v>46240.94505787037</x:v>
      </x:c>
      <x:c r="B1164" s="32" t="str">
        <x:v>土壤含水率</x:v>
      </x:c>
      <x:c r="C1164" s="32" t="str">
        <x:v>W2</x:v>
      </x:c>
      <x:c r="D1164" s="32" t="str">
        <x:v>V1</x:v>
      </x:c>
      <x:c r="E1164" s="86" t="n">
        <x:f>COUNT('31_W2_含水率'!B46,'31_W2_含水率'!D46,'31_W2_含水率'!F46,'31_W2_含水率'!H46)</x:f>
        <x:v>4</x:v>
      </x:c>
      <x:c r="F1164" s="90" t="n">
        <x:f>IF(E1164=0,"",AVERAGE('31_W2_含水率'!B46,'31_W2_含水率'!D46,'31_W2_含水率'!F46,'31_W2_含水率'!H46))</x:f>
        <x:v>37.9</x:v>
      </x:c>
      <x:c r="G1164" s="90" t="n">
        <x:f>IF(E1164&lt;2,"",STDEV.S('31_W2_含水率'!B46,'31_W2_含水率'!D46,'31_W2_含水率'!F46,'31_W2_含水率'!H46))</x:f>
        <x:v>3.98413520520242</x:v>
      </x:c>
      <x:c r="H1164" s="90" t="n">
        <x:f>IF(E1164=0,"",MIN('31_W2_含水率'!B46,'31_W2_含水率'!D46,'31_W2_含水率'!F46,'31_W2_含水率'!H46))</x:f>
        <x:v>34.4</x:v>
      </x:c>
      <x:c r="I1164" s="90" t="n">
        <x:f>IF(E1164=0,"",MAX('31_W2_含水率'!B46,'31_W2_含水率'!D46,'31_W2_含水率'!F46,'31_W2_含水率'!H46))</x:f>
        <x:v>42.9</x:v>
      </x:c>
      <x:c r="J1164" s="32" t="str">
        <x:v>%</x:v>
      </x:c>
    </x:row>
    <x:row r="1165">
      <x:c r="A1165" s="72" t="n">
        <x:v>46240.94505787037</x:v>
      </x:c>
      <x:c r="B1165" s="32" t="str">
        <x:v>土壤含水率</x:v>
      </x:c>
      <x:c r="C1165" s="32" t="str">
        <x:v>W2</x:v>
      </x:c>
      <x:c r="D1165" s="32" t="str">
        <x:v>V2</x:v>
      </x:c>
      <x:c r="E1165" s="86" t="n">
        <x:f>COUNT('31_W2_含水率'!C46,'31_W2_含水率'!E46,'31_W2_含水率'!G46,'31_W2_含水率'!I46)</x:f>
        <x:v>4</x:v>
      </x:c>
      <x:c r="F1165" s="90" t="n">
        <x:f>IF(E1165=0,"",AVERAGE('31_W2_含水率'!C46,'31_W2_含水率'!E46,'31_W2_含水率'!G46,'31_W2_含水率'!I46))</x:f>
        <x:v>36.925</x:v>
      </x:c>
      <x:c r="G1165" s="90" t="n">
        <x:f>IF(E1165&lt;2,"",STDEV.S('31_W2_含水率'!C46,'31_W2_含水率'!E46,'31_W2_含水率'!G46,'31_W2_含水率'!I46))</x:f>
        <x:v>1.917246289169268</x:v>
      </x:c>
      <x:c r="H1165" s="90" t="n">
        <x:f>IF(E1165=0,"",MIN('31_W2_含水率'!C46,'31_W2_含水率'!E46,'31_W2_含水率'!G46,'31_W2_含水率'!I46))</x:f>
        <x:v>35.9</x:v>
      </x:c>
      <x:c r="I1165" s="90" t="n">
        <x:f>IF(E1165=0,"",MAX('31_W2_含水率'!C46,'31_W2_含水率'!E46,'31_W2_含水率'!G46,'31_W2_含水率'!I46))</x:f>
        <x:v>39.8</x:v>
      </x:c>
      <x:c r="J1165" s="32" t="str">
        <x:v>%</x:v>
      </x:c>
    </x:row>
    <x:row r="1166">
      <x:c r="A1166" s="72" t="n">
        <x:v>46240.948530092595</x:v>
      </x:c>
      <x:c r="B1166" s="32" t="str">
        <x:v>土壤含水率</x:v>
      </x:c>
      <x:c r="C1166" s="32" t="str">
        <x:v>W2</x:v>
      </x:c>
      <x:c r="D1166" s="32" t="str">
        <x:v>V1</x:v>
      </x:c>
      <x:c r="E1166" s="86" t="n">
        <x:f>COUNT('31_W2_含水率'!B47,'31_W2_含水率'!D47,'31_W2_含水率'!F47,'31_W2_含水率'!H47)</x:f>
        <x:v>4</x:v>
      </x:c>
      <x:c r="F1166" s="90" t="n">
        <x:f>IF(E1166=0,"",AVERAGE('31_W2_含水率'!B47,'31_W2_含水率'!D47,'31_W2_含水率'!F47,'31_W2_含水率'!H47))</x:f>
        <x:v>37.9</x:v>
      </x:c>
      <x:c r="G1166" s="90" t="n">
        <x:f>IF(E1166&lt;2,"",STDEV.S('31_W2_含水率'!B47,'31_W2_含水率'!D47,'31_W2_含水率'!F47,'31_W2_含水率'!H47))</x:f>
        <x:v>4.00832467081531</x:v>
      </x:c>
      <x:c r="H1166" s="90" t="n">
        <x:f>IF(E1166=0,"",MIN('31_W2_含水率'!B47,'31_W2_含水率'!D47,'31_W2_含水率'!F47,'31_W2_含水率'!H47))</x:f>
        <x:v>34</x:v>
      </x:c>
      <x:c r="I1166" s="90" t="n">
        <x:f>IF(E1166=0,"",MAX('31_W2_含水率'!B47,'31_W2_含水率'!D47,'31_W2_含水率'!F47,'31_W2_含水率'!H47))</x:f>
        <x:v>42.6</x:v>
      </x:c>
      <x:c r="J1166" s="32" t="str">
        <x:v>%</x:v>
      </x:c>
    </x:row>
    <x:row r="1167">
      <x:c r="A1167" s="72" t="n">
        <x:v>46240.948530092595</x:v>
      </x:c>
      <x:c r="B1167" s="32" t="str">
        <x:v>土壤含水率</x:v>
      </x:c>
      <x:c r="C1167" s="32" t="str">
        <x:v>W2</x:v>
      </x:c>
      <x:c r="D1167" s="32" t="str">
        <x:v>V2</x:v>
      </x:c>
      <x:c r="E1167" s="86" t="n">
        <x:f>COUNT('31_W2_含水率'!C47,'31_W2_含水率'!E47,'31_W2_含水率'!G47,'31_W2_含水率'!I47)</x:f>
        <x:v>4</x:v>
      </x:c>
      <x:c r="F1167" s="90" t="n">
        <x:f>IF(E1167=0,"",AVERAGE('31_W2_含水率'!C47,'31_W2_含水率'!E47,'31_W2_含水率'!G47,'31_W2_含水率'!I47))</x:f>
        <x:v>36.9</x:v>
      </x:c>
      <x:c r="G1167" s="90" t="n">
        <x:f>IF(E1167&lt;2,"",STDEV.S('31_W2_含水率'!C47,'31_W2_含水率'!E47,'31_W2_含水率'!G47,'31_W2_含水率'!I47))</x:f>
        <x:v>2.2818121453499765</x:v>
      </x:c>
      <x:c r="H1167" s="90" t="n">
        <x:f>IF(E1167=0,"",MIN('31_W2_含水率'!C47,'31_W2_含水率'!E47,'31_W2_含水率'!G47,'31_W2_含水率'!I47))</x:f>
        <x:v>35.4</x:v>
      </x:c>
      <x:c r="I1167" s="90" t="n">
        <x:f>IF(E1167=0,"",MAX('31_W2_含水率'!C47,'31_W2_含水率'!E47,'31_W2_含水率'!G47,'31_W2_含水率'!I47))</x:f>
        <x:v>40.3</x:v>
      </x:c>
      <x:c r="J1167" s="32" t="str">
        <x:v>%</x:v>
      </x:c>
    </x:row>
    <x:row r="1168">
      <x:c r="A1168" s="72" t="n">
        <x:v>46240.952002314814</x:v>
      </x:c>
      <x:c r="B1168" s="32" t="str">
        <x:v>土壤含水率</x:v>
      </x:c>
      <x:c r="C1168" s="32" t="str">
        <x:v>W2</x:v>
      </x:c>
      <x:c r="D1168" s="32" t="str">
        <x:v>V1</x:v>
      </x:c>
      <x:c r="E1168" s="86" t="n">
        <x:f>COUNT('31_W2_含水率'!B48,'31_W2_含水率'!D48,'31_W2_含水率'!F48,'31_W2_含水率'!H48)</x:f>
        <x:v>4</x:v>
      </x:c>
      <x:c r="F1168" s="90" t="n">
        <x:f>IF(E1168=0,"",AVERAGE('31_W2_含水率'!B48,'31_W2_含水率'!D48,'31_W2_含水率'!F48,'31_W2_含水率'!H48))</x:f>
        <x:v>37.900000000000006</x:v>
      </x:c>
      <x:c r="G1168" s="90" t="n">
        <x:f>IF(E1168&lt;2,"",STDEV.S('31_W2_含水率'!B48,'31_W2_含水率'!D48,'31_W2_含水率'!F48,'31_W2_含水率'!H48))</x:f>
        <x:v>4.037325847637269</x:v>
      </x:c>
      <x:c r="H1168" s="90" t="n">
        <x:f>IF(E1168=0,"",MIN('31_W2_含水率'!B48,'31_W2_含水率'!D48,'31_W2_含水率'!F48,'31_W2_含水率'!H48))</x:f>
        <x:v>33.6</x:v>
      </x:c>
      <x:c r="I1168" s="90" t="n">
        <x:f>IF(E1168=0,"",MAX('31_W2_含水率'!B48,'31_W2_含水率'!D48,'31_W2_含水率'!F48,'31_W2_含水率'!H48))</x:f>
        <x:v>42.3</x:v>
      </x:c>
      <x:c r="J1168" s="32" t="str">
        <x:v>%</x:v>
      </x:c>
    </x:row>
    <x:row r="1169">
      <x:c r="A1169" s="72" t="n">
        <x:v>46240.952002314814</x:v>
      </x:c>
      <x:c r="B1169" s="32" t="str">
        <x:v>土壤含水率</x:v>
      </x:c>
      <x:c r="C1169" s="32" t="str">
        <x:v>W2</x:v>
      </x:c>
      <x:c r="D1169" s="32" t="str">
        <x:v>V2</x:v>
      </x:c>
      <x:c r="E1169" s="86" t="n">
        <x:f>COUNT('31_W2_含水率'!C48,'31_W2_含水率'!E48,'31_W2_含水率'!G48,'31_W2_含水率'!I48)</x:f>
        <x:v>4</x:v>
      </x:c>
      <x:c r="F1169" s="90" t="n">
        <x:f>IF(E1169=0,"",AVERAGE('31_W2_含水率'!C48,'31_W2_含水率'!E48,'31_W2_含水率'!G48,'31_W2_含水率'!I48))</x:f>
        <x:v>36.9</x:v>
      </x:c>
      <x:c r="G1169" s="90" t="n">
        <x:f>IF(E1169&lt;2,"",STDEV.S('31_W2_含水率'!C48,'31_W2_含水率'!E48,'31_W2_含水率'!G48,'31_W2_含水率'!I48))</x:f>
        <x:v>2.645751311064589</x:v>
      </x:c>
      <x:c r="H1169" s="90" t="n">
        <x:f>IF(E1169=0,"",MIN('31_W2_含水率'!C48,'31_W2_含水率'!E48,'31_W2_含水率'!G48,'31_W2_含水率'!I48))</x:f>
        <x:v>35</x:v>
      </x:c>
      <x:c r="I1169" s="90" t="n">
        <x:f>IF(E1169=0,"",MAX('31_W2_含水率'!C48,'31_W2_含水率'!E48,'31_W2_含水率'!G48,'31_W2_含水率'!I48))</x:f>
        <x:v>40.8</x:v>
      </x:c>
      <x:c r="J1169" s="32" t="str">
        <x:v>%</x:v>
      </x:c>
    </x:row>
    <x:row r="1170">
      <x:c r="A1170" s="72" t="n">
        <x:v>46240.95547453704</x:v>
      </x:c>
      <x:c r="B1170" s="32" t="str">
        <x:v>土壤含水率</x:v>
      </x:c>
      <x:c r="C1170" s="32" t="str">
        <x:v>W2</x:v>
      </x:c>
      <x:c r="D1170" s="32" t="str">
        <x:v>V1</x:v>
      </x:c>
      <x:c r="E1170" s="86" t="n">
        <x:f>COUNT('31_W2_含水率'!B49,'31_W2_含水率'!D49,'31_W2_含水率'!F49,'31_W2_含水率'!H49)</x:f>
        <x:v>4</x:v>
      </x:c>
      <x:c r="F1170" s="90" t="n">
        <x:f>IF(E1170=0,"",AVERAGE('31_W2_含水率'!B49,'31_W2_含水率'!D49,'31_W2_含水率'!F49,'31_W2_含水率'!H49))</x:f>
        <x:v>37.925</x:v>
      </x:c>
      <x:c r="G1170" s="90" t="n">
        <x:f>IF(E1170&lt;2,"",STDEV.S('31_W2_含水率'!B49,'31_W2_含水率'!D49,'31_W2_含水率'!F49,'31_W2_含水率'!H49))</x:f>
        <x:v>4.018602576352466</x:v>
      </x:c>
      <x:c r="H1170" s="90" t="n">
        <x:f>IF(E1170=0,"",MIN('31_W2_含水率'!B49,'31_W2_含水率'!D49,'31_W2_含水率'!F49,'31_W2_含水率'!H49))</x:f>
        <x:v>33.3</x:v>
      </x:c>
      <x:c r="I1170" s="90" t="n">
        <x:f>IF(E1170=0,"",MAX('31_W2_含水率'!B49,'31_W2_含水率'!D49,'31_W2_含水率'!F49,'31_W2_含水率'!H49))</x:f>
        <x:v>41.9</x:v>
      </x:c>
      <x:c r="J1170" s="32" t="str">
        <x:v>%</x:v>
      </x:c>
    </x:row>
    <x:row r="1171">
      <x:c r="A1171" s="72" t="n">
        <x:v>46240.95547453704</x:v>
      </x:c>
      <x:c r="B1171" s="32" t="str">
        <x:v>土壤含水率</x:v>
      </x:c>
      <x:c r="C1171" s="32" t="str">
        <x:v>W2</x:v>
      </x:c>
      <x:c r="D1171" s="32" t="str">
        <x:v>V2</x:v>
      </x:c>
      <x:c r="E1171" s="86" t="n">
        <x:f>COUNT('31_W2_含水率'!C49,'31_W2_含水率'!E49,'31_W2_含水率'!G49,'31_W2_含水率'!I49)</x:f>
        <x:v>4</x:v>
      </x:c>
      <x:c r="F1171" s="90" t="n">
        <x:f>IF(E1171=0,"",AVERAGE('31_W2_含水率'!C49,'31_W2_含水率'!E49,'31_W2_含水率'!G49,'31_W2_含水率'!I49))</x:f>
        <x:v>36.900000000000006</x:v>
      </x:c>
      <x:c r="G1171" s="90" t="n">
        <x:f>IF(E1171&lt;2,"",STDEV.S('31_W2_含水率'!C49,'31_W2_含水率'!E49,'31_W2_含水率'!G49,'31_W2_含水率'!I49))</x:f>
        <x:v>2.972092416687836</x:v>
      </x:c>
      <x:c r="H1171" s="90" t="n">
        <x:f>IF(E1171=0,"",MIN('31_W2_含水率'!C49,'31_W2_含水率'!E49,'31_W2_含水率'!G49,'31_W2_含水率'!I49))</x:f>
        <x:v>34.6</x:v>
      </x:c>
      <x:c r="I1171" s="90" t="n">
        <x:f>IF(E1171=0,"",MAX('31_W2_含水率'!C49,'31_W2_含水率'!E49,'31_W2_含水率'!G49,'31_W2_含水率'!I49))</x:f>
        <x:v>41.2</x:v>
      </x:c>
      <x:c r="J1171" s="32" t="str">
        <x:v>%</x:v>
      </x:c>
    </x:row>
    <x:row r="1172">
      <x:c r="A1172" s="72" t="n">
        <x:v>46240.95894675926</x:v>
      </x:c>
      <x:c r="B1172" s="32" t="str">
        <x:v>土壤含水率</x:v>
      </x:c>
      <x:c r="C1172" s="32" t="str">
        <x:v>W2</x:v>
      </x:c>
      <x:c r="D1172" s="32" t="str">
        <x:v>V1</x:v>
      </x:c>
      <x:c r="E1172" s="86" t="n">
        <x:f>COUNT('31_W2_含水率'!B50,'31_W2_含水率'!D50,'31_W2_含水率'!F50,'31_W2_含水率'!H50)</x:f>
        <x:v>4</x:v>
      </x:c>
      <x:c r="F1172" s="90" t="n">
        <x:f>IF(E1172=0,"",AVERAGE('31_W2_含水率'!B50,'31_W2_含水率'!D50,'31_W2_含水率'!F50,'31_W2_含水率'!H50))</x:f>
        <x:v>37.9</x:v>
      </x:c>
      <x:c r="G1172" s="90" t="n">
        <x:f>IF(E1172&lt;2,"",STDEV.S('31_W2_含水率'!B50,'31_W2_含水率'!D50,'31_W2_含水率'!F50,'31_W2_含水率'!H50))</x:f>
        <x:v>3.926830783214371</x:v>
      </x:c>
      <x:c r="H1172" s="90" t="n">
        <x:f>IF(E1172=0,"",MIN('31_W2_含水率'!B50,'31_W2_含水率'!D50,'31_W2_含水率'!F50,'31_W2_含水率'!H50))</x:f>
        <x:v>33.1</x:v>
      </x:c>
      <x:c r="I1172" s="90" t="n">
        <x:f>IF(E1172=0,"",MAX('31_W2_含水率'!B50,'31_W2_含水率'!D50,'31_W2_含水率'!F50,'31_W2_含水率'!H50))</x:f>
        <x:v>41.4</x:v>
      </x:c>
      <x:c r="J1172" s="32" t="str">
        <x:v>%</x:v>
      </x:c>
    </x:row>
    <x:row r="1173">
      <x:c r="A1173" s="72" t="n">
        <x:v>46240.95894675926</x:v>
      </x:c>
      <x:c r="B1173" s="32" t="str">
        <x:v>土壤含水率</x:v>
      </x:c>
      <x:c r="C1173" s="32" t="str">
        <x:v>W2</x:v>
      </x:c>
      <x:c r="D1173" s="32" t="str">
        <x:v>V2</x:v>
      </x:c>
      <x:c r="E1173" s="86" t="n">
        <x:f>COUNT('31_W2_含水率'!C50,'31_W2_含水率'!E50,'31_W2_含水率'!G50,'31_W2_含水率'!I50)</x:f>
        <x:v>4</x:v>
      </x:c>
      <x:c r="F1173" s="90" t="n">
        <x:f>IF(E1173=0,"",AVERAGE('31_W2_含水率'!C50,'31_W2_含水率'!E50,'31_W2_含水率'!G50,'31_W2_含水率'!I50))</x:f>
        <x:v>36.925</x:v>
      </x:c>
      <x:c r="G1173" s="90" t="n">
        <x:f>IF(E1173&lt;2,"",STDEV.S('31_W2_含水率'!C50,'31_W2_含水率'!E50,'31_W2_含水率'!G50,'31_W2_含水率'!I50))</x:f>
        <x:v>3.308952502933017</x:v>
      </x:c>
      <x:c r="H1173" s="90" t="n">
        <x:f>IF(E1173=0,"",MIN('31_W2_含水率'!C50,'31_W2_含水率'!E50,'31_W2_含水率'!G50,'31_W2_含水率'!I50))</x:f>
        <x:v>34.3</x:v>
      </x:c>
      <x:c r="I1173" s="90" t="n">
        <x:f>IF(E1173=0,"",MAX('31_W2_含水率'!C50,'31_W2_含水率'!E50,'31_W2_含水率'!G50,'31_W2_含水率'!I50))</x:f>
        <x:v>41.6</x:v>
      </x:c>
      <x:c r="J1173" s="32" t="str">
        <x:v>%</x:v>
      </x:c>
    </x:row>
    <x:row r="1174">
      <x:c r="A1174" s="72" t="n">
        <x:v>46240.96241898148</x:v>
      </x:c>
      <x:c r="B1174" s="32" t="str">
        <x:v>土壤含水率</x:v>
      </x:c>
      <x:c r="C1174" s="32" t="str">
        <x:v>W2</x:v>
      </x:c>
      <x:c r="D1174" s="32" t="str">
        <x:v>V1</x:v>
      </x:c>
      <x:c r="E1174" s="86" t="n">
        <x:f>COUNT('31_W2_含水率'!B51,'31_W2_含水率'!D51,'31_W2_含水率'!F51,'31_W2_含水率'!H51)</x:f>
        <x:v>4</x:v>
      </x:c>
      <x:c r="F1174" s="90" t="n">
        <x:f>IF(E1174=0,"",AVERAGE('31_W2_含水率'!B51,'31_W2_含水率'!D51,'31_W2_含水率'!F51,'31_W2_含水率'!H51))</x:f>
        <x:v>37.925</x:v>
      </x:c>
      <x:c r="G1174" s="90" t="n">
        <x:f>IF(E1174&lt;2,"",STDEV.S('31_W2_含水率'!B51,'31_W2_含水率'!D51,'31_W2_含水率'!F51,'31_W2_含水率'!H51))</x:f>
        <x:v>3.822193959843831</x:v>
      </x:c>
      <x:c r="H1174" s="90" t="n">
        <x:f>IF(E1174=0,"",MIN('31_W2_含水率'!B51,'31_W2_含水率'!D51,'31_W2_含水率'!F51,'31_W2_含水率'!H51))</x:f>
        <x:v>33</x:v>
      </x:c>
      <x:c r="I1174" s="90" t="n">
        <x:f>IF(E1174=0,"",MAX('31_W2_含水率'!B51,'31_W2_含水率'!D51,'31_W2_含水率'!F51,'31_W2_含水率'!H51))</x:f>
        <x:v>41</x:v>
      </x:c>
      <x:c r="J1174" s="32" t="str">
        <x:v>%</x:v>
      </x:c>
    </x:row>
    <x:row r="1175">
      <x:c r="A1175" s="72" t="n">
        <x:v>46240.96241898148</x:v>
      </x:c>
      <x:c r="B1175" s="32" t="str">
        <x:v>土壤含水率</x:v>
      </x:c>
      <x:c r="C1175" s="32" t="str">
        <x:v>W2</x:v>
      </x:c>
      <x:c r="D1175" s="32" t="str">
        <x:v>V2</x:v>
      </x:c>
      <x:c r="E1175" s="86" t="n">
        <x:f>COUNT('31_W2_含水率'!C51,'31_W2_含水率'!E51,'31_W2_含水率'!G51,'31_W2_含水率'!I51)</x:f>
        <x:v>4</x:v>
      </x:c>
      <x:c r="F1175" s="90" t="n">
        <x:f>IF(E1175=0,"",AVERAGE('31_W2_含水率'!C51,'31_W2_含水率'!E51,'31_W2_含水率'!G51,'31_W2_含水率'!I51))</x:f>
        <x:v>36.9</x:v>
      </x:c>
      <x:c r="G1175" s="90" t="n">
        <x:f>IF(E1175&lt;2,"",STDEV.S('31_W2_含水率'!C51,'31_W2_含水率'!E51,'31_W2_含水率'!G51,'31_W2_含水率'!I51))</x:f>
        <x:v>3.5711809437962287</x:v>
      </x:c>
      <x:c r="H1175" s="90" t="n">
        <x:f>IF(E1175=0,"",MIN('31_W2_含水率'!C51,'31_W2_含水率'!E51,'31_W2_含水率'!G51,'31_W2_含水率'!I51))</x:f>
        <x:v>34.1</x:v>
      </x:c>
      <x:c r="I1175" s="90" t="n">
        <x:f>IF(E1175=0,"",MAX('31_W2_含水率'!C51,'31_W2_含水率'!E51,'31_W2_含水率'!G51,'31_W2_含水率'!I51))</x:f>
        <x:v>41.8</x:v>
      </x:c>
      <x:c r="J1175" s="32" t="str">
        <x:v>%</x:v>
      </x:c>
    </x:row>
    <x:row r="1176">
      <x:c r="A1176" s="72" t="n">
        <x:v>46240.965891203705</x:v>
      </x:c>
      <x:c r="B1176" s="32" t="str">
        <x:v>土壤含水率</x:v>
      </x:c>
      <x:c r="C1176" s="32" t="str">
        <x:v>W2</x:v>
      </x:c>
      <x:c r="D1176" s="32" t="str">
        <x:v>V1</x:v>
      </x:c>
      <x:c r="E1176" s="86" t="n">
        <x:f>COUNT('31_W2_含水率'!B52,'31_W2_含水率'!D52,'31_W2_含水率'!F52,'31_W2_含水率'!H52)</x:f>
        <x:v>4</x:v>
      </x:c>
      <x:c r="F1176" s="90" t="n">
        <x:f>IF(E1176=0,"",AVERAGE('31_W2_含水率'!B52,'31_W2_含水率'!D52,'31_W2_含水率'!F52,'31_W2_含水率'!H52))</x:f>
        <x:v>37.925</x:v>
      </x:c>
      <x:c r="G1176" s="90" t="n">
        <x:f>IF(E1176&lt;2,"",STDEV.S('31_W2_含水率'!B52,'31_W2_含水率'!D52,'31_W2_含水率'!F52,'31_W2_含水率'!H52))</x:f>
        <x:v>3.6618529007411897</x:v>
      </x:c>
      <x:c r="H1176" s="90" t="n">
        <x:f>IF(E1176=0,"",MIN('31_W2_含水率'!B52,'31_W2_含水率'!D52,'31_W2_含水率'!F52,'31_W2_含水率'!H52))</x:f>
        <x:v>33</x:v>
      </x:c>
      <x:c r="I1176" s="90" t="n">
        <x:f>IF(E1176=0,"",MAX('31_W2_含水率'!B52,'31_W2_含水率'!D52,'31_W2_含水率'!F52,'31_W2_含水率'!H52))</x:f>
        <x:v>41</x:v>
      </x:c>
      <x:c r="J1176" s="32" t="str">
        <x:v>%</x:v>
      </x:c>
    </x:row>
    <x:row r="1177">
      <x:c r="A1177" s="72" t="n">
        <x:v>46240.965891203705</x:v>
      </x:c>
      <x:c r="B1177" s="32" t="str">
        <x:v>土壤含水率</x:v>
      </x:c>
      <x:c r="C1177" s="32" t="str">
        <x:v>W2</x:v>
      </x:c>
      <x:c r="D1177" s="32" t="str">
        <x:v>V2</x:v>
      </x:c>
      <x:c r="E1177" s="86" t="n">
        <x:f>COUNT('31_W2_含水率'!C52,'31_W2_含水率'!E52,'31_W2_含水率'!G52,'31_W2_含水率'!I52)</x:f>
        <x:v>4</x:v>
      </x:c>
      <x:c r="F1177" s="90" t="n">
        <x:f>IF(E1177=0,"",AVERAGE('31_W2_含水率'!C52,'31_W2_含水率'!E52,'31_W2_含水率'!G52,'31_W2_含水率'!I52))</x:f>
        <x:v>36.925</x:v>
      </x:c>
      <x:c r="G1177" s="90" t="n">
        <x:f>IF(E1177&lt;2,"",STDEV.S('31_W2_含水率'!C52,'31_W2_含水率'!E52,'31_W2_含水率'!G52,'31_W2_含水率'!I52))</x:f>
        <x:v>3.8395963329495983</x:v>
      </x:c>
      <x:c r="H1177" s="90" t="n">
        <x:f>IF(E1177=0,"",MIN('31_W2_含水率'!C52,'31_W2_含水率'!E52,'31_W2_含水率'!G52,'31_W2_含水率'!I52))</x:f>
        <x:v>33.9</x:v>
      </x:c>
      <x:c r="I1177" s="90" t="n">
        <x:f>IF(E1177=0,"",MAX('31_W2_含水率'!C52,'31_W2_含水率'!E52,'31_W2_含水率'!G52,'31_W2_含水率'!I52))</x:f>
        <x:v>42</x:v>
      </x:c>
      <x:c r="J1177" s="32" t="str">
        <x:v>%</x:v>
      </x:c>
    </x:row>
    <x:row r="1178">
      <x:c r="A1178" s="72" t="n">
        <x:v>46240.969363425924</x:v>
      </x:c>
      <x:c r="B1178" s="32" t="str">
        <x:v>土壤含水率</x:v>
      </x:c>
      <x:c r="C1178" s="32" t="str">
        <x:v>W2</x:v>
      </x:c>
      <x:c r="D1178" s="32" t="str">
        <x:v>V1</x:v>
      </x:c>
      <x:c r="E1178" s="86" t="n">
        <x:f>COUNT('31_W2_含水率'!B53,'31_W2_含水率'!D53,'31_W2_含水率'!F53,'31_W2_含水率'!H53)</x:f>
        <x:v>4</x:v>
      </x:c>
      <x:c r="F1178" s="90" t="n">
        <x:f>IF(E1178=0,"",AVERAGE('31_W2_含水率'!B53,'31_W2_含水率'!D53,'31_W2_含水率'!F53,'31_W2_含水率'!H53))</x:f>
        <x:v>37.974999999999994</x:v>
      </x:c>
      <x:c r="G1178" s="90" t="n">
        <x:f>IF(E1178&lt;2,"",STDEV.S('31_W2_含水率'!B53,'31_W2_含水率'!D53,'31_W2_含水率'!F53,'31_W2_含水率'!H53))</x:f>
        <x:v>3.4393555597912027</x:v>
      </x:c>
      <x:c r="H1178" s="90" t="n">
        <x:f>IF(E1178=0,"",MIN('31_W2_含水率'!B53,'31_W2_含水率'!D53,'31_W2_含水率'!F53,'31_W2_含水率'!H53))</x:f>
        <x:v>33.2</x:v>
      </x:c>
      <x:c r="I1178" s="90" t="n">
        <x:f>IF(E1178=0,"",MAX('31_W2_含水率'!B53,'31_W2_含水率'!D53,'31_W2_含水率'!F53,'31_W2_含水率'!H53))</x:f>
        <x:v>40.9</x:v>
      </x:c>
      <x:c r="J1178" s="32" t="str">
        <x:v>%</x:v>
      </x:c>
    </x:row>
    <x:row r="1179">
      <x:c r="A1179" s="72" t="n">
        <x:v>46240.969363425924</x:v>
      </x:c>
      <x:c r="B1179" s="32" t="str">
        <x:v>土壤含水率</x:v>
      </x:c>
      <x:c r="C1179" s="32" t="str">
        <x:v>W2</x:v>
      </x:c>
      <x:c r="D1179" s="32" t="str">
        <x:v>V2</x:v>
      </x:c>
      <x:c r="E1179" s="86" t="n">
        <x:f>COUNT('31_W2_含水率'!C53,'31_W2_含水率'!E53,'31_W2_含水率'!G53,'31_W2_含水率'!I53)</x:f>
        <x:v>4</x:v>
      </x:c>
      <x:c r="F1179" s="90" t="n">
        <x:f>IF(E1179=0,"",AVERAGE('31_W2_含水率'!C53,'31_W2_含水率'!E53,'31_W2_含水率'!G53,'31_W2_含水率'!I53))</x:f>
        <x:v>36.925</x:v>
      </x:c>
      <x:c r="G1179" s="90" t="n">
        <x:f>IF(E1179&lt;2,"",STDEV.S('31_W2_含水率'!C53,'31_W2_含水率'!E53,'31_W2_含水率'!G53,'31_W2_含水率'!I53))</x:f>
        <x:v>4.026060936780102</x:v>
      </x:c>
      <x:c r="H1179" s="90" t="n">
        <x:f>IF(E1179=0,"",MIN('31_W2_含水率'!C53,'31_W2_含水率'!E53,'31_W2_含水率'!G53,'31_W2_含水率'!I53))</x:f>
        <x:v>33.4</x:v>
      </x:c>
      <x:c r="I1179" s="90" t="n">
        <x:f>IF(E1179=0,"",MAX('31_W2_含水率'!C53,'31_W2_含水率'!E53,'31_W2_含水率'!G53,'31_W2_含水率'!I53))</x:f>
        <x:v>42</x:v>
      </x:c>
      <x:c r="J1179" s="32" t="str">
        <x:v>%</x:v>
      </x:c>
    </x:row>
    <x:row r="1180">
      <x:c r="A1180" s="72" t="n">
        <x:v>46240.80269675926</x:v>
      </x:c>
      <x:c r="B1180" s="32" t="str">
        <x:v>土壤温度</x:v>
      </x:c>
      <x:c r="C1180" s="32" t="str">
        <x:v>W2</x:v>
      </x:c>
      <x:c r="D1180" s="32" t="str">
        <x:v>V1</x:v>
      </x:c>
      <x:c r="E1180" s="86" t="n">
        <x:f>COUNT('32_W2_温度'!B5,'32_W2_温度'!D5,'32_W2_温度'!F5,'32_W2_温度'!H5)</x:f>
        <x:v>4</x:v>
      </x:c>
      <x:c r="F1180" s="90" t="n">
        <x:f>IF(E1180=0,"",AVERAGE('32_W2_温度'!B5,'32_W2_温度'!D5,'32_W2_温度'!F5,'32_W2_温度'!H5))</x:f>
        <x:v>25.1</x:v>
      </x:c>
      <x:c r="G1180" s="90" t="n">
        <x:f>IF(E1180&lt;2,"",STDEV.S('32_W2_温度'!B5,'32_W2_温度'!D5,'32_W2_温度'!F5,'32_W2_温度'!H5))</x:f>
        <x:v>0.40824829046386274</x:v>
      </x:c>
      <x:c r="H1180" s="90" t="n">
        <x:f>IF(E1180=0,"",MIN('32_W2_温度'!B5,'32_W2_温度'!D5,'32_W2_温度'!F5,'32_W2_温度'!H5))</x:f>
        <x:v>24.7</x:v>
      </x:c>
      <x:c r="I1180" s="90" t="n">
        <x:f>IF(E1180=0,"",MAX('32_W2_温度'!B5,'32_W2_温度'!D5,'32_W2_温度'!F5,'32_W2_温度'!H5))</x:f>
        <x:v>25.5</x:v>
      </x:c>
      <x:c r="J1180" s="32" t="str">
        <x:v>℃</x:v>
      </x:c>
    </x:row>
    <x:row r="1181">
      <x:c r="A1181" s="72" t="n">
        <x:v>46240.80269675926</x:v>
      </x:c>
      <x:c r="B1181" s="32" t="str">
        <x:v>土壤温度</x:v>
      </x:c>
      <x:c r="C1181" s="32" t="str">
        <x:v>W2</x:v>
      </x:c>
      <x:c r="D1181" s="32" t="str">
        <x:v>V2</x:v>
      </x:c>
      <x:c r="E1181" s="86" t="n">
        <x:f>COUNT('32_W2_温度'!C5,'32_W2_温度'!E5,'32_W2_温度'!G5,'32_W2_温度'!I5)</x:f>
        <x:v>4</x:v>
      </x:c>
      <x:c r="F1181" s="90" t="n">
        <x:f>IF(E1181=0,"",AVERAGE('32_W2_温度'!C5,'32_W2_温度'!E5,'32_W2_温度'!G5,'32_W2_温度'!I5))</x:f>
        <x:v>25.075</x:v>
      </x:c>
      <x:c r="G1181" s="90" t="n">
        <x:f>IF(E1181&lt;2,"",STDEV.S('32_W2_温度'!C5,'32_W2_温度'!E5,'32_W2_温度'!G5,'32_W2_温度'!I5))</x:f>
        <x:v>0.4349329450233297</x:v>
      </x:c>
      <x:c r="H1181" s="90" t="n">
        <x:f>IF(E1181=0,"",MIN('32_W2_温度'!C5,'32_W2_温度'!E5,'32_W2_温度'!G5,'32_W2_温度'!I5))</x:f>
        <x:v>24.7</x:v>
      </x:c>
      <x:c r="I1181" s="90" t="n">
        <x:f>IF(E1181=0,"",MAX('32_W2_温度'!C5,'32_W2_温度'!E5,'32_W2_温度'!G5,'32_W2_温度'!I5))</x:f>
        <x:v>25.5</x:v>
      </x:c>
      <x:c r="J1181" s="32" t="str">
        <x:v>℃</x:v>
      </x:c>
    </x:row>
    <x:row r="1182">
      <x:c r="A1182" s="72" t="n">
        <x:v>46240.80616898148</x:v>
      </x:c>
      <x:c r="B1182" s="32" t="str">
        <x:v>土壤温度</x:v>
      </x:c>
      <x:c r="C1182" s="32" t="str">
        <x:v>W2</x:v>
      </x:c>
      <x:c r="D1182" s="32" t="str">
        <x:v>V1</x:v>
      </x:c>
      <x:c r="E1182" s="86" t="n">
        <x:f>COUNT('32_W2_温度'!B6,'32_W2_温度'!D6,'32_W2_温度'!F6,'32_W2_温度'!H6)</x:f>
        <x:v>4</x:v>
      </x:c>
      <x:c r="F1182" s="90" t="n">
        <x:f>IF(E1182=0,"",AVERAGE('32_W2_温度'!B6,'32_W2_温度'!D6,'32_W2_温度'!F6,'32_W2_温度'!H6))</x:f>
        <x:v>25.125</x:v>
      </x:c>
      <x:c r="G1182" s="90" t="n">
        <x:f>IF(E1182&lt;2,"",STDEV.S('32_W2_温度'!B6,'32_W2_温度'!D6,'32_W2_温度'!F6,'32_W2_温度'!H6))</x:f>
        <x:v>0.4272001872658766</x:v>
      </x:c>
      <x:c r="H1182" s="90" t="n">
        <x:f>IF(E1182=0,"",MIN('32_W2_温度'!B6,'32_W2_温度'!D6,'32_W2_温度'!F6,'32_W2_温度'!H6))</x:f>
        <x:v>24.6</x:v>
      </x:c>
      <x:c r="I1182" s="90" t="n">
        <x:f>IF(E1182=0,"",MAX('32_W2_温度'!B6,'32_W2_温度'!D6,'32_W2_温度'!F6,'32_W2_温度'!H6))</x:f>
        <x:v>25.6</x:v>
      </x:c>
      <x:c r="J1182" s="32" t="str">
        <x:v>℃</x:v>
      </x:c>
    </x:row>
    <x:row r="1183">
      <x:c r="A1183" s="72" t="n">
        <x:v>46240.80616898148</x:v>
      </x:c>
      <x:c r="B1183" s="32" t="str">
        <x:v>土壤温度</x:v>
      </x:c>
      <x:c r="C1183" s="32" t="str">
        <x:v>W2</x:v>
      </x:c>
      <x:c r="D1183" s="32" t="str">
        <x:v>V2</x:v>
      </x:c>
      <x:c r="E1183" s="86" t="n">
        <x:f>COUNT('32_W2_温度'!C6,'32_W2_温度'!E6,'32_W2_温度'!G6,'32_W2_温度'!I6)</x:f>
        <x:v>4</x:v>
      </x:c>
      <x:c r="F1183" s="90" t="n">
        <x:f>IF(E1183=0,"",AVERAGE('32_W2_温度'!C6,'32_W2_温度'!E6,'32_W2_温度'!G6,'32_W2_温度'!I6))</x:f>
        <x:v>25.1</x:v>
      </x:c>
      <x:c r="G1183" s="90" t="n">
        <x:f>IF(E1183&lt;2,"",STDEV.S('32_W2_温度'!C6,'32_W2_温度'!E6,'32_W2_温度'!G6,'32_W2_温度'!I6))</x:f>
        <x:v>0.40824829046386274</x:v>
      </x:c>
      <x:c r="H1183" s="90" t="n">
        <x:f>IF(E1183=0,"",MIN('32_W2_温度'!C6,'32_W2_温度'!E6,'32_W2_温度'!G6,'32_W2_温度'!I6))</x:f>
        <x:v>24.7</x:v>
      </x:c>
      <x:c r="I1183" s="90" t="n">
        <x:f>IF(E1183=0,"",MAX('32_W2_温度'!C6,'32_W2_温度'!E6,'32_W2_温度'!G6,'32_W2_温度'!I6))</x:f>
        <x:v>25.5</x:v>
      </x:c>
      <x:c r="J1183" s="32" t="str">
        <x:v>℃</x:v>
      </x:c>
    </x:row>
    <x:row r="1184">
      <x:c r="A1184" s="72" t="n">
        <x:v>46240.809641203705</x:v>
      </x:c>
      <x:c r="B1184" s="32" t="str">
        <x:v>土壤温度</x:v>
      </x:c>
      <x:c r="C1184" s="32" t="str">
        <x:v>W2</x:v>
      </x:c>
      <x:c r="D1184" s="32" t="str">
        <x:v>V1</x:v>
      </x:c>
      <x:c r="E1184" s="86" t="n">
        <x:f>COUNT('32_W2_温度'!B7,'32_W2_温度'!D7,'32_W2_温度'!F7,'32_W2_温度'!H7)</x:f>
        <x:v>4</x:v>
      </x:c>
      <x:c r="F1184" s="90" t="n">
        <x:f>IF(E1184=0,"",AVERAGE('32_W2_温度'!B7,'32_W2_温度'!D7,'32_W2_温度'!F7,'32_W2_温度'!H7))</x:f>
        <x:v>25.125</x:v>
      </x:c>
      <x:c r="G1184" s="90" t="n">
        <x:f>IF(E1184&lt;2,"",STDEV.S('32_W2_温度'!B7,'32_W2_温度'!D7,'32_W2_温度'!F7,'32_W2_温度'!H7))</x:f>
        <x:v>0.41129875597510207</x:v>
      </x:c>
      <x:c r="H1184" s="90" t="n">
        <x:f>IF(E1184=0,"",MIN('32_W2_温度'!B7,'32_W2_温度'!D7,'32_W2_温度'!F7,'32_W2_温度'!H7))</x:f>
        <x:v>24.6</x:v>
      </x:c>
      <x:c r="I1184" s="90" t="n">
        <x:f>IF(E1184=0,"",MAX('32_W2_温度'!B7,'32_W2_温度'!D7,'32_W2_温度'!F7,'32_W2_温度'!H7))</x:f>
        <x:v>25.6</x:v>
      </x:c>
      <x:c r="J1184" s="32" t="str">
        <x:v>℃</x:v>
      </x:c>
    </x:row>
    <x:row r="1185">
      <x:c r="A1185" s="72" t="n">
        <x:v>46240.809641203705</x:v>
      </x:c>
      <x:c r="B1185" s="32" t="str">
        <x:v>土壤温度</x:v>
      </x:c>
      <x:c r="C1185" s="32" t="str">
        <x:v>W2</x:v>
      </x:c>
      <x:c r="D1185" s="32" t="str">
        <x:v>V2</x:v>
      </x:c>
      <x:c r="E1185" s="86" t="n">
        <x:f>COUNT('32_W2_温度'!C7,'32_W2_温度'!E7,'32_W2_温度'!G7,'32_W2_温度'!I7)</x:f>
        <x:v>4</x:v>
      </x:c>
      <x:c r="F1185" s="90" t="n">
        <x:f>IF(E1185=0,"",AVERAGE('32_W2_温度'!C7,'32_W2_温度'!E7,'32_W2_温度'!G7,'32_W2_温度'!I7))</x:f>
        <x:v>25.125</x:v>
      </x:c>
      <x:c r="G1185" s="90" t="n">
        <x:f>IF(E1185&lt;2,"",STDEV.S('32_W2_温度'!C7,'32_W2_温度'!E7,'32_W2_温度'!G7,'32_W2_温度'!I7))</x:f>
        <x:v>0.4272001872658766</x:v>
      </x:c>
      <x:c r="H1185" s="90" t="n">
        <x:f>IF(E1185=0,"",MIN('32_W2_温度'!C7,'32_W2_温度'!E7,'32_W2_温度'!G7,'32_W2_温度'!I7))</x:f>
        <x:v>24.6</x:v>
      </x:c>
      <x:c r="I1185" s="90" t="n">
        <x:f>IF(E1185=0,"",MAX('32_W2_温度'!C7,'32_W2_温度'!E7,'32_W2_温度'!G7,'32_W2_温度'!I7))</x:f>
        <x:v>25.6</x:v>
      </x:c>
      <x:c r="J1185" s="32" t="str">
        <x:v>℃</x:v>
      </x:c>
    </x:row>
    <x:row r="1186">
      <x:c r="A1186" s="72" t="n">
        <x:v>46240.813113425924</x:v>
      </x:c>
      <x:c r="B1186" s="32" t="str">
        <x:v>土壤温度</x:v>
      </x:c>
      <x:c r="C1186" s="32" t="str">
        <x:v>W2</x:v>
      </x:c>
      <x:c r="D1186" s="32" t="str">
        <x:v>V1</x:v>
      </x:c>
      <x:c r="E1186" s="86" t="n">
        <x:f>COUNT('32_W2_温度'!B8,'32_W2_温度'!D8,'32_W2_温度'!F8,'32_W2_温度'!H8)</x:f>
        <x:v>4</x:v>
      </x:c>
      <x:c r="F1186" s="90" t="n">
        <x:f>IF(E1186=0,"",AVERAGE('32_W2_温度'!B8,'32_W2_温度'!D8,'32_W2_温度'!F8,'32_W2_温度'!H8))</x:f>
        <x:v>25.125</x:v>
      </x:c>
      <x:c r="G1186" s="90" t="n">
        <x:f>IF(E1186&lt;2,"",STDEV.S('32_W2_温度'!B8,'32_W2_温度'!D8,'32_W2_温度'!F8,'32_W2_温度'!H8))</x:f>
        <x:v>0.41129875597510207</x:v>
      </x:c>
      <x:c r="H1186" s="90" t="n">
        <x:f>IF(E1186=0,"",MIN('32_W2_温度'!B8,'32_W2_温度'!D8,'32_W2_温度'!F8,'32_W2_温度'!H8))</x:f>
        <x:v>24.6</x:v>
      </x:c>
      <x:c r="I1186" s="90" t="n">
        <x:f>IF(E1186=0,"",MAX('32_W2_温度'!B8,'32_W2_温度'!D8,'32_W2_温度'!F8,'32_W2_温度'!H8))</x:f>
        <x:v>25.6</x:v>
      </x:c>
      <x:c r="J1186" s="32" t="str">
        <x:v>℃</x:v>
      </x:c>
    </x:row>
    <x:row r="1187">
      <x:c r="A1187" s="72" t="n">
        <x:v>46240.813113425924</x:v>
      </x:c>
      <x:c r="B1187" s="32" t="str">
        <x:v>土壤温度</x:v>
      </x:c>
      <x:c r="C1187" s="32" t="str">
        <x:v>W2</x:v>
      </x:c>
      <x:c r="D1187" s="32" t="str">
        <x:v>V2</x:v>
      </x:c>
      <x:c r="E1187" s="86" t="n">
        <x:f>COUNT('32_W2_温度'!C8,'32_W2_温度'!E8,'32_W2_温度'!G8,'32_W2_温度'!I8)</x:f>
        <x:v>4</x:v>
      </x:c>
      <x:c r="F1187" s="90" t="n">
        <x:f>IF(E1187=0,"",AVERAGE('32_W2_温度'!C8,'32_W2_温度'!E8,'32_W2_温度'!G8,'32_W2_温度'!I8))</x:f>
        <x:v>25.125</x:v>
      </x:c>
      <x:c r="G1187" s="90" t="n">
        <x:f>IF(E1187&lt;2,"",STDEV.S('32_W2_温度'!C8,'32_W2_温度'!E8,'32_W2_温度'!G8,'32_W2_温度'!I8))</x:f>
        <x:v>0.41129875597510207</x:v>
      </x:c>
      <x:c r="H1187" s="90" t="n">
        <x:f>IF(E1187=0,"",MIN('32_W2_温度'!C8,'32_W2_温度'!E8,'32_W2_温度'!G8,'32_W2_温度'!I8))</x:f>
        <x:v>24.6</x:v>
      </x:c>
      <x:c r="I1187" s="90" t="n">
        <x:f>IF(E1187=0,"",MAX('32_W2_温度'!C8,'32_W2_温度'!E8,'32_W2_温度'!G8,'32_W2_温度'!I8))</x:f>
        <x:v>25.6</x:v>
      </x:c>
      <x:c r="J1187" s="32" t="str">
        <x:v>℃</x:v>
      </x:c>
    </x:row>
    <x:row r="1188">
      <x:c r="A1188" s="72" t="n">
        <x:v>46240.81658564815</x:v>
      </x:c>
      <x:c r="B1188" s="32" t="str">
        <x:v>土壤温度</x:v>
      </x:c>
      <x:c r="C1188" s="32" t="str">
        <x:v>W2</x:v>
      </x:c>
      <x:c r="D1188" s="32" t="str">
        <x:v>V1</x:v>
      </x:c>
      <x:c r="E1188" s="86" t="n">
        <x:f>COUNT('32_W2_温度'!B9,'32_W2_温度'!D9,'32_W2_温度'!F9,'32_W2_温度'!H9)</x:f>
        <x:v>4</x:v>
      </x:c>
      <x:c r="F1188" s="90" t="n">
        <x:f>IF(E1188=0,"",AVERAGE('32_W2_温度'!B9,'32_W2_温度'!D9,'32_W2_温度'!F9,'32_W2_温度'!H9))</x:f>
        <x:v>25.125</x:v>
      </x:c>
      <x:c r="G1188" s="90" t="n">
        <x:f>IF(E1188&lt;2,"",STDEV.S('32_W2_温度'!B9,'32_W2_温度'!D9,'32_W2_温度'!F9,'32_W2_温度'!H9))</x:f>
        <x:v>0.4031128874149287</x:v>
      </x:c>
      <x:c r="H1188" s="90" t="n">
        <x:f>IF(E1188=0,"",MIN('32_W2_温度'!B9,'32_W2_温度'!D9,'32_W2_温度'!F9,'32_W2_温度'!H9))</x:f>
        <x:v>24.7</x:v>
      </x:c>
      <x:c r="I1188" s="90" t="n">
        <x:f>IF(E1188=0,"",MAX('32_W2_温度'!B9,'32_W2_温度'!D9,'32_W2_温度'!F9,'32_W2_温度'!H9))</x:f>
        <x:v>25.6</x:v>
      </x:c>
      <x:c r="J1188" s="32" t="str">
        <x:v>℃</x:v>
      </x:c>
    </x:row>
    <x:row r="1189">
      <x:c r="A1189" s="72" t="n">
        <x:v>46240.81658564815</x:v>
      </x:c>
      <x:c r="B1189" s="32" t="str">
        <x:v>土壤温度</x:v>
      </x:c>
      <x:c r="C1189" s="32" t="str">
        <x:v>W2</x:v>
      </x:c>
      <x:c r="D1189" s="32" t="str">
        <x:v>V2</x:v>
      </x:c>
      <x:c r="E1189" s="86" t="n">
        <x:f>COUNT('32_W2_温度'!C9,'32_W2_温度'!E9,'32_W2_温度'!G9,'32_W2_温度'!I9)</x:f>
        <x:v>4</x:v>
      </x:c>
      <x:c r="F1189" s="90" t="n">
        <x:f>IF(E1189=0,"",AVERAGE('32_W2_温度'!C9,'32_W2_温度'!E9,'32_W2_温度'!G9,'32_W2_温度'!I9))</x:f>
        <x:v>25.125</x:v>
      </x:c>
      <x:c r="G1189" s="90" t="n">
        <x:f>IF(E1189&lt;2,"",STDEV.S('32_W2_温度'!C9,'32_W2_温度'!E9,'32_W2_温度'!G9,'32_W2_温度'!I9))</x:f>
        <x:v>0.41129875597510207</x:v>
      </x:c>
      <x:c r="H1189" s="90" t="n">
        <x:f>IF(E1189=0,"",MIN('32_W2_温度'!C9,'32_W2_温度'!E9,'32_W2_温度'!G9,'32_W2_温度'!I9))</x:f>
        <x:v>24.6</x:v>
      </x:c>
      <x:c r="I1189" s="90" t="n">
        <x:f>IF(E1189=0,"",MAX('32_W2_温度'!C9,'32_W2_温度'!E9,'32_W2_温度'!G9,'32_W2_温度'!I9))</x:f>
        <x:v>25.6</x:v>
      </x:c>
      <x:c r="J1189" s="32" t="str">
        <x:v>℃</x:v>
      </x:c>
    </x:row>
    <x:row r="1190">
      <x:c r="A1190" s="72" t="n">
        <x:v>46240.82005787037</x:v>
      </x:c>
      <x:c r="B1190" s="32" t="str">
        <x:v>土壤温度</x:v>
      </x:c>
      <x:c r="C1190" s="32" t="str">
        <x:v>W2</x:v>
      </x:c>
      <x:c r="D1190" s="32" t="str">
        <x:v>V1</x:v>
      </x:c>
      <x:c r="E1190" s="86" t="n">
        <x:f>COUNT('32_W2_温度'!B10,'32_W2_温度'!D10,'32_W2_温度'!F10,'32_W2_温度'!H10)</x:f>
        <x:v>4</x:v>
      </x:c>
      <x:c r="F1190" s="90" t="n">
        <x:f>IF(E1190=0,"",AVERAGE('32_W2_温度'!B10,'32_W2_温度'!D10,'32_W2_温度'!F10,'32_W2_温度'!H10))</x:f>
        <x:v>25.099999999999998</x:v>
      </x:c>
      <x:c r="G1190" s="90" t="n">
        <x:f>IF(E1190&lt;2,"",STDEV.S('32_W2_温度'!B10,'32_W2_温度'!D10,'32_W2_温度'!F10,'32_W2_温度'!H10))</x:f>
        <x:v>0.40824829046386274</x:v>
      </x:c>
      <x:c r="H1190" s="90" t="n">
        <x:f>IF(E1190=0,"",MIN('32_W2_温度'!B10,'32_W2_温度'!D10,'32_W2_温度'!F10,'32_W2_温度'!H10))</x:f>
        <x:v>24.7</x:v>
      </x:c>
      <x:c r="I1190" s="90" t="n">
        <x:f>IF(E1190=0,"",MAX('32_W2_温度'!B10,'32_W2_温度'!D10,'32_W2_温度'!F10,'32_W2_温度'!H10))</x:f>
        <x:v>25.5</x:v>
      </x:c>
      <x:c r="J1190" s="32" t="str">
        <x:v>℃</x:v>
      </x:c>
    </x:row>
    <x:row r="1191">
      <x:c r="A1191" s="72" t="n">
        <x:v>46240.82005787037</x:v>
      </x:c>
      <x:c r="B1191" s="32" t="str">
        <x:v>土壤温度</x:v>
      </x:c>
      <x:c r="C1191" s="32" t="str">
        <x:v>W2</x:v>
      </x:c>
      <x:c r="D1191" s="32" t="str">
        <x:v>V2</x:v>
      </x:c>
      <x:c r="E1191" s="86" t="n">
        <x:f>COUNT('32_W2_温度'!C10,'32_W2_温度'!E10,'32_W2_温度'!G10,'32_W2_温度'!I10)</x:f>
        <x:v>4</x:v>
      </x:c>
      <x:c r="F1191" s="90" t="n">
        <x:f>IF(E1191=0,"",AVERAGE('32_W2_温度'!C10,'32_W2_温度'!E10,'32_W2_温度'!G10,'32_W2_温度'!I10))</x:f>
        <x:v>25.125</x:v>
      </x:c>
      <x:c r="G1191" s="90" t="n">
        <x:f>IF(E1191&lt;2,"",STDEV.S('32_W2_温度'!C10,'32_W2_温度'!E10,'32_W2_温度'!G10,'32_W2_温度'!I10))</x:f>
        <x:v>0.4031128874149287</x:v>
      </x:c>
      <x:c r="H1191" s="90" t="n">
        <x:f>IF(E1191=0,"",MIN('32_W2_温度'!C10,'32_W2_温度'!E10,'32_W2_温度'!G10,'32_W2_温度'!I10))</x:f>
        <x:v>24.7</x:v>
      </x:c>
      <x:c r="I1191" s="90" t="n">
        <x:f>IF(E1191=0,"",MAX('32_W2_温度'!C10,'32_W2_温度'!E10,'32_W2_温度'!G10,'32_W2_温度'!I10))</x:f>
        <x:v>25.6</x:v>
      </x:c>
      <x:c r="J1191" s="32" t="str">
        <x:v>℃</x:v>
      </x:c>
    </x:row>
    <x:row r="1192">
      <x:c r="A1192" s="72" t="n">
        <x:v>46240.823530092595</x:v>
      </x:c>
      <x:c r="B1192" s="32" t="str">
        <x:v>土壤温度</x:v>
      </x:c>
      <x:c r="C1192" s="32" t="str">
        <x:v>W2</x:v>
      </x:c>
      <x:c r="D1192" s="32" t="str">
        <x:v>V1</x:v>
      </x:c>
      <x:c r="E1192" s="86" t="n">
        <x:f>COUNT('32_W2_温度'!B11,'32_W2_温度'!D11,'32_W2_温度'!F11,'32_W2_温度'!H11)</x:f>
        <x:v>4</x:v>
      </x:c>
      <x:c r="F1192" s="90" t="n">
        <x:f>IF(E1192=0,"",AVERAGE('32_W2_温度'!B11,'32_W2_温度'!D11,'32_W2_温度'!F11,'32_W2_温度'!H11))</x:f>
        <x:v>25.099999999999998</x:v>
      </x:c>
      <x:c r="G1192" s="90" t="n">
        <x:f>IF(E1192&lt;2,"",STDEV.S('32_W2_温度'!B11,'32_W2_温度'!D11,'32_W2_温度'!F11,'32_W2_温度'!H11))</x:f>
        <x:v>0.40824829046386274</x:v>
      </x:c>
      <x:c r="H1192" s="90" t="n">
        <x:f>IF(E1192=0,"",MIN('32_W2_温度'!B11,'32_W2_温度'!D11,'32_W2_温度'!F11,'32_W2_温度'!H11))</x:f>
        <x:v>24.7</x:v>
      </x:c>
      <x:c r="I1192" s="90" t="n">
        <x:f>IF(E1192=0,"",MAX('32_W2_温度'!B11,'32_W2_温度'!D11,'32_W2_温度'!F11,'32_W2_温度'!H11))</x:f>
        <x:v>25.5</x:v>
      </x:c>
      <x:c r="J1192" s="32" t="str">
        <x:v>℃</x:v>
      </x:c>
    </x:row>
    <x:row r="1193">
      <x:c r="A1193" s="72" t="n">
        <x:v>46240.823530092595</x:v>
      </x:c>
      <x:c r="B1193" s="32" t="str">
        <x:v>土壤温度</x:v>
      </x:c>
      <x:c r="C1193" s="32" t="str">
        <x:v>W2</x:v>
      </x:c>
      <x:c r="D1193" s="32" t="str">
        <x:v>V2</x:v>
      </x:c>
      <x:c r="E1193" s="86" t="n">
        <x:f>COUNT('32_W2_温度'!C11,'32_W2_温度'!E11,'32_W2_温度'!G11,'32_W2_温度'!I11)</x:f>
        <x:v>4</x:v>
      </x:c>
      <x:c r="F1193" s="90" t="n">
        <x:f>IF(E1193=0,"",AVERAGE('32_W2_温度'!C11,'32_W2_温度'!E11,'32_W2_温度'!G11,'32_W2_温度'!I11))</x:f>
        <x:v>25.099999999999998</x:v>
      </x:c>
      <x:c r="G1193" s="90" t="n">
        <x:f>IF(E1193&lt;2,"",STDEV.S('32_W2_温度'!C11,'32_W2_温度'!E11,'32_W2_温度'!G11,'32_W2_温度'!I11))</x:f>
        <x:v>0.40824829046386274</x:v>
      </x:c>
      <x:c r="H1193" s="90" t="n">
        <x:f>IF(E1193=0,"",MIN('32_W2_温度'!C11,'32_W2_温度'!E11,'32_W2_温度'!G11,'32_W2_温度'!I11))</x:f>
        <x:v>24.7</x:v>
      </x:c>
      <x:c r="I1193" s="90" t="n">
        <x:f>IF(E1193=0,"",MAX('32_W2_温度'!C11,'32_W2_温度'!E11,'32_W2_温度'!G11,'32_W2_温度'!I11))</x:f>
        <x:v>25.5</x:v>
      </x:c>
      <x:c r="J1193" s="32" t="str">
        <x:v>℃</x:v>
      </x:c>
    </x:row>
    <x:row r="1194">
      <x:c r="A1194" s="72" t="n">
        <x:v>46240.827002314814</x:v>
      </x:c>
      <x:c r="B1194" s="32" t="str">
        <x:v>土壤温度</x:v>
      </x:c>
      <x:c r="C1194" s="32" t="str">
        <x:v>W2</x:v>
      </x:c>
      <x:c r="D1194" s="32" t="str">
        <x:v>V1</x:v>
      </x:c>
      <x:c r="E1194" s="86" t="n">
        <x:f>COUNT('32_W2_温度'!B12,'32_W2_温度'!D12,'32_W2_温度'!F12,'32_W2_温度'!H12)</x:f>
        <x:v>4</x:v>
      </x:c>
      <x:c r="F1194" s="90" t="n">
        <x:f>IF(E1194=0,"",AVERAGE('32_W2_温度'!B12,'32_W2_温度'!D12,'32_W2_温度'!F12,'32_W2_温度'!H12))</x:f>
        <x:v>25.15</x:v>
      </x:c>
      <x:c r="G1194" s="90" t="n">
        <x:f>IF(E1194&lt;2,"",STDEV.S('32_W2_温度'!B12,'32_W2_温度'!D12,'32_W2_温度'!F12,'32_W2_温度'!H12))</x:f>
        <x:v>0.3872983346207426</x:v>
      </x:c>
      <x:c r="H1194" s="90" t="n">
        <x:f>IF(E1194=0,"",MIN('32_W2_温度'!B12,'32_W2_温度'!D12,'32_W2_温度'!F12,'32_W2_温度'!H12))</x:f>
        <x:v>24.7</x:v>
      </x:c>
      <x:c r="I1194" s="90" t="n">
        <x:f>IF(E1194=0,"",MAX('32_W2_温度'!B12,'32_W2_温度'!D12,'32_W2_温度'!F12,'32_W2_温度'!H12))</x:f>
        <x:v>25.6</x:v>
      </x:c>
      <x:c r="J1194" s="32" t="str">
        <x:v>℃</x:v>
      </x:c>
    </x:row>
    <x:row r="1195">
      <x:c r="A1195" s="72" t="n">
        <x:v>46240.827002314814</x:v>
      </x:c>
      <x:c r="B1195" s="32" t="str">
        <x:v>土壤温度</x:v>
      </x:c>
      <x:c r="C1195" s="32" t="str">
        <x:v>W2</x:v>
      </x:c>
      <x:c r="D1195" s="32" t="str">
        <x:v>V2</x:v>
      </x:c>
      <x:c r="E1195" s="86" t="n">
        <x:f>COUNT('32_W2_温度'!C12,'32_W2_温度'!E12,'32_W2_温度'!G12,'32_W2_温度'!I12)</x:f>
        <x:v>4</x:v>
      </x:c>
      <x:c r="F1195" s="90" t="n">
        <x:f>IF(E1195=0,"",AVERAGE('32_W2_温度'!C12,'32_W2_温度'!E12,'32_W2_温度'!G12,'32_W2_温度'!I12))</x:f>
        <x:v>25.099999999999998</x:v>
      </x:c>
      <x:c r="G1195" s="90" t="n">
        <x:f>IF(E1195&lt;2,"",STDEV.S('32_W2_温度'!C12,'32_W2_温度'!E12,'32_W2_温度'!G12,'32_W2_温度'!I12))</x:f>
        <x:v>0.40824829046386274</x:v>
      </x:c>
      <x:c r="H1195" s="90" t="n">
        <x:f>IF(E1195=0,"",MIN('32_W2_温度'!C12,'32_W2_温度'!E12,'32_W2_温度'!G12,'32_W2_温度'!I12))</x:f>
        <x:v>24.7</x:v>
      </x:c>
      <x:c r="I1195" s="90" t="n">
        <x:f>IF(E1195=0,"",MAX('32_W2_温度'!C12,'32_W2_温度'!E12,'32_W2_温度'!G12,'32_W2_温度'!I12))</x:f>
        <x:v>25.5</x:v>
      </x:c>
      <x:c r="J1195" s="32" t="str">
        <x:v>℃</x:v>
      </x:c>
    </x:row>
    <x:row r="1196">
      <x:c r="A1196" s="72" t="n">
        <x:v>46240.83047453704</x:v>
      </x:c>
      <x:c r="B1196" s="32" t="str">
        <x:v>土壤温度</x:v>
      </x:c>
      <x:c r="C1196" s="32" t="str">
        <x:v>W2</x:v>
      </x:c>
      <x:c r="D1196" s="32" t="str">
        <x:v>V1</x:v>
      </x:c>
      <x:c r="E1196" s="86" t="n">
        <x:f>COUNT('32_W2_温度'!B13,'32_W2_温度'!D13,'32_W2_温度'!F13,'32_W2_温度'!H13)</x:f>
        <x:v>4</x:v>
      </x:c>
      <x:c r="F1196" s="90" t="n">
        <x:f>IF(E1196=0,"",AVERAGE('32_W2_温度'!B13,'32_W2_温度'!D13,'32_W2_温度'!F13,'32_W2_温度'!H13))</x:f>
        <x:v>25.125</x:v>
      </x:c>
      <x:c r="G1196" s="90" t="n">
        <x:f>IF(E1196&lt;2,"",STDEV.S('32_W2_温度'!B13,'32_W2_温度'!D13,'32_W2_温度'!F13,'32_W2_温度'!H13))</x:f>
        <x:v>0.41129875597510207</x:v>
      </x:c>
      <x:c r="H1196" s="90" t="n">
        <x:f>IF(E1196=0,"",MIN('32_W2_温度'!B13,'32_W2_温度'!D13,'32_W2_温度'!F13,'32_W2_温度'!H13))</x:f>
        <x:v>24.6</x:v>
      </x:c>
      <x:c r="I1196" s="90" t="n">
        <x:f>IF(E1196=0,"",MAX('32_W2_温度'!B13,'32_W2_温度'!D13,'32_W2_温度'!F13,'32_W2_温度'!H13))</x:f>
        <x:v>25.6</x:v>
      </x:c>
      <x:c r="J1196" s="32" t="str">
        <x:v>℃</x:v>
      </x:c>
    </x:row>
    <x:row r="1197">
      <x:c r="A1197" s="72" t="n">
        <x:v>46240.83047453704</x:v>
      </x:c>
      <x:c r="B1197" s="32" t="str">
        <x:v>土壤温度</x:v>
      </x:c>
      <x:c r="C1197" s="32" t="str">
        <x:v>W2</x:v>
      </x:c>
      <x:c r="D1197" s="32" t="str">
        <x:v>V2</x:v>
      </x:c>
      <x:c r="E1197" s="86" t="n">
        <x:f>COUNT('32_W2_温度'!C13,'32_W2_温度'!E13,'32_W2_温度'!G13,'32_W2_温度'!I13)</x:f>
        <x:v>4</x:v>
      </x:c>
      <x:c r="F1197" s="90" t="n">
        <x:f>IF(E1197=0,"",AVERAGE('32_W2_温度'!C13,'32_W2_温度'!E13,'32_W2_温度'!G13,'32_W2_温度'!I13))</x:f>
        <x:v>25.15</x:v>
      </x:c>
      <x:c r="G1197" s="90" t="n">
        <x:f>IF(E1197&lt;2,"",STDEV.S('32_W2_温度'!C13,'32_W2_温度'!E13,'32_W2_温度'!G13,'32_W2_温度'!I13))</x:f>
        <x:v>0.3872983346207426</x:v>
      </x:c>
      <x:c r="H1197" s="90" t="n">
        <x:f>IF(E1197=0,"",MIN('32_W2_温度'!C13,'32_W2_温度'!E13,'32_W2_温度'!G13,'32_W2_温度'!I13))</x:f>
        <x:v>24.7</x:v>
      </x:c>
      <x:c r="I1197" s="90" t="n">
        <x:f>IF(E1197=0,"",MAX('32_W2_温度'!C13,'32_W2_温度'!E13,'32_W2_温度'!G13,'32_W2_温度'!I13))</x:f>
        <x:v>25.6</x:v>
      </x:c>
      <x:c r="J1197" s="32" t="str">
        <x:v>℃</x:v>
      </x:c>
    </x:row>
    <x:row r="1198">
      <x:c r="A1198" s="72" t="n">
        <x:v>46240.83394675926</x:v>
      </x:c>
      <x:c r="B1198" s="32" t="str">
        <x:v>土壤温度</x:v>
      </x:c>
      <x:c r="C1198" s="32" t="str">
        <x:v>W2</x:v>
      </x:c>
      <x:c r="D1198" s="32" t="str">
        <x:v>V1</x:v>
      </x:c>
      <x:c r="E1198" s="86" t="n">
        <x:f>COUNT('32_W2_温度'!B14,'32_W2_温度'!D14,'32_W2_温度'!F14,'32_W2_温度'!H14)</x:f>
        <x:v>4</x:v>
      </x:c>
      <x:c r="F1198" s="90" t="n">
        <x:f>IF(E1198=0,"",AVERAGE('32_W2_温度'!B14,'32_W2_温度'!D14,'32_W2_温度'!F14,'32_W2_温度'!H14))</x:f>
        <x:v>25.125000000000004</x:v>
      </x:c>
      <x:c r="G1198" s="90" t="n">
        <x:f>IF(E1198&lt;2,"",STDEV.S('32_W2_温度'!B14,'32_W2_温度'!D14,'32_W2_温度'!F14,'32_W2_温度'!H14))</x:f>
        <x:v>0.41129875597510207</x:v>
      </x:c>
      <x:c r="H1198" s="90" t="n">
        <x:f>IF(E1198=0,"",MIN('32_W2_温度'!B14,'32_W2_温度'!D14,'32_W2_温度'!F14,'32_W2_温度'!H14))</x:f>
        <x:v>24.6</x:v>
      </x:c>
      <x:c r="I1198" s="90" t="n">
        <x:f>IF(E1198=0,"",MAX('32_W2_温度'!B14,'32_W2_温度'!D14,'32_W2_温度'!F14,'32_W2_温度'!H14))</x:f>
        <x:v>25.6</x:v>
      </x:c>
      <x:c r="J1198" s="32" t="str">
        <x:v>℃</x:v>
      </x:c>
    </x:row>
    <x:row r="1199">
      <x:c r="A1199" s="72" t="n">
        <x:v>46240.83394675926</x:v>
      </x:c>
      <x:c r="B1199" s="32" t="str">
        <x:v>土壤温度</x:v>
      </x:c>
      <x:c r="C1199" s="32" t="str">
        <x:v>W2</x:v>
      </x:c>
      <x:c r="D1199" s="32" t="str">
        <x:v>V2</x:v>
      </x:c>
      <x:c r="E1199" s="86" t="n">
        <x:f>COUNT('32_W2_温度'!C14,'32_W2_温度'!E14,'32_W2_温度'!G14,'32_W2_温度'!I14)</x:f>
        <x:v>4</x:v>
      </x:c>
      <x:c r="F1199" s="90" t="n">
        <x:f>IF(E1199=0,"",AVERAGE('32_W2_温度'!C14,'32_W2_温度'!E14,'32_W2_温度'!G14,'32_W2_温度'!I14))</x:f>
        <x:v>25.125</x:v>
      </x:c>
      <x:c r="G1199" s="90" t="n">
        <x:f>IF(E1199&lt;2,"",STDEV.S('32_W2_温度'!C14,'32_W2_温度'!E14,'32_W2_温度'!G14,'32_W2_温度'!I14))</x:f>
        <x:v>0.41129875597510207</x:v>
      </x:c>
      <x:c r="H1199" s="90" t="n">
        <x:f>IF(E1199=0,"",MIN('32_W2_温度'!C14,'32_W2_温度'!E14,'32_W2_温度'!G14,'32_W2_温度'!I14))</x:f>
        <x:v>24.6</x:v>
      </x:c>
      <x:c r="I1199" s="90" t="n">
        <x:f>IF(E1199=0,"",MAX('32_W2_温度'!C14,'32_W2_温度'!E14,'32_W2_温度'!G14,'32_W2_温度'!I14))</x:f>
        <x:v>25.6</x:v>
      </x:c>
      <x:c r="J1199" s="32" t="str">
        <x:v>℃</x:v>
      </x:c>
    </x:row>
    <x:row r="1200">
      <x:c r="A1200" s="72" t="n">
        <x:v>46240.83741898148</x:v>
      </x:c>
      <x:c r="B1200" s="32" t="str">
        <x:v>土壤温度</x:v>
      </x:c>
      <x:c r="C1200" s="32" t="str">
        <x:v>W2</x:v>
      </x:c>
      <x:c r="D1200" s="32" t="str">
        <x:v>V1</x:v>
      </x:c>
      <x:c r="E1200" s="86" t="n">
        <x:f>COUNT('32_W2_温度'!B15,'32_W2_温度'!D15,'32_W2_温度'!F15,'32_W2_温度'!H15)</x:f>
        <x:v>4</x:v>
      </x:c>
      <x:c r="F1200" s="90" t="n">
        <x:f>IF(E1200=0,"",AVERAGE('32_W2_温度'!B15,'32_W2_温度'!D15,'32_W2_温度'!F15,'32_W2_温度'!H15))</x:f>
        <x:v>25.099999999999998</x:v>
      </x:c>
      <x:c r="G1200" s="90" t="n">
        <x:f>IF(E1200&lt;2,"",STDEV.S('32_W2_温度'!B15,'32_W2_温度'!D15,'32_W2_温度'!F15,'32_W2_温度'!H15))</x:f>
        <x:v>0.4396968652757643</x:v>
      </x:c>
      <x:c r="H1200" s="90" t="n">
        <x:f>IF(E1200=0,"",MIN('32_W2_温度'!B15,'32_W2_温度'!D15,'32_W2_温度'!F15,'32_W2_温度'!H15))</x:f>
        <x:v>24.6</x:v>
      </x:c>
      <x:c r="I1200" s="90" t="n">
        <x:f>IF(E1200=0,"",MAX('32_W2_温度'!B15,'32_W2_温度'!D15,'32_W2_温度'!F15,'32_W2_温度'!H15))</x:f>
        <x:v>25.6</x:v>
      </x:c>
      <x:c r="J1200" s="32" t="str">
        <x:v>℃</x:v>
      </x:c>
    </x:row>
    <x:row r="1201">
      <x:c r="A1201" s="72" t="n">
        <x:v>46240.83741898148</x:v>
      </x:c>
      <x:c r="B1201" s="32" t="str">
        <x:v>土壤温度</x:v>
      </x:c>
      <x:c r="C1201" s="32" t="str">
        <x:v>W2</x:v>
      </x:c>
      <x:c r="D1201" s="32" t="str">
        <x:v>V2</x:v>
      </x:c>
      <x:c r="E1201" s="86" t="n">
        <x:f>COUNT('32_W2_温度'!C15,'32_W2_温度'!E15,'32_W2_温度'!G15,'32_W2_温度'!I15)</x:f>
        <x:v>4</x:v>
      </x:c>
      <x:c r="F1201" s="90" t="n">
        <x:f>IF(E1201=0,"",AVERAGE('32_W2_温度'!C15,'32_W2_温度'!E15,'32_W2_温度'!G15,'32_W2_温度'!I15))</x:f>
        <x:v>25.125000000000004</x:v>
      </x:c>
      <x:c r="G1201" s="90" t="n">
        <x:f>IF(E1201&lt;2,"",STDEV.S('32_W2_温度'!C15,'32_W2_温度'!E15,'32_W2_温度'!G15,'32_W2_温度'!I15))</x:f>
        <x:v>0.41129875597510207</x:v>
      </x:c>
      <x:c r="H1201" s="90" t="n">
        <x:f>IF(E1201=0,"",MIN('32_W2_温度'!C15,'32_W2_温度'!E15,'32_W2_温度'!G15,'32_W2_温度'!I15))</x:f>
        <x:v>24.6</x:v>
      </x:c>
      <x:c r="I1201" s="90" t="n">
        <x:f>IF(E1201=0,"",MAX('32_W2_温度'!C15,'32_W2_温度'!E15,'32_W2_温度'!G15,'32_W2_温度'!I15))</x:f>
        <x:v>25.6</x:v>
      </x:c>
      <x:c r="J1201" s="32" t="str">
        <x:v>℃</x:v>
      </x:c>
    </x:row>
    <x:row r="1202">
      <x:c r="A1202" s="72" t="n">
        <x:v>46240.840891203705</x:v>
      </x:c>
      <x:c r="B1202" s="32" t="str">
        <x:v>土壤温度</x:v>
      </x:c>
      <x:c r="C1202" s="32" t="str">
        <x:v>W2</x:v>
      </x:c>
      <x:c r="D1202" s="32" t="str">
        <x:v>V1</x:v>
      </x:c>
      <x:c r="E1202" s="86" t="n">
        <x:f>COUNT('32_W2_温度'!B16,'32_W2_温度'!D16,'32_W2_温度'!F16,'32_W2_温度'!H16)</x:f>
        <x:v>4</x:v>
      </x:c>
      <x:c r="F1202" s="90" t="n">
        <x:f>IF(E1202=0,"",AVERAGE('32_W2_温度'!B16,'32_W2_温度'!D16,'32_W2_温度'!F16,'32_W2_温度'!H16))</x:f>
        <x:v>25.1</x:v>
      </x:c>
      <x:c r="G1202" s="90" t="n">
        <x:f>IF(E1202&lt;2,"",STDEV.S('32_W2_温度'!B16,'32_W2_温度'!D16,'32_W2_温度'!F16,'32_W2_温度'!H16))</x:f>
        <x:v>0.40824829046386274</x:v>
      </x:c>
      <x:c r="H1202" s="90" t="n">
        <x:f>IF(E1202=0,"",MIN('32_W2_温度'!B16,'32_W2_温度'!D16,'32_W2_温度'!F16,'32_W2_温度'!H16))</x:f>
        <x:v>24.7</x:v>
      </x:c>
      <x:c r="I1202" s="90" t="n">
        <x:f>IF(E1202=0,"",MAX('32_W2_温度'!B16,'32_W2_温度'!D16,'32_W2_温度'!F16,'32_W2_温度'!H16))</x:f>
        <x:v>25.5</x:v>
      </x:c>
      <x:c r="J1202" s="32" t="str">
        <x:v>℃</x:v>
      </x:c>
    </x:row>
    <x:row r="1203">
      <x:c r="A1203" s="72" t="n">
        <x:v>46240.840891203705</x:v>
      </x:c>
      <x:c r="B1203" s="32" t="str">
        <x:v>土壤温度</x:v>
      </x:c>
      <x:c r="C1203" s="32" t="str">
        <x:v>W2</x:v>
      </x:c>
      <x:c r="D1203" s="32" t="str">
        <x:v>V2</x:v>
      </x:c>
      <x:c r="E1203" s="86" t="n">
        <x:f>COUNT('32_W2_温度'!C16,'32_W2_温度'!E16,'32_W2_温度'!G16,'32_W2_温度'!I16)</x:f>
        <x:v>4</x:v>
      </x:c>
      <x:c r="F1203" s="90" t="n">
        <x:f>IF(E1203=0,"",AVERAGE('32_W2_温度'!C16,'32_W2_温度'!E16,'32_W2_温度'!G16,'32_W2_温度'!I16))</x:f>
        <x:v>25.099999999999998</x:v>
      </x:c>
      <x:c r="G1203" s="90" t="n">
        <x:f>IF(E1203&lt;2,"",STDEV.S('32_W2_温度'!C16,'32_W2_温度'!E16,'32_W2_温度'!G16,'32_W2_温度'!I16))</x:f>
        <x:v>0.4396968652757643</x:v>
      </x:c>
      <x:c r="H1203" s="90" t="n">
        <x:f>IF(E1203=0,"",MIN('32_W2_温度'!C16,'32_W2_温度'!E16,'32_W2_温度'!G16,'32_W2_温度'!I16))</x:f>
        <x:v>24.6</x:v>
      </x:c>
      <x:c r="I1203" s="90" t="n">
        <x:f>IF(E1203=0,"",MAX('32_W2_温度'!C16,'32_W2_温度'!E16,'32_W2_温度'!G16,'32_W2_温度'!I16))</x:f>
        <x:v>25.6</x:v>
      </x:c>
      <x:c r="J1203" s="32" t="str">
        <x:v>℃</x:v>
      </x:c>
    </x:row>
    <x:row r="1204">
      <x:c r="A1204" s="72" t="n">
        <x:v>46240.844363425924</x:v>
      </x:c>
      <x:c r="B1204" s="32" t="str">
        <x:v>土壤温度</x:v>
      </x:c>
      <x:c r="C1204" s="32" t="str">
        <x:v>W2</x:v>
      </x:c>
      <x:c r="D1204" s="32" t="str">
        <x:v>V1</x:v>
      </x:c>
      <x:c r="E1204" s="86" t="n">
        <x:f>COUNT('32_W2_温度'!B17,'32_W2_温度'!D17,'32_W2_温度'!F17,'32_W2_温度'!H17)</x:f>
        <x:v>4</x:v>
      </x:c>
      <x:c r="F1204" s="90" t="n">
        <x:f>IF(E1204=0,"",AVERAGE('32_W2_温度'!B17,'32_W2_温度'!D17,'32_W2_温度'!F17,'32_W2_温度'!H17))</x:f>
        <x:v>25.075</x:v>
      </x:c>
      <x:c r="G1204" s="90" t="n">
        <x:f>IF(E1204&lt;2,"",STDEV.S('32_W2_温度'!B17,'32_W2_温度'!D17,'32_W2_温度'!F17,'32_W2_温度'!H17))</x:f>
        <x:v>0.4349329450233297</x:v>
      </x:c>
      <x:c r="H1204" s="90" t="n">
        <x:f>IF(E1204=0,"",MIN('32_W2_温度'!B17,'32_W2_温度'!D17,'32_W2_温度'!F17,'32_W2_温度'!H17))</x:f>
        <x:v>24.7</x:v>
      </x:c>
      <x:c r="I1204" s="90" t="n">
        <x:f>IF(E1204=0,"",MAX('32_W2_温度'!B17,'32_W2_温度'!D17,'32_W2_温度'!F17,'32_W2_温度'!H17))</x:f>
        <x:v>25.5</x:v>
      </x:c>
      <x:c r="J1204" s="32" t="str">
        <x:v>℃</x:v>
      </x:c>
    </x:row>
    <x:row r="1205">
      <x:c r="A1205" s="72" t="n">
        <x:v>46240.844363425924</x:v>
      </x:c>
      <x:c r="B1205" s="32" t="str">
        <x:v>土壤温度</x:v>
      </x:c>
      <x:c r="C1205" s="32" t="str">
        <x:v>W2</x:v>
      </x:c>
      <x:c r="D1205" s="32" t="str">
        <x:v>V2</x:v>
      </x:c>
      <x:c r="E1205" s="86" t="n">
        <x:f>COUNT('32_W2_温度'!C17,'32_W2_温度'!E17,'32_W2_温度'!G17,'32_W2_温度'!I17)</x:f>
        <x:v>4</x:v>
      </x:c>
      <x:c r="F1205" s="90" t="n">
        <x:f>IF(E1205=0,"",AVERAGE('32_W2_温度'!C17,'32_W2_温度'!E17,'32_W2_温度'!G17,'32_W2_温度'!I17))</x:f>
        <x:v>25.1</x:v>
      </x:c>
      <x:c r="G1205" s="90" t="n">
        <x:f>IF(E1205&lt;2,"",STDEV.S('32_W2_温度'!C17,'32_W2_温度'!E17,'32_W2_温度'!G17,'32_W2_温度'!I17))</x:f>
        <x:v>0.40824829046386274</x:v>
      </x:c>
      <x:c r="H1205" s="90" t="n">
        <x:f>IF(E1205=0,"",MIN('32_W2_温度'!C17,'32_W2_温度'!E17,'32_W2_温度'!G17,'32_W2_温度'!I17))</x:f>
        <x:v>24.7</x:v>
      </x:c>
      <x:c r="I1205" s="90" t="n">
        <x:f>IF(E1205=0,"",MAX('32_W2_温度'!C17,'32_W2_温度'!E17,'32_W2_温度'!G17,'32_W2_温度'!I17))</x:f>
        <x:v>25.5</x:v>
      </x:c>
      <x:c r="J1205" s="32" t="str">
        <x:v>℃</x:v>
      </x:c>
    </x:row>
    <x:row r="1206">
      <x:c r="A1206" s="72" t="n">
        <x:v>46240.84783564815</x:v>
      </x:c>
      <x:c r="B1206" s="32" t="str">
        <x:v>土壤温度</x:v>
      </x:c>
      <x:c r="C1206" s="32" t="str">
        <x:v>W2</x:v>
      </x:c>
      <x:c r="D1206" s="32" t="str">
        <x:v>V1</x:v>
      </x:c>
      <x:c r="E1206" s="86" t="n">
        <x:f>COUNT('32_W2_温度'!B18,'32_W2_温度'!D18,'32_W2_温度'!F18,'32_W2_温度'!H18)</x:f>
        <x:v>4</x:v>
      </x:c>
      <x:c r="F1206" s="90" t="n">
        <x:f>IF(E1206=0,"",AVERAGE('32_W2_温度'!B18,'32_W2_温度'!D18,'32_W2_温度'!F18,'32_W2_温度'!H18))</x:f>
        <x:v>25.1</x:v>
      </x:c>
      <x:c r="G1206" s="90" t="n">
        <x:f>IF(E1206&lt;2,"",STDEV.S('32_W2_温度'!B18,'32_W2_温度'!D18,'32_W2_温度'!F18,'32_W2_温度'!H18))</x:f>
        <x:v>0.42426406871192923</x:v>
      </x:c>
      <x:c r="H1206" s="90" t="n">
        <x:f>IF(E1206=0,"",MIN('32_W2_温度'!B18,'32_W2_温度'!D18,'32_W2_温度'!F18,'32_W2_温度'!H18))</x:f>
        <x:v>24.7</x:v>
      </x:c>
      <x:c r="I1206" s="90" t="n">
        <x:f>IF(E1206=0,"",MAX('32_W2_温度'!B18,'32_W2_温度'!D18,'32_W2_温度'!F18,'32_W2_温度'!H18))</x:f>
        <x:v>25.6</x:v>
      </x:c>
      <x:c r="J1206" s="32" t="str">
        <x:v>℃</x:v>
      </x:c>
    </x:row>
    <x:row r="1207">
      <x:c r="A1207" s="72" t="n">
        <x:v>46240.84783564815</x:v>
      </x:c>
      <x:c r="B1207" s="32" t="str">
        <x:v>土壤温度</x:v>
      </x:c>
      <x:c r="C1207" s="32" t="str">
        <x:v>W2</x:v>
      </x:c>
      <x:c r="D1207" s="32" t="str">
        <x:v>V2</x:v>
      </x:c>
      <x:c r="E1207" s="86" t="n">
        <x:f>COUNT('32_W2_温度'!C18,'32_W2_温度'!E18,'32_W2_温度'!G18,'32_W2_温度'!I18)</x:f>
        <x:v>4</x:v>
      </x:c>
      <x:c r="F1207" s="90" t="n">
        <x:f>IF(E1207=0,"",AVERAGE('32_W2_温度'!C18,'32_W2_温度'!E18,'32_W2_温度'!G18,'32_W2_温度'!I18))</x:f>
        <x:v>25.075</x:v>
      </x:c>
      <x:c r="G1207" s="90" t="n">
        <x:f>IF(E1207&lt;2,"",STDEV.S('32_W2_温度'!C18,'32_W2_温度'!E18,'32_W2_温度'!G18,'32_W2_温度'!I18))</x:f>
        <x:v>0.4349329450233297</x:v>
      </x:c>
      <x:c r="H1207" s="90" t="n">
        <x:f>IF(E1207=0,"",MIN('32_W2_温度'!C18,'32_W2_温度'!E18,'32_W2_温度'!G18,'32_W2_温度'!I18))</x:f>
        <x:v>24.7</x:v>
      </x:c>
      <x:c r="I1207" s="90" t="n">
        <x:f>IF(E1207=0,"",MAX('32_W2_温度'!C18,'32_W2_温度'!E18,'32_W2_温度'!G18,'32_W2_温度'!I18))</x:f>
        <x:v>25.5</x:v>
      </x:c>
      <x:c r="J1207" s="32" t="str">
        <x:v>℃</x:v>
      </x:c>
    </x:row>
    <x:row r="1208">
      <x:c r="A1208" s="72" t="n">
        <x:v>46240.85130787037</x:v>
      </x:c>
      <x:c r="B1208" s="32" t="str">
        <x:v>土壤温度</x:v>
      </x:c>
      <x:c r="C1208" s="32" t="str">
        <x:v>W2</x:v>
      </x:c>
      <x:c r="D1208" s="32" t="str">
        <x:v>V1</x:v>
      </x:c>
      <x:c r="E1208" s="86" t="n">
        <x:f>COUNT('32_W2_温度'!B19,'32_W2_温度'!D19,'32_W2_温度'!F19,'32_W2_温度'!H19)</x:f>
        <x:v>4</x:v>
      </x:c>
      <x:c r="F1208" s="90" t="n">
        <x:f>IF(E1208=0,"",AVERAGE('32_W2_温度'!B19,'32_W2_温度'!D19,'32_W2_温度'!F19,'32_W2_温度'!H19))</x:f>
        <x:v>25.075000000000003</x:v>
      </x:c>
      <x:c r="G1208" s="90" t="n">
        <x:f>IF(E1208&lt;2,"",STDEV.S('32_W2_温度'!B19,'32_W2_温度'!D19,'32_W2_温度'!F19,'32_W2_温度'!H19))</x:f>
        <x:v>0.4272001872658768</x:v>
      </x:c>
      <x:c r="H1208" s="90" t="n">
        <x:f>IF(E1208=0,"",MIN('32_W2_温度'!B19,'32_W2_温度'!D19,'32_W2_温度'!F19,'32_W2_温度'!H19))</x:f>
        <x:v>24.6</x:v>
      </x:c>
      <x:c r="I1208" s="90" t="n">
        <x:f>IF(E1208=0,"",MAX('32_W2_温度'!B19,'32_W2_温度'!D19,'32_W2_温度'!F19,'32_W2_温度'!H19))</x:f>
        <x:v>25.6</x:v>
      </x:c>
      <x:c r="J1208" s="32" t="str">
        <x:v>℃</x:v>
      </x:c>
    </x:row>
    <x:row r="1209">
      <x:c r="A1209" s="72" t="n">
        <x:v>46240.85130787037</x:v>
      </x:c>
      <x:c r="B1209" s="32" t="str">
        <x:v>土壤温度</x:v>
      </x:c>
      <x:c r="C1209" s="32" t="str">
        <x:v>W2</x:v>
      </x:c>
      <x:c r="D1209" s="32" t="str">
        <x:v>V2</x:v>
      </x:c>
      <x:c r="E1209" s="86" t="n">
        <x:f>COUNT('32_W2_温度'!C19,'32_W2_温度'!E19,'32_W2_温度'!G19,'32_W2_温度'!I19)</x:f>
        <x:v>4</x:v>
      </x:c>
      <x:c r="F1209" s="90" t="n">
        <x:f>IF(E1209=0,"",AVERAGE('32_W2_温度'!C19,'32_W2_温度'!E19,'32_W2_温度'!G19,'32_W2_温度'!I19))</x:f>
        <x:v>25.1</x:v>
      </x:c>
      <x:c r="G1209" s="90" t="n">
        <x:f>IF(E1209&lt;2,"",STDEV.S('32_W2_温度'!C19,'32_W2_温度'!E19,'32_W2_温度'!G19,'32_W2_温度'!I19))</x:f>
        <x:v>0.42426406871192923</x:v>
      </x:c>
      <x:c r="H1209" s="90" t="n">
        <x:f>IF(E1209=0,"",MIN('32_W2_温度'!C19,'32_W2_温度'!E19,'32_W2_温度'!G19,'32_W2_温度'!I19))</x:f>
        <x:v>24.7</x:v>
      </x:c>
      <x:c r="I1209" s="90" t="n">
        <x:f>IF(E1209=0,"",MAX('32_W2_温度'!C19,'32_W2_温度'!E19,'32_W2_温度'!G19,'32_W2_温度'!I19))</x:f>
        <x:v>25.6</x:v>
      </x:c>
      <x:c r="J1209" s="32" t="str">
        <x:v>℃</x:v>
      </x:c>
    </x:row>
    <x:row r="1210">
      <x:c r="A1210" s="72" t="n">
        <x:v>46240.854780092595</x:v>
      </x:c>
      <x:c r="B1210" s="32" t="str">
        <x:v>土壤温度</x:v>
      </x:c>
      <x:c r="C1210" s="32" t="str">
        <x:v>W2</x:v>
      </x:c>
      <x:c r="D1210" s="32" t="str">
        <x:v>V1</x:v>
      </x:c>
      <x:c r="E1210" s="86" t="n">
        <x:f>COUNT('32_W2_温度'!B20,'32_W2_温度'!D20,'32_W2_温度'!F20,'32_W2_温度'!H20)</x:f>
        <x:v>4</x:v>
      </x:c>
      <x:c r="F1210" s="90" t="n">
        <x:f>IF(E1210=0,"",AVERAGE('32_W2_温度'!B20,'32_W2_温度'!D20,'32_W2_温度'!F20,'32_W2_温度'!H20))</x:f>
        <x:v>25.1</x:v>
      </x:c>
      <x:c r="G1210" s="90" t="n">
        <x:f>IF(E1210&lt;2,"",STDEV.S('32_W2_温度'!B20,'32_W2_温度'!D20,'32_W2_温度'!F20,'32_W2_温度'!H20))</x:f>
        <x:v>0.408248290463863</x:v>
      </x:c>
      <x:c r="H1210" s="90" t="n">
        <x:f>IF(E1210=0,"",MIN('32_W2_温度'!B20,'32_W2_温度'!D20,'32_W2_温度'!F20,'32_W2_温度'!H20))</x:f>
        <x:v>24.6</x:v>
      </x:c>
      <x:c r="I1210" s="90" t="n">
        <x:f>IF(E1210=0,"",MAX('32_W2_温度'!B20,'32_W2_温度'!D20,'32_W2_温度'!F20,'32_W2_温度'!H20))</x:f>
        <x:v>25.6</x:v>
      </x:c>
      <x:c r="J1210" s="32" t="str">
        <x:v>℃</x:v>
      </x:c>
    </x:row>
    <x:row r="1211">
      <x:c r="A1211" s="72" t="n">
        <x:v>46240.854780092595</x:v>
      </x:c>
      <x:c r="B1211" s="32" t="str">
        <x:v>土壤温度</x:v>
      </x:c>
      <x:c r="C1211" s="32" t="str">
        <x:v>W2</x:v>
      </x:c>
      <x:c r="D1211" s="32" t="str">
        <x:v>V2</x:v>
      </x:c>
      <x:c r="E1211" s="86" t="n">
        <x:f>COUNT('32_W2_温度'!C20,'32_W2_温度'!E20,'32_W2_温度'!G20,'32_W2_温度'!I20)</x:f>
        <x:v>4</x:v>
      </x:c>
      <x:c r="F1211" s="90" t="n">
        <x:f>IF(E1211=0,"",AVERAGE('32_W2_温度'!C20,'32_W2_温度'!E20,'32_W2_温度'!G20,'32_W2_温度'!I20))</x:f>
        <x:v>25.075000000000003</x:v>
      </x:c>
      <x:c r="G1211" s="90" t="n">
        <x:f>IF(E1211&lt;2,"",STDEV.S('32_W2_温度'!C20,'32_W2_温度'!E20,'32_W2_温度'!G20,'32_W2_温度'!I20))</x:f>
        <x:v>0.4272001872658768</x:v>
      </x:c>
      <x:c r="H1211" s="90" t="n">
        <x:f>IF(E1211=0,"",MIN('32_W2_温度'!C20,'32_W2_温度'!E20,'32_W2_温度'!G20,'32_W2_温度'!I20))</x:f>
        <x:v>24.6</x:v>
      </x:c>
      <x:c r="I1211" s="90" t="n">
        <x:f>IF(E1211=0,"",MAX('32_W2_温度'!C20,'32_W2_温度'!E20,'32_W2_温度'!G20,'32_W2_温度'!I20))</x:f>
        <x:v>25.6</x:v>
      </x:c>
      <x:c r="J1211" s="32" t="str">
        <x:v>℃</x:v>
      </x:c>
    </x:row>
    <x:row r="1212">
      <x:c r="A1212" s="72" t="n">
        <x:v>46240.858252314814</x:v>
      </x:c>
      <x:c r="B1212" s="32" t="str">
        <x:v>土壤温度</x:v>
      </x:c>
      <x:c r="C1212" s="32" t="str">
        <x:v>W2</x:v>
      </x:c>
      <x:c r="D1212" s="32" t="str">
        <x:v>V1</x:v>
      </x:c>
      <x:c r="E1212" s="86" t="n">
        <x:f>COUNT('32_W2_温度'!B21,'32_W2_温度'!D21,'32_W2_温度'!F21,'32_W2_温度'!H21)</x:f>
        <x:v>4</x:v>
      </x:c>
      <x:c r="F1212" s="90" t="n">
        <x:f>IF(E1212=0,"",AVERAGE('32_W2_温度'!B21,'32_W2_温度'!D21,'32_W2_温度'!F21,'32_W2_温度'!H21))</x:f>
        <x:v>25.074999999999996</x:v>
      </x:c>
      <x:c r="G1212" s="90" t="n">
        <x:f>IF(E1212&lt;2,"",STDEV.S('32_W2_温度'!B21,'32_W2_温度'!D21,'32_W2_温度'!F21,'32_W2_温度'!H21))</x:f>
        <x:v>0.4272001872658767</x:v>
      </x:c>
      <x:c r="H1212" s="90" t="n">
        <x:f>IF(E1212=0,"",MIN('32_W2_温度'!B21,'32_W2_温度'!D21,'32_W2_温度'!F21,'32_W2_温度'!H21))</x:f>
        <x:v>24.6</x:v>
      </x:c>
      <x:c r="I1212" s="90" t="n">
        <x:f>IF(E1212=0,"",MAX('32_W2_温度'!B21,'32_W2_温度'!D21,'32_W2_温度'!F21,'32_W2_温度'!H21))</x:f>
        <x:v>25.6</x:v>
      </x:c>
      <x:c r="J1212" s="32" t="str">
        <x:v>℃</x:v>
      </x:c>
    </x:row>
    <x:row r="1213">
      <x:c r="A1213" s="72" t="n">
        <x:v>46240.858252314814</x:v>
      </x:c>
      <x:c r="B1213" s="32" t="str">
        <x:v>土壤温度</x:v>
      </x:c>
      <x:c r="C1213" s="32" t="str">
        <x:v>W2</x:v>
      </x:c>
      <x:c r="D1213" s="32" t="str">
        <x:v>V2</x:v>
      </x:c>
      <x:c r="E1213" s="86" t="n">
        <x:f>COUNT('32_W2_温度'!C21,'32_W2_温度'!E21,'32_W2_温度'!G21,'32_W2_温度'!I21)</x:f>
        <x:v>4</x:v>
      </x:c>
      <x:c r="F1213" s="90" t="n">
        <x:f>IF(E1213=0,"",AVERAGE('32_W2_温度'!C21,'32_W2_温度'!E21,'32_W2_温度'!G21,'32_W2_温度'!I21))</x:f>
        <x:v>25.1</x:v>
      </x:c>
      <x:c r="G1213" s="90" t="n">
        <x:f>IF(E1213&lt;2,"",STDEV.S('32_W2_温度'!C21,'32_W2_温度'!E21,'32_W2_温度'!G21,'32_W2_温度'!I21))</x:f>
        <x:v>0.408248290463863</x:v>
      </x:c>
      <x:c r="H1213" s="90" t="n">
        <x:f>IF(E1213=0,"",MIN('32_W2_温度'!C21,'32_W2_温度'!E21,'32_W2_温度'!G21,'32_W2_温度'!I21))</x:f>
        <x:v>24.6</x:v>
      </x:c>
      <x:c r="I1213" s="90" t="n">
        <x:f>IF(E1213=0,"",MAX('32_W2_温度'!C21,'32_W2_温度'!E21,'32_W2_温度'!G21,'32_W2_温度'!I21))</x:f>
        <x:v>25.6</x:v>
      </x:c>
      <x:c r="J1213" s="32" t="str">
        <x:v>℃</x:v>
      </x:c>
    </x:row>
    <x:row r="1214">
      <x:c r="A1214" s="72" t="n">
        <x:v>46240.86172453704</x:v>
      </x:c>
      <x:c r="B1214" s="32" t="str">
        <x:v>土壤温度</x:v>
      </x:c>
      <x:c r="C1214" s="32" t="str">
        <x:v>W2</x:v>
      </x:c>
      <x:c r="D1214" s="32" t="str">
        <x:v>V1</x:v>
      </x:c>
      <x:c r="E1214" s="86" t="n">
        <x:f>COUNT('32_W2_温度'!B22,'32_W2_温度'!D22,'32_W2_温度'!F22,'32_W2_温度'!H22)</x:f>
        <x:v>4</x:v>
      </x:c>
      <x:c r="F1214" s="90" t="n">
        <x:f>IF(E1214=0,"",AVERAGE('32_W2_温度'!B22,'32_W2_温度'!D22,'32_W2_温度'!F22,'32_W2_温度'!H22))</x:f>
        <x:v>25.075</x:v>
      </x:c>
      <x:c r="G1214" s="90" t="n">
        <x:f>IF(E1214&lt;2,"",STDEV.S('32_W2_温度'!B22,'32_W2_温度'!D22,'32_W2_温度'!F22,'32_W2_温度'!H22))</x:f>
        <x:v>0.38622100754188243</x:v>
      </x:c>
      <x:c r="H1214" s="90" t="n">
        <x:f>IF(E1214=0,"",MIN('32_W2_温度'!B22,'32_W2_温度'!D22,'32_W2_温度'!F22,'32_W2_温度'!H22))</x:f>
        <x:v>24.7</x:v>
      </x:c>
      <x:c r="I1214" s="90" t="n">
        <x:f>IF(E1214=0,"",MAX('32_W2_温度'!B22,'32_W2_温度'!D22,'32_W2_温度'!F22,'32_W2_温度'!H22))</x:f>
        <x:v>25.5</x:v>
      </x:c>
      <x:c r="J1214" s="32" t="str">
        <x:v>℃</x:v>
      </x:c>
    </x:row>
    <x:row r="1215">
      <x:c r="A1215" s="72" t="n">
        <x:v>46240.86172453704</x:v>
      </x:c>
      <x:c r="B1215" s="32" t="str">
        <x:v>土壤温度</x:v>
      </x:c>
      <x:c r="C1215" s="32" t="str">
        <x:v>W2</x:v>
      </x:c>
      <x:c r="D1215" s="32" t="str">
        <x:v>V2</x:v>
      </x:c>
      <x:c r="E1215" s="86" t="n">
        <x:f>COUNT('32_W2_温度'!C22,'32_W2_温度'!E22,'32_W2_温度'!G22,'32_W2_温度'!I22)</x:f>
        <x:v>4</x:v>
      </x:c>
      <x:c r="F1215" s="90" t="n">
        <x:f>IF(E1215=0,"",AVERAGE('32_W2_温度'!C22,'32_W2_温度'!E22,'32_W2_温度'!G22,'32_W2_温度'!I22))</x:f>
        <x:v>25.074999999999996</x:v>
      </x:c>
      <x:c r="G1215" s="90" t="n">
        <x:f>IF(E1215&lt;2,"",STDEV.S('32_W2_温度'!C22,'32_W2_温度'!E22,'32_W2_温度'!G22,'32_W2_温度'!I22))</x:f>
        <x:v>0.4272001872658767</x:v>
      </x:c>
      <x:c r="H1215" s="90" t="n">
        <x:f>IF(E1215=0,"",MIN('32_W2_温度'!C22,'32_W2_温度'!E22,'32_W2_温度'!G22,'32_W2_温度'!I22))</x:f>
        <x:v>24.6</x:v>
      </x:c>
      <x:c r="I1215" s="90" t="n">
        <x:f>IF(E1215=0,"",MAX('32_W2_温度'!C22,'32_W2_温度'!E22,'32_W2_温度'!G22,'32_W2_温度'!I22))</x:f>
        <x:v>25.6</x:v>
      </x:c>
      <x:c r="J1215" s="32" t="str">
        <x:v>℃</x:v>
      </x:c>
    </x:row>
    <x:row r="1216">
      <x:c r="A1216" s="72" t="n">
        <x:v>46240.86519675926</x:v>
      </x:c>
      <x:c r="B1216" s="32" t="str">
        <x:v>土壤温度</x:v>
      </x:c>
      <x:c r="C1216" s="32" t="str">
        <x:v>W2</x:v>
      </x:c>
      <x:c r="D1216" s="32" t="str">
        <x:v>V1</x:v>
      </x:c>
      <x:c r="E1216" s="86" t="n">
        <x:f>COUNT('32_W2_温度'!B23,'32_W2_温度'!D23,'32_W2_温度'!F23,'32_W2_温度'!H23)</x:f>
        <x:v>4</x:v>
      </x:c>
      <x:c r="F1216" s="90" t="n">
        <x:f>IF(E1216=0,"",AVERAGE('32_W2_温度'!B23,'32_W2_温度'!D23,'32_W2_温度'!F23,'32_W2_温度'!H23))</x:f>
        <x:v>25.049999999999997</x:v>
      </x:c>
      <x:c r="G1216" s="90" t="n">
        <x:f>IF(E1216&lt;2,"",STDEV.S('32_W2_温度'!B23,'32_W2_温度'!D23,'32_W2_温度'!F23,'32_W2_温度'!H23))</x:f>
        <x:v>0.4041451884327376</x:v>
      </x:c>
      <x:c r="H1216" s="90" t="n">
        <x:f>IF(E1216=0,"",MIN('32_W2_温度'!B23,'32_W2_温度'!D23,'32_W2_温度'!F23,'32_W2_温度'!H23))</x:f>
        <x:v>24.7</x:v>
      </x:c>
      <x:c r="I1216" s="90" t="n">
        <x:f>IF(E1216=0,"",MAX('32_W2_温度'!B23,'32_W2_温度'!D23,'32_W2_温度'!F23,'32_W2_温度'!H23))</x:f>
        <x:v>25.4</x:v>
      </x:c>
      <x:c r="J1216" s="32" t="str">
        <x:v>℃</x:v>
      </x:c>
    </x:row>
    <x:row r="1217">
      <x:c r="A1217" s="72" t="n">
        <x:v>46240.86519675926</x:v>
      </x:c>
      <x:c r="B1217" s="32" t="str">
        <x:v>土壤温度</x:v>
      </x:c>
      <x:c r="C1217" s="32" t="str">
        <x:v>W2</x:v>
      </x:c>
      <x:c r="D1217" s="32" t="str">
        <x:v>V2</x:v>
      </x:c>
      <x:c r="E1217" s="86" t="n">
        <x:f>COUNT('32_W2_温度'!C23,'32_W2_温度'!E23,'32_W2_温度'!G23,'32_W2_温度'!I23)</x:f>
        <x:v>4</x:v>
      </x:c>
      <x:c r="F1217" s="90" t="n">
        <x:f>IF(E1217=0,"",AVERAGE('32_W2_温度'!C23,'32_W2_温度'!E23,'32_W2_温度'!G23,'32_W2_温度'!I23))</x:f>
        <x:v>25.075</x:v>
      </x:c>
      <x:c r="G1217" s="90" t="n">
        <x:f>IF(E1217&lt;2,"",STDEV.S('32_W2_温度'!C23,'32_W2_温度'!E23,'32_W2_温度'!G23,'32_W2_温度'!I23))</x:f>
        <x:v>0.38622100754188243</x:v>
      </x:c>
      <x:c r="H1217" s="90" t="n">
        <x:f>IF(E1217=0,"",MIN('32_W2_温度'!C23,'32_W2_温度'!E23,'32_W2_温度'!G23,'32_W2_温度'!I23))</x:f>
        <x:v>24.7</x:v>
      </x:c>
      <x:c r="I1217" s="90" t="n">
        <x:f>IF(E1217=0,"",MAX('32_W2_温度'!C23,'32_W2_温度'!E23,'32_W2_温度'!G23,'32_W2_温度'!I23))</x:f>
        <x:v>25.5</x:v>
      </x:c>
      <x:c r="J1217" s="32" t="str">
        <x:v>℃</x:v>
      </x:c>
    </x:row>
    <x:row r="1218">
      <x:c r="A1218" s="72" t="n">
        <x:v>46240.86866898148</x:v>
      </x:c>
      <x:c r="B1218" s="32" t="str">
        <x:v>土壤温度</x:v>
      </x:c>
      <x:c r="C1218" s="32" t="str">
        <x:v>W2</x:v>
      </x:c>
      <x:c r="D1218" s="32" t="str">
        <x:v>V1</x:v>
      </x:c>
      <x:c r="E1218" s="86" t="n">
        <x:f>COUNT('32_W2_温度'!B24,'32_W2_温度'!D24,'32_W2_温度'!F24,'32_W2_温度'!H24)</x:f>
        <x:v>4</x:v>
      </x:c>
      <x:c r="F1218" s="90" t="n">
        <x:f>IF(E1218=0,"",AVERAGE('32_W2_温度'!B24,'32_W2_温度'!D24,'32_W2_温度'!F24,'32_W2_温度'!H24))</x:f>
        <x:v>25.075</x:v>
      </x:c>
      <x:c r="G1218" s="90" t="n">
        <x:f>IF(E1218&lt;2,"",STDEV.S('32_W2_温度'!B24,'32_W2_温度'!D24,'32_W2_温度'!F24,'32_W2_温度'!H24))</x:f>
        <x:v>0.38622100754188243</x:v>
      </x:c>
      <x:c r="H1218" s="90" t="n">
        <x:f>IF(E1218=0,"",MIN('32_W2_温度'!B24,'32_W2_温度'!D24,'32_W2_温度'!F24,'32_W2_温度'!H24))</x:f>
        <x:v>24.7</x:v>
      </x:c>
      <x:c r="I1218" s="90" t="n">
        <x:f>IF(E1218=0,"",MAX('32_W2_温度'!B24,'32_W2_温度'!D24,'32_W2_温度'!F24,'32_W2_温度'!H24))</x:f>
        <x:v>25.5</x:v>
      </x:c>
      <x:c r="J1218" s="32" t="str">
        <x:v>℃</x:v>
      </x:c>
    </x:row>
    <x:row r="1219">
      <x:c r="A1219" s="72" t="n">
        <x:v>46240.86866898148</x:v>
      </x:c>
      <x:c r="B1219" s="32" t="str">
        <x:v>土壤温度</x:v>
      </x:c>
      <x:c r="C1219" s="32" t="str">
        <x:v>W2</x:v>
      </x:c>
      <x:c r="D1219" s="32" t="str">
        <x:v>V2</x:v>
      </x:c>
      <x:c r="E1219" s="86" t="n">
        <x:f>COUNT('32_W2_温度'!C24,'32_W2_温度'!E24,'32_W2_温度'!G24,'32_W2_温度'!I24)</x:f>
        <x:v>4</x:v>
      </x:c>
      <x:c r="F1219" s="90" t="n">
        <x:f>IF(E1219=0,"",AVERAGE('32_W2_温度'!C24,'32_W2_温度'!E24,'32_W2_温度'!G24,'32_W2_温度'!I24))</x:f>
        <x:v>25.049999999999997</x:v>
      </x:c>
      <x:c r="G1219" s="90" t="n">
        <x:f>IF(E1219&lt;2,"",STDEV.S('32_W2_温度'!C24,'32_W2_温度'!E24,'32_W2_温度'!G24,'32_W2_温度'!I24))</x:f>
        <x:v>0.4041451884327376</x:v>
      </x:c>
      <x:c r="H1219" s="90" t="n">
        <x:f>IF(E1219=0,"",MIN('32_W2_温度'!C24,'32_W2_温度'!E24,'32_W2_温度'!G24,'32_W2_温度'!I24))</x:f>
        <x:v>24.7</x:v>
      </x:c>
      <x:c r="I1219" s="90" t="n">
        <x:f>IF(E1219=0,"",MAX('32_W2_温度'!C24,'32_W2_温度'!E24,'32_W2_温度'!G24,'32_W2_温度'!I24))</x:f>
        <x:v>25.4</x:v>
      </x:c>
      <x:c r="J1219" s="32" t="str">
        <x:v>℃</x:v>
      </x:c>
    </x:row>
    <x:row r="1220">
      <x:c r="A1220" s="72" t="n">
        <x:v>46240.872141203705</x:v>
      </x:c>
      <x:c r="B1220" s="32" t="str">
        <x:v>土壤温度</x:v>
      </x:c>
      <x:c r="C1220" s="32" t="str">
        <x:v>W2</x:v>
      </x:c>
      <x:c r="D1220" s="32" t="str">
        <x:v>V1</x:v>
      </x:c>
      <x:c r="E1220" s="86" t="n">
        <x:f>COUNT('32_W2_温度'!B25,'32_W2_温度'!D25,'32_W2_温度'!F25,'32_W2_温度'!H25)</x:f>
        <x:v>4</x:v>
      </x:c>
      <x:c r="F1220" s="90" t="n">
        <x:f>IF(E1220=0,"",AVERAGE('32_W2_温度'!B25,'32_W2_温度'!D25,'32_W2_温度'!F25,'32_W2_温度'!H25))</x:f>
        <x:v>25.075</x:v>
      </x:c>
      <x:c r="G1220" s="90" t="n">
        <x:f>IF(E1220&lt;2,"",STDEV.S('32_W2_温度'!B25,'32_W2_温度'!D25,'32_W2_温度'!F25,'32_W2_温度'!H25))</x:f>
        <x:v>0.4272001872658767</x:v>
      </x:c>
      <x:c r="H1220" s="90" t="n">
        <x:f>IF(E1220=0,"",MIN('32_W2_温度'!B25,'32_W2_温度'!D25,'32_W2_温度'!F25,'32_W2_温度'!H25))</x:f>
        <x:v>24.6</x:v>
      </x:c>
      <x:c r="I1220" s="90" t="n">
        <x:f>IF(E1220=0,"",MAX('32_W2_温度'!B25,'32_W2_温度'!D25,'32_W2_温度'!F25,'32_W2_温度'!H25))</x:f>
        <x:v>25.6</x:v>
      </x:c>
      <x:c r="J1220" s="32" t="str">
        <x:v>℃</x:v>
      </x:c>
    </x:row>
    <x:row r="1221">
      <x:c r="A1221" s="72" t="n">
        <x:v>46240.872141203705</x:v>
      </x:c>
      <x:c r="B1221" s="32" t="str">
        <x:v>土壤温度</x:v>
      </x:c>
      <x:c r="C1221" s="32" t="str">
        <x:v>W2</x:v>
      </x:c>
      <x:c r="D1221" s="32" t="str">
        <x:v>V2</x:v>
      </x:c>
      <x:c r="E1221" s="86" t="n">
        <x:f>COUNT('32_W2_温度'!C25,'32_W2_温度'!E25,'32_W2_温度'!G25,'32_W2_温度'!I25)</x:f>
        <x:v>4</x:v>
      </x:c>
      <x:c r="F1221" s="90" t="n">
        <x:f>IF(E1221=0,"",AVERAGE('32_W2_温度'!C25,'32_W2_温度'!E25,'32_W2_温度'!G25,'32_W2_温度'!I25))</x:f>
        <x:v>25.075</x:v>
      </x:c>
      <x:c r="G1221" s="90" t="n">
        <x:f>IF(E1221&lt;2,"",STDEV.S('32_W2_温度'!C25,'32_W2_温度'!E25,'32_W2_温度'!G25,'32_W2_温度'!I25))</x:f>
        <x:v>0.38622100754188243</x:v>
      </x:c>
      <x:c r="H1221" s="90" t="n">
        <x:f>IF(E1221=0,"",MIN('32_W2_温度'!C25,'32_W2_温度'!E25,'32_W2_温度'!G25,'32_W2_温度'!I25))</x:f>
        <x:v>24.7</x:v>
      </x:c>
      <x:c r="I1221" s="90" t="n">
        <x:f>IF(E1221=0,"",MAX('32_W2_温度'!C25,'32_W2_温度'!E25,'32_W2_温度'!G25,'32_W2_温度'!I25))</x:f>
        <x:v>25.5</x:v>
      </x:c>
      <x:c r="J1221" s="32" t="str">
        <x:v>℃</x:v>
      </x:c>
    </x:row>
    <x:row r="1222">
      <x:c r="A1222" s="72" t="n">
        <x:v>46240.875613425924</x:v>
      </x:c>
      <x:c r="B1222" s="32" t="str">
        <x:v>土壤温度</x:v>
      </x:c>
      <x:c r="C1222" s="32" t="str">
        <x:v>W2</x:v>
      </x:c>
      <x:c r="D1222" s="32" t="str">
        <x:v>V1</x:v>
      </x:c>
      <x:c r="E1222" s="86" t="n">
        <x:f>COUNT('32_W2_温度'!B26,'32_W2_温度'!D26,'32_W2_温度'!F26,'32_W2_温度'!H26)</x:f>
        <x:v>4</x:v>
      </x:c>
      <x:c r="F1222" s="90" t="n">
        <x:f>IF(E1222=0,"",AVERAGE('32_W2_温度'!B26,'32_W2_温度'!D26,'32_W2_温度'!F26,'32_W2_温度'!H26))</x:f>
        <x:v>25.1</x:v>
      </x:c>
      <x:c r="G1222" s="90" t="n">
        <x:f>IF(E1222&lt;2,"",STDEV.S('32_W2_温度'!B26,'32_W2_温度'!D26,'32_W2_温度'!F26,'32_W2_温度'!H26))</x:f>
        <x:v>0.408248290463863</x:v>
      </x:c>
      <x:c r="H1222" s="90" t="n">
        <x:f>IF(E1222=0,"",MIN('32_W2_温度'!B26,'32_W2_温度'!D26,'32_W2_温度'!F26,'32_W2_温度'!H26))</x:f>
        <x:v>24.6</x:v>
      </x:c>
      <x:c r="I1222" s="90" t="n">
        <x:f>IF(E1222=0,"",MAX('32_W2_温度'!B26,'32_W2_温度'!D26,'32_W2_温度'!F26,'32_W2_温度'!H26))</x:f>
        <x:v>25.6</x:v>
      </x:c>
      <x:c r="J1222" s="32" t="str">
        <x:v>℃</x:v>
      </x:c>
    </x:row>
    <x:row r="1223">
      <x:c r="A1223" s="72" t="n">
        <x:v>46240.875613425924</x:v>
      </x:c>
      <x:c r="B1223" s="32" t="str">
        <x:v>土壤温度</x:v>
      </x:c>
      <x:c r="C1223" s="32" t="str">
        <x:v>W2</x:v>
      </x:c>
      <x:c r="D1223" s="32" t="str">
        <x:v>V2</x:v>
      </x:c>
      <x:c r="E1223" s="86" t="n">
        <x:f>COUNT('32_W2_温度'!C26,'32_W2_温度'!E26,'32_W2_温度'!G26,'32_W2_温度'!I26)</x:f>
        <x:v>4</x:v>
      </x:c>
      <x:c r="F1223" s="90" t="n">
        <x:f>IF(E1223=0,"",AVERAGE('32_W2_温度'!C26,'32_W2_温度'!E26,'32_W2_温度'!G26,'32_W2_温度'!I26))</x:f>
        <x:v>25.075</x:v>
      </x:c>
      <x:c r="G1223" s="90" t="n">
        <x:f>IF(E1223&lt;2,"",STDEV.S('32_W2_温度'!C26,'32_W2_温度'!E26,'32_W2_温度'!G26,'32_W2_温度'!I26))</x:f>
        <x:v>0.4272001872658767</x:v>
      </x:c>
      <x:c r="H1223" s="90" t="n">
        <x:f>IF(E1223=0,"",MIN('32_W2_温度'!C26,'32_W2_温度'!E26,'32_W2_温度'!G26,'32_W2_温度'!I26))</x:f>
        <x:v>24.6</x:v>
      </x:c>
      <x:c r="I1223" s="90" t="n">
        <x:f>IF(E1223=0,"",MAX('32_W2_温度'!C26,'32_W2_温度'!E26,'32_W2_温度'!G26,'32_W2_温度'!I26))</x:f>
        <x:v>25.6</x:v>
      </x:c>
      <x:c r="J1223" s="32" t="str">
        <x:v>℃</x:v>
      </x:c>
    </x:row>
    <x:row r="1224">
      <x:c r="A1224" s="72" t="n">
        <x:v>46240.87908564815</x:v>
      </x:c>
      <x:c r="B1224" s="32" t="str">
        <x:v>土壤温度</x:v>
      </x:c>
      <x:c r="C1224" s="32" t="str">
        <x:v>W2</x:v>
      </x:c>
      <x:c r="D1224" s="32" t="str">
        <x:v>V1</x:v>
      </x:c>
      <x:c r="E1224" s="86" t="n">
        <x:f>COUNT('32_W2_温度'!B27,'32_W2_温度'!D27,'32_W2_温度'!F27,'32_W2_温度'!H27)</x:f>
        <x:v>4</x:v>
      </x:c>
      <x:c r="F1224" s="90" t="n">
        <x:f>IF(E1224=0,"",AVERAGE('32_W2_温度'!B27,'32_W2_温度'!D27,'32_W2_温度'!F27,'32_W2_温度'!H27))</x:f>
        <x:v>25.075000000000003</x:v>
      </x:c>
      <x:c r="G1224" s="90" t="n">
        <x:f>IF(E1224&lt;2,"",STDEV.S('32_W2_温度'!B27,'32_W2_温度'!D27,'32_W2_温度'!F27,'32_W2_温度'!H27))</x:f>
        <x:v>0.4272001872658767</x:v>
      </x:c>
      <x:c r="H1224" s="90" t="n">
        <x:f>IF(E1224=0,"",MIN('32_W2_温度'!B27,'32_W2_温度'!D27,'32_W2_温度'!F27,'32_W2_温度'!H27))</x:f>
        <x:v>24.6</x:v>
      </x:c>
      <x:c r="I1224" s="90" t="n">
        <x:f>IF(E1224=0,"",MAX('32_W2_温度'!B27,'32_W2_温度'!D27,'32_W2_温度'!F27,'32_W2_温度'!H27))</x:f>
        <x:v>25.6</x:v>
      </x:c>
      <x:c r="J1224" s="32" t="str">
        <x:v>℃</x:v>
      </x:c>
    </x:row>
    <x:row r="1225">
      <x:c r="A1225" s="72" t="n">
        <x:v>46240.87908564815</x:v>
      </x:c>
      <x:c r="B1225" s="32" t="str">
        <x:v>土壤温度</x:v>
      </x:c>
      <x:c r="C1225" s="32" t="str">
        <x:v>W2</x:v>
      </x:c>
      <x:c r="D1225" s="32" t="str">
        <x:v>V2</x:v>
      </x:c>
      <x:c r="E1225" s="86" t="n">
        <x:f>COUNT('32_W2_温度'!C27,'32_W2_温度'!E27,'32_W2_温度'!G27,'32_W2_温度'!I27)</x:f>
        <x:v>4</x:v>
      </x:c>
      <x:c r="F1225" s="90" t="n">
        <x:f>IF(E1225=0,"",AVERAGE('32_W2_温度'!C27,'32_W2_温度'!E27,'32_W2_温度'!G27,'32_W2_温度'!I27))</x:f>
        <x:v>25.1</x:v>
      </x:c>
      <x:c r="G1225" s="90" t="n">
        <x:f>IF(E1225&lt;2,"",STDEV.S('32_W2_温度'!C27,'32_W2_温度'!E27,'32_W2_温度'!G27,'32_W2_温度'!I27))</x:f>
        <x:v>0.408248290463863</x:v>
      </x:c>
      <x:c r="H1225" s="90" t="n">
        <x:f>IF(E1225=0,"",MIN('32_W2_温度'!C27,'32_W2_温度'!E27,'32_W2_温度'!G27,'32_W2_温度'!I27))</x:f>
        <x:v>24.6</x:v>
      </x:c>
      <x:c r="I1225" s="90" t="n">
        <x:f>IF(E1225=0,"",MAX('32_W2_温度'!C27,'32_W2_温度'!E27,'32_W2_温度'!G27,'32_W2_温度'!I27))</x:f>
        <x:v>25.6</x:v>
      </x:c>
      <x:c r="J1225" s="32" t="str">
        <x:v>℃</x:v>
      </x:c>
    </x:row>
    <x:row r="1226">
      <x:c r="A1226" s="72" t="n">
        <x:v>46240.88255787037</x:v>
      </x:c>
      <x:c r="B1226" s="32" t="str">
        <x:v>土壤温度</x:v>
      </x:c>
      <x:c r="C1226" s="32" t="str">
        <x:v>W2</x:v>
      </x:c>
      <x:c r="D1226" s="32" t="str">
        <x:v>V1</x:v>
      </x:c>
      <x:c r="E1226" s="86" t="n">
        <x:f>COUNT('32_W2_温度'!B28,'32_W2_温度'!D28,'32_W2_温度'!F28,'32_W2_温度'!H28)</x:f>
        <x:v>4</x:v>
      </x:c>
      <x:c r="F1226" s="90" t="n">
        <x:f>IF(E1226=0,"",AVERAGE('32_W2_温度'!B28,'32_W2_温度'!D28,'32_W2_温度'!F28,'32_W2_温度'!H28))</x:f>
        <x:v>25.1</x:v>
      </x:c>
      <x:c r="G1226" s="90" t="n">
        <x:f>IF(E1226&lt;2,"",STDEV.S('32_W2_温度'!B28,'32_W2_温度'!D28,'32_W2_温度'!F28,'32_W2_温度'!H28))</x:f>
        <x:v>0.42426406871192923</x:v>
      </x:c>
      <x:c r="H1226" s="90" t="n">
        <x:f>IF(E1226=0,"",MIN('32_W2_温度'!B28,'32_W2_温度'!D28,'32_W2_温度'!F28,'32_W2_温度'!H28))</x:f>
        <x:v>24.7</x:v>
      </x:c>
      <x:c r="I1226" s="90" t="n">
        <x:f>IF(E1226=0,"",MAX('32_W2_温度'!B28,'32_W2_温度'!D28,'32_W2_温度'!F28,'32_W2_温度'!H28))</x:f>
        <x:v>25.6</x:v>
      </x:c>
      <x:c r="J1226" s="32" t="str">
        <x:v>℃</x:v>
      </x:c>
    </x:row>
    <x:row r="1227">
      <x:c r="A1227" s="72" t="n">
        <x:v>46240.88255787037</x:v>
      </x:c>
      <x:c r="B1227" s="32" t="str">
        <x:v>土壤温度</x:v>
      </x:c>
      <x:c r="C1227" s="32" t="str">
        <x:v>W2</x:v>
      </x:c>
      <x:c r="D1227" s="32" t="str">
        <x:v>V2</x:v>
      </x:c>
      <x:c r="E1227" s="86" t="n">
        <x:f>COUNT('32_W2_温度'!C28,'32_W2_温度'!E28,'32_W2_温度'!G28,'32_W2_温度'!I28)</x:f>
        <x:v>4</x:v>
      </x:c>
      <x:c r="F1227" s="90" t="n">
        <x:f>IF(E1227=0,"",AVERAGE('32_W2_温度'!C28,'32_W2_温度'!E28,'32_W2_温度'!G28,'32_W2_温度'!I28))</x:f>
        <x:v>25.075000000000003</x:v>
      </x:c>
      <x:c r="G1227" s="90" t="n">
        <x:f>IF(E1227&lt;2,"",STDEV.S('32_W2_温度'!C28,'32_W2_温度'!E28,'32_W2_温度'!G28,'32_W2_温度'!I28))</x:f>
        <x:v>0.4272001872658767</x:v>
      </x:c>
      <x:c r="H1227" s="90" t="n">
        <x:f>IF(E1227=0,"",MIN('32_W2_温度'!C28,'32_W2_温度'!E28,'32_W2_温度'!G28,'32_W2_温度'!I28))</x:f>
        <x:v>24.6</x:v>
      </x:c>
      <x:c r="I1227" s="90" t="n">
        <x:f>IF(E1227=0,"",MAX('32_W2_温度'!C28,'32_W2_温度'!E28,'32_W2_温度'!G28,'32_W2_温度'!I28))</x:f>
        <x:v>25.6</x:v>
      </x:c>
      <x:c r="J1227" s="32" t="str">
        <x:v>℃</x:v>
      </x:c>
    </x:row>
    <x:row r="1228">
      <x:c r="A1228" s="72" t="n">
        <x:v>46240.886030092595</x:v>
      </x:c>
      <x:c r="B1228" s="32" t="str">
        <x:v>土壤温度</x:v>
      </x:c>
      <x:c r="C1228" s="32" t="str">
        <x:v>W2</x:v>
      </x:c>
      <x:c r="D1228" s="32" t="str">
        <x:v>V1</x:v>
      </x:c>
      <x:c r="E1228" s="86" t="n">
        <x:f>COUNT('32_W2_温度'!B29,'32_W2_温度'!D29,'32_W2_温度'!F29,'32_W2_温度'!H29)</x:f>
        <x:v>4</x:v>
      </x:c>
      <x:c r="F1228" s="90" t="n">
        <x:f>IF(E1228=0,"",AVERAGE('32_W2_温度'!B29,'32_W2_温度'!D29,'32_W2_温度'!F29,'32_W2_温度'!H29))</x:f>
        <x:v>25.075</x:v>
      </x:c>
      <x:c r="G1228" s="90" t="n">
        <x:f>IF(E1228&lt;2,"",STDEV.S('32_W2_温度'!B29,'32_W2_温度'!D29,'32_W2_温度'!F29,'32_W2_温度'!H29))</x:f>
        <x:v>0.4349329450233297</x:v>
      </x:c>
      <x:c r="H1228" s="90" t="n">
        <x:f>IF(E1228=0,"",MIN('32_W2_温度'!B29,'32_W2_温度'!D29,'32_W2_温度'!F29,'32_W2_温度'!H29))</x:f>
        <x:v>24.7</x:v>
      </x:c>
      <x:c r="I1228" s="90" t="n">
        <x:f>IF(E1228=0,"",MAX('32_W2_温度'!B29,'32_W2_温度'!D29,'32_W2_温度'!F29,'32_W2_温度'!H29))</x:f>
        <x:v>25.5</x:v>
      </x:c>
      <x:c r="J1228" s="32" t="str">
        <x:v>℃</x:v>
      </x:c>
    </x:row>
    <x:row r="1229">
      <x:c r="A1229" s="72" t="n">
        <x:v>46240.886030092595</x:v>
      </x:c>
      <x:c r="B1229" s="32" t="str">
        <x:v>土壤温度</x:v>
      </x:c>
      <x:c r="C1229" s="32" t="str">
        <x:v>W2</x:v>
      </x:c>
      <x:c r="D1229" s="32" t="str">
        <x:v>V2</x:v>
      </x:c>
      <x:c r="E1229" s="86" t="n">
        <x:f>COUNT('32_W2_温度'!C29,'32_W2_温度'!E29,'32_W2_温度'!G29,'32_W2_温度'!I29)</x:f>
        <x:v>4</x:v>
      </x:c>
      <x:c r="F1229" s="90" t="n">
        <x:f>IF(E1229=0,"",AVERAGE('32_W2_温度'!C29,'32_W2_温度'!E29,'32_W2_温度'!G29,'32_W2_温度'!I29))</x:f>
        <x:v>25.1</x:v>
      </x:c>
      <x:c r="G1229" s="90" t="n">
        <x:f>IF(E1229&lt;2,"",STDEV.S('32_W2_温度'!C29,'32_W2_温度'!E29,'32_W2_温度'!G29,'32_W2_温度'!I29))</x:f>
        <x:v>0.42426406871192923</x:v>
      </x:c>
      <x:c r="H1229" s="90" t="n">
        <x:f>IF(E1229=0,"",MIN('32_W2_温度'!C29,'32_W2_温度'!E29,'32_W2_温度'!G29,'32_W2_温度'!I29))</x:f>
        <x:v>24.7</x:v>
      </x:c>
      <x:c r="I1229" s="90" t="n">
        <x:f>IF(E1229=0,"",MAX('32_W2_温度'!C29,'32_W2_温度'!E29,'32_W2_温度'!G29,'32_W2_温度'!I29))</x:f>
        <x:v>25.6</x:v>
      </x:c>
      <x:c r="J1229" s="32" t="str">
        <x:v>℃</x:v>
      </x:c>
    </x:row>
    <x:row r="1230">
      <x:c r="A1230" s="72" t="n">
        <x:v>46240.889502314814</x:v>
      </x:c>
      <x:c r="B1230" s="32" t="str">
        <x:v>土壤温度</x:v>
      </x:c>
      <x:c r="C1230" s="32" t="str">
        <x:v>W2</x:v>
      </x:c>
      <x:c r="D1230" s="32" t="str">
        <x:v>V1</x:v>
      </x:c>
      <x:c r="E1230" s="86" t="n">
        <x:f>COUNT('32_W2_温度'!B30,'32_W2_温度'!D30,'32_W2_温度'!F30,'32_W2_温度'!H30)</x:f>
        <x:v>4</x:v>
      </x:c>
      <x:c r="F1230" s="90" t="n">
        <x:f>IF(E1230=0,"",AVERAGE('32_W2_温度'!B30,'32_W2_温度'!D30,'32_W2_温度'!F30,'32_W2_温度'!H30))</x:f>
        <x:v>25.1</x:v>
      </x:c>
      <x:c r="G1230" s="90" t="n">
        <x:f>IF(E1230&lt;2,"",STDEV.S('32_W2_温度'!B30,'32_W2_温度'!D30,'32_W2_温度'!F30,'32_W2_温度'!H30))</x:f>
        <x:v>0.40824829046386274</x:v>
      </x:c>
      <x:c r="H1230" s="90" t="n">
        <x:f>IF(E1230=0,"",MIN('32_W2_温度'!B30,'32_W2_温度'!D30,'32_W2_温度'!F30,'32_W2_温度'!H30))</x:f>
        <x:v>24.7</x:v>
      </x:c>
      <x:c r="I1230" s="90" t="n">
        <x:f>IF(E1230=0,"",MAX('32_W2_温度'!B30,'32_W2_温度'!D30,'32_W2_温度'!F30,'32_W2_温度'!H30))</x:f>
        <x:v>25.5</x:v>
      </x:c>
      <x:c r="J1230" s="32" t="str">
        <x:v>℃</x:v>
      </x:c>
    </x:row>
    <x:row r="1231">
      <x:c r="A1231" s="72" t="n">
        <x:v>46240.889502314814</x:v>
      </x:c>
      <x:c r="B1231" s="32" t="str">
        <x:v>土壤温度</x:v>
      </x:c>
      <x:c r="C1231" s="32" t="str">
        <x:v>W2</x:v>
      </x:c>
      <x:c r="D1231" s="32" t="str">
        <x:v>V2</x:v>
      </x:c>
      <x:c r="E1231" s="86" t="n">
        <x:f>COUNT('32_W2_温度'!C30,'32_W2_温度'!E30,'32_W2_温度'!G30,'32_W2_温度'!I30)</x:f>
        <x:v>4</x:v>
      </x:c>
      <x:c r="F1231" s="90" t="n">
        <x:f>IF(E1231=0,"",AVERAGE('32_W2_温度'!C30,'32_W2_温度'!E30,'32_W2_温度'!G30,'32_W2_温度'!I30))</x:f>
        <x:v>25.075</x:v>
      </x:c>
      <x:c r="G1231" s="90" t="n">
        <x:f>IF(E1231&lt;2,"",STDEV.S('32_W2_温度'!C30,'32_W2_温度'!E30,'32_W2_温度'!G30,'32_W2_温度'!I30))</x:f>
        <x:v>0.4349329450233297</x:v>
      </x:c>
      <x:c r="H1231" s="90" t="n">
        <x:f>IF(E1231=0,"",MIN('32_W2_温度'!C30,'32_W2_温度'!E30,'32_W2_温度'!G30,'32_W2_温度'!I30))</x:f>
        <x:v>24.7</x:v>
      </x:c>
      <x:c r="I1231" s="90" t="n">
        <x:f>IF(E1231=0,"",MAX('32_W2_温度'!C30,'32_W2_温度'!E30,'32_W2_温度'!G30,'32_W2_温度'!I30))</x:f>
        <x:v>25.5</x:v>
      </x:c>
      <x:c r="J1231" s="32" t="str">
        <x:v>℃</x:v>
      </x:c>
    </x:row>
    <x:row r="1232">
      <x:c r="A1232" s="72" t="n">
        <x:v>46240.89297453704</x:v>
      </x:c>
      <x:c r="B1232" s="32" t="str">
        <x:v>土壤温度</x:v>
      </x:c>
      <x:c r="C1232" s="32" t="str">
        <x:v>W2</x:v>
      </x:c>
      <x:c r="D1232" s="32" t="str">
        <x:v>V1</x:v>
      </x:c>
      <x:c r="E1232" s="86" t="n">
        <x:f>COUNT('32_W2_温度'!B31,'32_W2_温度'!D31,'32_W2_温度'!F31,'32_W2_温度'!H31)</x:f>
        <x:v>4</x:v>
      </x:c>
      <x:c r="F1232" s="90" t="n">
        <x:f>IF(E1232=0,"",AVERAGE('32_W2_温度'!B31,'32_W2_温度'!D31,'32_W2_温度'!F31,'32_W2_温度'!H31))</x:f>
        <x:v>25.1</x:v>
      </x:c>
      <x:c r="G1232" s="90" t="n">
        <x:f>IF(E1232&lt;2,"",STDEV.S('32_W2_温度'!B31,'32_W2_温度'!D31,'32_W2_温度'!F31,'32_W2_温度'!H31))</x:f>
        <x:v>0.4396968652757643</x:v>
      </x:c>
      <x:c r="H1232" s="90" t="n">
        <x:f>IF(E1232=0,"",MIN('32_W2_温度'!B31,'32_W2_温度'!D31,'32_W2_温度'!F31,'32_W2_温度'!H31))</x:f>
        <x:v>24.6</x:v>
      </x:c>
      <x:c r="I1232" s="90" t="n">
        <x:f>IF(E1232=0,"",MAX('32_W2_温度'!B31,'32_W2_温度'!D31,'32_W2_温度'!F31,'32_W2_温度'!H31))</x:f>
        <x:v>25.6</x:v>
      </x:c>
      <x:c r="J1232" s="32" t="str">
        <x:v>℃</x:v>
      </x:c>
    </x:row>
    <x:row r="1233">
      <x:c r="A1233" s="72" t="n">
        <x:v>46240.89297453704</x:v>
      </x:c>
      <x:c r="B1233" s="32" t="str">
        <x:v>土壤温度</x:v>
      </x:c>
      <x:c r="C1233" s="32" t="str">
        <x:v>W2</x:v>
      </x:c>
      <x:c r="D1233" s="32" t="str">
        <x:v>V2</x:v>
      </x:c>
      <x:c r="E1233" s="86" t="n">
        <x:f>COUNT('32_W2_温度'!C31,'32_W2_温度'!E31,'32_W2_温度'!G31,'32_W2_温度'!I31)</x:f>
        <x:v>4</x:v>
      </x:c>
      <x:c r="F1233" s="90" t="n">
        <x:f>IF(E1233=0,"",AVERAGE('32_W2_温度'!C31,'32_W2_温度'!E31,'32_W2_温度'!G31,'32_W2_温度'!I31))</x:f>
        <x:v>25.1</x:v>
      </x:c>
      <x:c r="G1233" s="90" t="n">
        <x:f>IF(E1233&lt;2,"",STDEV.S('32_W2_温度'!C31,'32_W2_温度'!E31,'32_W2_温度'!G31,'32_W2_温度'!I31))</x:f>
        <x:v>0.40824829046386274</x:v>
      </x:c>
      <x:c r="H1233" s="90" t="n">
        <x:f>IF(E1233=0,"",MIN('32_W2_温度'!C31,'32_W2_温度'!E31,'32_W2_温度'!G31,'32_W2_温度'!I31))</x:f>
        <x:v>24.7</x:v>
      </x:c>
      <x:c r="I1233" s="90" t="n">
        <x:f>IF(E1233=0,"",MAX('32_W2_温度'!C31,'32_W2_温度'!E31,'32_W2_温度'!G31,'32_W2_温度'!I31))</x:f>
        <x:v>25.5</x:v>
      </x:c>
      <x:c r="J1233" s="32" t="str">
        <x:v>℃</x:v>
      </x:c>
    </x:row>
    <x:row r="1234">
      <x:c r="A1234" s="72" t="n">
        <x:v>46240.89644675926</x:v>
      </x:c>
      <x:c r="B1234" s="32" t="str">
        <x:v>土壤温度</x:v>
      </x:c>
      <x:c r="C1234" s="32" t="str">
        <x:v>W2</x:v>
      </x:c>
      <x:c r="D1234" s="32" t="str">
        <x:v>V1</x:v>
      </x:c>
      <x:c r="E1234" s="86" t="n">
        <x:f>COUNT('32_W2_温度'!B32,'32_W2_温度'!D32,'32_W2_温度'!F32,'32_W2_温度'!H32)</x:f>
        <x:v>4</x:v>
      </x:c>
      <x:c r="F1234" s="90" t="n">
        <x:f>IF(E1234=0,"",AVERAGE('32_W2_温度'!B32,'32_W2_温度'!D32,'32_W2_温度'!F32,'32_W2_温度'!H32))</x:f>
        <x:v>25.125</x:v>
      </x:c>
      <x:c r="G1234" s="90" t="n">
        <x:f>IF(E1234&lt;2,"",STDEV.S('32_W2_温度'!B32,'32_W2_温度'!D32,'32_W2_温度'!F32,'32_W2_温度'!H32))</x:f>
        <x:v>0.41129875597510207</x:v>
      </x:c>
      <x:c r="H1234" s="90" t="n">
        <x:f>IF(E1234=0,"",MIN('32_W2_温度'!B32,'32_W2_温度'!D32,'32_W2_温度'!F32,'32_W2_温度'!H32))</x:f>
        <x:v>24.6</x:v>
      </x:c>
      <x:c r="I1234" s="90" t="n">
        <x:f>IF(E1234=0,"",MAX('32_W2_温度'!B32,'32_W2_温度'!D32,'32_W2_温度'!F32,'32_W2_温度'!H32))</x:f>
        <x:v>25.6</x:v>
      </x:c>
      <x:c r="J1234" s="32" t="str">
        <x:v>℃</x:v>
      </x:c>
    </x:row>
    <x:row r="1235">
      <x:c r="A1235" s="72" t="n">
        <x:v>46240.89644675926</x:v>
      </x:c>
      <x:c r="B1235" s="32" t="str">
        <x:v>土壤温度</x:v>
      </x:c>
      <x:c r="C1235" s="32" t="str">
        <x:v>W2</x:v>
      </x:c>
      <x:c r="D1235" s="32" t="str">
        <x:v>V2</x:v>
      </x:c>
      <x:c r="E1235" s="86" t="n">
        <x:f>COUNT('32_W2_温度'!C32,'32_W2_温度'!E32,'32_W2_温度'!G32,'32_W2_温度'!I32)</x:f>
        <x:v>4</x:v>
      </x:c>
      <x:c r="F1235" s="90" t="n">
        <x:f>IF(E1235=0,"",AVERAGE('32_W2_温度'!C32,'32_W2_温度'!E32,'32_W2_温度'!G32,'32_W2_温度'!I32))</x:f>
        <x:v>25.1</x:v>
      </x:c>
      <x:c r="G1235" s="90" t="n">
        <x:f>IF(E1235&lt;2,"",STDEV.S('32_W2_温度'!C32,'32_W2_温度'!E32,'32_W2_温度'!G32,'32_W2_温度'!I32))</x:f>
        <x:v>0.4396968652757643</x:v>
      </x:c>
      <x:c r="H1235" s="90" t="n">
        <x:f>IF(E1235=0,"",MIN('32_W2_温度'!C32,'32_W2_温度'!E32,'32_W2_温度'!G32,'32_W2_温度'!I32))</x:f>
        <x:v>24.6</x:v>
      </x:c>
      <x:c r="I1235" s="90" t="n">
        <x:f>IF(E1235=0,"",MAX('32_W2_温度'!C32,'32_W2_温度'!E32,'32_W2_温度'!G32,'32_W2_温度'!I32))</x:f>
        <x:v>25.6</x:v>
      </x:c>
      <x:c r="J1235" s="32" t="str">
        <x:v>℃</x:v>
      </x:c>
    </x:row>
    <x:row r="1236">
      <x:c r="A1236" s="72" t="n">
        <x:v>46240.89991898148</x:v>
      </x:c>
      <x:c r="B1236" s="32" t="str">
        <x:v>土壤温度</x:v>
      </x:c>
      <x:c r="C1236" s="32" t="str">
        <x:v>W2</x:v>
      </x:c>
      <x:c r="D1236" s="32" t="str">
        <x:v>V1</x:v>
      </x:c>
      <x:c r="E1236" s="86" t="n">
        <x:f>COUNT('32_W2_温度'!B33,'32_W2_温度'!D33,'32_W2_温度'!F33,'32_W2_温度'!H33)</x:f>
        <x:v>4</x:v>
      </x:c>
      <x:c r="F1236" s="90" t="n">
        <x:f>IF(E1236=0,"",AVERAGE('32_W2_温度'!B33,'32_W2_温度'!D33,'32_W2_温度'!F33,'32_W2_温度'!H33))</x:f>
        <x:v>25.125</x:v>
      </x:c>
      <x:c r="G1236" s="90" t="n">
        <x:f>IF(E1236&lt;2,"",STDEV.S('32_W2_温度'!B33,'32_W2_温度'!D33,'32_W2_温度'!F33,'32_W2_温度'!H33))</x:f>
        <x:v>0.41129875597510207</x:v>
      </x:c>
      <x:c r="H1236" s="90" t="n">
        <x:f>IF(E1236=0,"",MIN('32_W2_温度'!B33,'32_W2_温度'!D33,'32_W2_温度'!F33,'32_W2_温度'!H33))</x:f>
        <x:v>24.6</x:v>
      </x:c>
      <x:c r="I1236" s="90" t="n">
        <x:f>IF(E1236=0,"",MAX('32_W2_温度'!B33,'32_W2_温度'!D33,'32_W2_温度'!F33,'32_W2_温度'!H33))</x:f>
        <x:v>25.6</x:v>
      </x:c>
      <x:c r="J1236" s="32" t="str">
        <x:v>℃</x:v>
      </x:c>
    </x:row>
    <x:row r="1237">
      <x:c r="A1237" s="72" t="n">
        <x:v>46240.89991898148</x:v>
      </x:c>
      <x:c r="B1237" s="32" t="str">
        <x:v>土壤温度</x:v>
      </x:c>
      <x:c r="C1237" s="32" t="str">
        <x:v>W2</x:v>
      </x:c>
      <x:c r="D1237" s="32" t="str">
        <x:v>V2</x:v>
      </x:c>
      <x:c r="E1237" s="86" t="n">
        <x:f>COUNT('32_W2_温度'!C33,'32_W2_温度'!E33,'32_W2_温度'!G33,'32_W2_温度'!I33)</x:f>
        <x:v>4</x:v>
      </x:c>
      <x:c r="F1237" s="90" t="n">
        <x:f>IF(E1237=0,"",AVERAGE('32_W2_温度'!C33,'32_W2_温度'!E33,'32_W2_温度'!G33,'32_W2_温度'!I33))</x:f>
        <x:v>25.125</x:v>
      </x:c>
      <x:c r="G1237" s="90" t="n">
        <x:f>IF(E1237&lt;2,"",STDEV.S('32_W2_温度'!C33,'32_W2_温度'!E33,'32_W2_温度'!G33,'32_W2_温度'!I33))</x:f>
        <x:v>0.41129875597510207</x:v>
      </x:c>
      <x:c r="H1237" s="90" t="n">
        <x:f>IF(E1237=0,"",MIN('32_W2_温度'!C33,'32_W2_温度'!E33,'32_W2_温度'!G33,'32_W2_温度'!I33))</x:f>
        <x:v>24.6</x:v>
      </x:c>
      <x:c r="I1237" s="90" t="n">
        <x:f>IF(E1237=0,"",MAX('32_W2_温度'!C33,'32_W2_温度'!E33,'32_W2_温度'!G33,'32_W2_温度'!I33))</x:f>
        <x:v>25.6</x:v>
      </x:c>
      <x:c r="J1237" s="32" t="str">
        <x:v>℃</x:v>
      </x:c>
    </x:row>
    <x:row r="1238">
      <x:c r="A1238" s="72" t="n">
        <x:v>46240.903391203705</x:v>
      </x:c>
      <x:c r="B1238" s="32" t="str">
        <x:v>土壤温度</x:v>
      </x:c>
      <x:c r="C1238" s="32" t="str">
        <x:v>W2</x:v>
      </x:c>
      <x:c r="D1238" s="32" t="str">
        <x:v>V1</x:v>
      </x:c>
      <x:c r="E1238" s="86" t="n">
        <x:f>COUNT('32_W2_温度'!B34,'32_W2_温度'!D34,'32_W2_温度'!F34,'32_W2_温度'!H34)</x:f>
        <x:v>4</x:v>
      </x:c>
      <x:c r="F1238" s="90" t="n">
        <x:f>IF(E1238=0,"",AVERAGE('32_W2_温度'!B34,'32_W2_温度'!D34,'32_W2_温度'!F34,'32_W2_温度'!H34))</x:f>
        <x:v>25.150000000000002</x:v>
      </x:c>
      <x:c r="G1238" s="90" t="n">
        <x:f>IF(E1238&lt;2,"",STDEV.S('32_W2_温度'!B34,'32_W2_温度'!D34,'32_W2_温度'!F34,'32_W2_温度'!H34))</x:f>
        <x:v>0.3872983346207426</x:v>
      </x:c>
      <x:c r="H1238" s="90" t="n">
        <x:f>IF(E1238=0,"",MIN('32_W2_温度'!B34,'32_W2_温度'!D34,'32_W2_温度'!F34,'32_W2_温度'!H34))</x:f>
        <x:v>24.7</x:v>
      </x:c>
      <x:c r="I1238" s="90" t="n">
        <x:f>IF(E1238=0,"",MAX('32_W2_温度'!B34,'32_W2_温度'!D34,'32_W2_温度'!F34,'32_W2_温度'!H34))</x:f>
        <x:v>25.6</x:v>
      </x:c>
      <x:c r="J1238" s="32" t="str">
        <x:v>℃</x:v>
      </x:c>
    </x:row>
    <x:row r="1239">
      <x:c r="A1239" s="72" t="n">
        <x:v>46240.903391203705</x:v>
      </x:c>
      <x:c r="B1239" s="32" t="str">
        <x:v>土壤温度</x:v>
      </x:c>
      <x:c r="C1239" s="32" t="str">
        <x:v>W2</x:v>
      </x:c>
      <x:c r="D1239" s="32" t="str">
        <x:v>V2</x:v>
      </x:c>
      <x:c r="E1239" s="86" t="n">
        <x:f>COUNT('32_W2_温度'!C34,'32_W2_温度'!E34,'32_W2_温度'!G34,'32_W2_温度'!I34)</x:f>
        <x:v>4</x:v>
      </x:c>
      <x:c r="F1239" s="90" t="n">
        <x:f>IF(E1239=0,"",AVERAGE('32_W2_温度'!C34,'32_W2_温度'!E34,'32_W2_温度'!G34,'32_W2_温度'!I34))</x:f>
        <x:v>25.125</x:v>
      </x:c>
      <x:c r="G1239" s="90" t="n">
        <x:f>IF(E1239&lt;2,"",STDEV.S('32_W2_温度'!C34,'32_W2_温度'!E34,'32_W2_温度'!G34,'32_W2_温度'!I34))</x:f>
        <x:v>0.41129875597510207</x:v>
      </x:c>
      <x:c r="H1239" s="90" t="n">
        <x:f>IF(E1239=0,"",MIN('32_W2_温度'!C34,'32_W2_温度'!E34,'32_W2_温度'!G34,'32_W2_温度'!I34))</x:f>
        <x:v>24.6</x:v>
      </x:c>
      <x:c r="I1239" s="90" t="n">
        <x:f>IF(E1239=0,"",MAX('32_W2_温度'!C34,'32_W2_温度'!E34,'32_W2_温度'!G34,'32_W2_温度'!I34))</x:f>
        <x:v>25.6</x:v>
      </x:c>
      <x:c r="J1239" s="32" t="str">
        <x:v>℃</x:v>
      </x:c>
    </x:row>
    <x:row r="1240">
      <x:c r="A1240" s="72" t="n">
        <x:v>46240.906863425924</x:v>
      </x:c>
      <x:c r="B1240" s="32" t="str">
        <x:v>土壤温度</x:v>
      </x:c>
      <x:c r="C1240" s="32" t="str">
        <x:v>W2</x:v>
      </x:c>
      <x:c r="D1240" s="32" t="str">
        <x:v>V1</x:v>
      </x:c>
      <x:c r="E1240" s="86" t="n">
        <x:f>COUNT('32_W2_温度'!B35,'32_W2_温度'!D35,'32_W2_温度'!F35,'32_W2_温度'!H35)</x:f>
        <x:v>4</x:v>
      </x:c>
      <x:c r="F1240" s="90" t="n">
        <x:f>IF(E1240=0,"",AVERAGE('32_W2_温度'!B35,'32_W2_温度'!D35,'32_W2_温度'!F35,'32_W2_温度'!H35))</x:f>
        <x:v>25.099999999999998</x:v>
      </x:c>
      <x:c r="G1240" s="90" t="n">
        <x:f>IF(E1240&lt;2,"",STDEV.S('32_W2_温度'!B35,'32_W2_温度'!D35,'32_W2_温度'!F35,'32_W2_温度'!H35))</x:f>
        <x:v>0.40824829046386274</x:v>
      </x:c>
      <x:c r="H1240" s="90" t="n">
        <x:f>IF(E1240=0,"",MIN('32_W2_温度'!B35,'32_W2_温度'!D35,'32_W2_温度'!F35,'32_W2_温度'!H35))</x:f>
        <x:v>24.7</x:v>
      </x:c>
      <x:c r="I1240" s="90" t="n">
        <x:f>IF(E1240=0,"",MAX('32_W2_温度'!B35,'32_W2_温度'!D35,'32_W2_温度'!F35,'32_W2_温度'!H35))</x:f>
        <x:v>25.5</x:v>
      </x:c>
      <x:c r="J1240" s="32" t="str">
        <x:v>℃</x:v>
      </x:c>
    </x:row>
    <x:row r="1241">
      <x:c r="A1241" s="72" t="n">
        <x:v>46240.906863425924</x:v>
      </x:c>
      <x:c r="B1241" s="32" t="str">
        <x:v>土壤温度</x:v>
      </x:c>
      <x:c r="C1241" s="32" t="str">
        <x:v>W2</x:v>
      </x:c>
      <x:c r="D1241" s="32" t="str">
        <x:v>V2</x:v>
      </x:c>
      <x:c r="E1241" s="86" t="n">
        <x:f>COUNT('32_W2_温度'!C35,'32_W2_温度'!E35,'32_W2_温度'!G35,'32_W2_温度'!I35)</x:f>
        <x:v>4</x:v>
      </x:c>
      <x:c r="F1241" s="90" t="n">
        <x:f>IF(E1241=0,"",AVERAGE('32_W2_温度'!C35,'32_W2_温度'!E35,'32_W2_温度'!G35,'32_W2_温度'!I35))</x:f>
        <x:v>25.150000000000002</x:v>
      </x:c>
      <x:c r="G1241" s="90" t="n">
        <x:f>IF(E1241&lt;2,"",STDEV.S('32_W2_温度'!C35,'32_W2_温度'!E35,'32_W2_温度'!G35,'32_W2_温度'!I35))</x:f>
        <x:v>0.3872983346207426</x:v>
      </x:c>
      <x:c r="H1241" s="90" t="n">
        <x:f>IF(E1241=0,"",MIN('32_W2_温度'!C35,'32_W2_温度'!E35,'32_W2_温度'!G35,'32_W2_温度'!I35))</x:f>
        <x:v>24.7</x:v>
      </x:c>
      <x:c r="I1241" s="90" t="n">
        <x:f>IF(E1241=0,"",MAX('32_W2_温度'!C35,'32_W2_温度'!E35,'32_W2_温度'!G35,'32_W2_温度'!I35))</x:f>
        <x:v>25.6</x:v>
      </x:c>
      <x:c r="J1241" s="32" t="str">
        <x:v>℃</x:v>
      </x:c>
    </x:row>
    <x:row r="1242">
      <x:c r="A1242" s="72" t="n">
        <x:v>46240.91033564815</x:v>
      </x:c>
      <x:c r="B1242" s="32" t="str">
        <x:v>土壤温度</x:v>
      </x:c>
      <x:c r="C1242" s="32" t="str">
        <x:v>W2</x:v>
      </x:c>
      <x:c r="D1242" s="32" t="str">
        <x:v>V1</x:v>
      </x:c>
      <x:c r="E1242" s="86" t="n">
        <x:f>COUNT('32_W2_温度'!B36,'32_W2_温度'!D36,'32_W2_温度'!F36,'32_W2_温度'!H36)</x:f>
        <x:v>4</x:v>
      </x:c>
      <x:c r="F1242" s="90" t="n">
        <x:f>IF(E1242=0,"",AVERAGE('32_W2_温度'!B36,'32_W2_温度'!D36,'32_W2_温度'!F36,'32_W2_温度'!H36))</x:f>
        <x:v>25.099999999999998</x:v>
      </x:c>
      <x:c r="G1242" s="90" t="n">
        <x:f>IF(E1242&lt;2,"",STDEV.S('32_W2_温度'!B36,'32_W2_温度'!D36,'32_W2_温度'!F36,'32_W2_温度'!H36))</x:f>
        <x:v>0.40824829046386274</x:v>
      </x:c>
      <x:c r="H1242" s="90" t="n">
        <x:f>IF(E1242=0,"",MIN('32_W2_温度'!B36,'32_W2_温度'!D36,'32_W2_温度'!F36,'32_W2_温度'!H36))</x:f>
        <x:v>24.7</x:v>
      </x:c>
      <x:c r="I1242" s="90" t="n">
        <x:f>IF(E1242=0,"",MAX('32_W2_温度'!B36,'32_W2_温度'!D36,'32_W2_温度'!F36,'32_W2_温度'!H36))</x:f>
        <x:v>25.5</x:v>
      </x:c>
      <x:c r="J1242" s="32" t="str">
        <x:v>℃</x:v>
      </x:c>
    </x:row>
    <x:row r="1243">
      <x:c r="A1243" s="72" t="n">
        <x:v>46240.91033564815</x:v>
      </x:c>
      <x:c r="B1243" s="32" t="str">
        <x:v>土壤温度</x:v>
      </x:c>
      <x:c r="C1243" s="32" t="str">
        <x:v>W2</x:v>
      </x:c>
      <x:c r="D1243" s="32" t="str">
        <x:v>V2</x:v>
      </x:c>
      <x:c r="E1243" s="86" t="n">
        <x:f>COUNT('32_W2_温度'!C36,'32_W2_温度'!E36,'32_W2_温度'!G36,'32_W2_温度'!I36)</x:f>
        <x:v>4</x:v>
      </x:c>
      <x:c r="F1243" s="90" t="n">
        <x:f>IF(E1243=0,"",AVERAGE('32_W2_温度'!C36,'32_W2_温度'!E36,'32_W2_温度'!G36,'32_W2_温度'!I36))</x:f>
        <x:v>25.099999999999998</x:v>
      </x:c>
      <x:c r="G1243" s="90" t="n">
        <x:f>IF(E1243&lt;2,"",STDEV.S('32_W2_温度'!C36,'32_W2_温度'!E36,'32_W2_温度'!G36,'32_W2_温度'!I36))</x:f>
        <x:v>0.40824829046386274</x:v>
      </x:c>
      <x:c r="H1243" s="90" t="n">
        <x:f>IF(E1243=0,"",MIN('32_W2_温度'!C36,'32_W2_温度'!E36,'32_W2_温度'!G36,'32_W2_温度'!I36))</x:f>
        <x:v>24.7</x:v>
      </x:c>
      <x:c r="I1243" s="90" t="n">
        <x:f>IF(E1243=0,"",MAX('32_W2_温度'!C36,'32_W2_温度'!E36,'32_W2_温度'!G36,'32_W2_温度'!I36))</x:f>
        <x:v>25.5</x:v>
      </x:c>
      <x:c r="J1243" s="32" t="str">
        <x:v>℃</x:v>
      </x:c>
    </x:row>
    <x:row r="1244">
      <x:c r="A1244" s="72" t="n">
        <x:v>46240.91380787037</x:v>
      </x:c>
      <x:c r="B1244" s="32" t="str">
        <x:v>土壤温度</x:v>
      </x:c>
      <x:c r="C1244" s="32" t="str">
        <x:v>W2</x:v>
      </x:c>
      <x:c r="D1244" s="32" t="str">
        <x:v>V1</x:v>
      </x:c>
      <x:c r="E1244" s="86" t="n">
        <x:f>COUNT('32_W2_温度'!B37,'32_W2_温度'!D37,'32_W2_温度'!F37,'32_W2_温度'!H37)</x:f>
        <x:v>4</x:v>
      </x:c>
      <x:c r="F1244" s="90" t="n">
        <x:f>IF(E1244=0,"",AVERAGE('32_W2_温度'!B37,'32_W2_温度'!D37,'32_W2_温度'!F37,'32_W2_温度'!H37))</x:f>
        <x:v>25.125</x:v>
      </x:c>
      <x:c r="G1244" s="90" t="n">
        <x:f>IF(E1244&lt;2,"",STDEV.S('32_W2_温度'!B37,'32_W2_温度'!D37,'32_W2_温度'!F37,'32_W2_温度'!H37))</x:f>
        <x:v>0.4031128874149287</x:v>
      </x:c>
      <x:c r="H1244" s="90" t="n">
        <x:f>IF(E1244=0,"",MIN('32_W2_温度'!B37,'32_W2_温度'!D37,'32_W2_温度'!F37,'32_W2_温度'!H37))</x:f>
        <x:v>24.7</x:v>
      </x:c>
      <x:c r="I1244" s="90" t="n">
        <x:f>IF(E1244=0,"",MAX('32_W2_温度'!B37,'32_W2_温度'!D37,'32_W2_温度'!F37,'32_W2_温度'!H37))</x:f>
        <x:v>25.6</x:v>
      </x:c>
      <x:c r="J1244" s="32" t="str">
        <x:v>℃</x:v>
      </x:c>
    </x:row>
    <x:row r="1245">
      <x:c r="A1245" s="72" t="n">
        <x:v>46240.91380787037</x:v>
      </x:c>
      <x:c r="B1245" s="32" t="str">
        <x:v>土壤温度</x:v>
      </x:c>
      <x:c r="C1245" s="32" t="str">
        <x:v>W2</x:v>
      </x:c>
      <x:c r="D1245" s="32" t="str">
        <x:v>V2</x:v>
      </x:c>
      <x:c r="E1245" s="86" t="n">
        <x:f>COUNT('32_W2_温度'!C37,'32_W2_温度'!E37,'32_W2_温度'!G37,'32_W2_温度'!I37)</x:f>
        <x:v>4</x:v>
      </x:c>
      <x:c r="F1245" s="90" t="n">
        <x:f>IF(E1245=0,"",AVERAGE('32_W2_温度'!C37,'32_W2_温度'!E37,'32_W2_温度'!G37,'32_W2_温度'!I37))</x:f>
        <x:v>25.099999999999998</x:v>
      </x:c>
      <x:c r="G1245" s="90" t="n">
        <x:f>IF(E1245&lt;2,"",STDEV.S('32_W2_温度'!C37,'32_W2_温度'!E37,'32_W2_温度'!G37,'32_W2_温度'!I37))</x:f>
        <x:v>0.40824829046386274</x:v>
      </x:c>
      <x:c r="H1245" s="90" t="n">
        <x:f>IF(E1245=0,"",MIN('32_W2_温度'!C37,'32_W2_温度'!E37,'32_W2_温度'!G37,'32_W2_温度'!I37))</x:f>
        <x:v>24.7</x:v>
      </x:c>
      <x:c r="I1245" s="90" t="n">
        <x:f>IF(E1245=0,"",MAX('32_W2_温度'!C37,'32_W2_温度'!E37,'32_W2_温度'!G37,'32_W2_温度'!I37))</x:f>
        <x:v>25.5</x:v>
      </x:c>
      <x:c r="J1245" s="32" t="str">
        <x:v>℃</x:v>
      </x:c>
    </x:row>
    <x:row r="1246">
      <x:c r="A1246" s="72" t="n">
        <x:v>46240.917280092595</x:v>
      </x:c>
      <x:c r="B1246" s="32" t="str">
        <x:v>土壤温度</x:v>
      </x:c>
      <x:c r="C1246" s="32" t="str">
        <x:v>W2</x:v>
      </x:c>
      <x:c r="D1246" s="32" t="str">
        <x:v>V1</x:v>
      </x:c>
      <x:c r="E1246" s="86" t="n">
        <x:f>COUNT('32_W2_温度'!B38,'32_W2_温度'!D38,'32_W2_温度'!F38,'32_W2_温度'!H38)</x:f>
        <x:v>4</x:v>
      </x:c>
      <x:c r="F1246" s="90" t="n">
        <x:f>IF(E1246=0,"",AVERAGE('32_W2_温度'!B38,'32_W2_温度'!D38,'32_W2_温度'!F38,'32_W2_温度'!H38))</x:f>
        <x:v>25.125</x:v>
      </x:c>
      <x:c r="G1246" s="90" t="n">
        <x:f>IF(E1246&lt;2,"",STDEV.S('32_W2_温度'!B38,'32_W2_温度'!D38,'32_W2_温度'!F38,'32_W2_温度'!H38))</x:f>
        <x:v>0.41129875597510207</x:v>
      </x:c>
      <x:c r="H1246" s="90" t="n">
        <x:f>IF(E1246=0,"",MIN('32_W2_温度'!B38,'32_W2_温度'!D38,'32_W2_温度'!F38,'32_W2_温度'!H38))</x:f>
        <x:v>24.6</x:v>
      </x:c>
      <x:c r="I1246" s="90" t="n">
        <x:f>IF(E1246=0,"",MAX('32_W2_温度'!B38,'32_W2_温度'!D38,'32_W2_温度'!F38,'32_W2_温度'!H38))</x:f>
        <x:v>25.6</x:v>
      </x:c>
      <x:c r="J1246" s="32" t="str">
        <x:v>℃</x:v>
      </x:c>
    </x:row>
    <x:row r="1247">
      <x:c r="A1247" s="72" t="n">
        <x:v>46240.917280092595</x:v>
      </x:c>
      <x:c r="B1247" s="32" t="str">
        <x:v>土壤温度</x:v>
      </x:c>
      <x:c r="C1247" s="32" t="str">
        <x:v>W2</x:v>
      </x:c>
      <x:c r="D1247" s="32" t="str">
        <x:v>V2</x:v>
      </x:c>
      <x:c r="E1247" s="86" t="n">
        <x:f>COUNT('32_W2_温度'!C38,'32_W2_温度'!E38,'32_W2_温度'!G38,'32_W2_温度'!I38)</x:f>
        <x:v>4</x:v>
      </x:c>
      <x:c r="F1247" s="90" t="n">
        <x:f>IF(E1247=0,"",AVERAGE('32_W2_温度'!C38,'32_W2_温度'!E38,'32_W2_温度'!G38,'32_W2_温度'!I38))</x:f>
        <x:v>25.125</x:v>
      </x:c>
      <x:c r="G1247" s="90" t="n">
        <x:f>IF(E1247&lt;2,"",STDEV.S('32_W2_温度'!C38,'32_W2_温度'!E38,'32_W2_温度'!G38,'32_W2_温度'!I38))</x:f>
        <x:v>0.4031128874149287</x:v>
      </x:c>
      <x:c r="H1247" s="90" t="n">
        <x:f>IF(E1247=0,"",MIN('32_W2_温度'!C38,'32_W2_温度'!E38,'32_W2_温度'!G38,'32_W2_温度'!I38))</x:f>
        <x:v>24.7</x:v>
      </x:c>
      <x:c r="I1247" s="90" t="n">
        <x:f>IF(E1247=0,"",MAX('32_W2_温度'!C38,'32_W2_温度'!E38,'32_W2_温度'!G38,'32_W2_温度'!I38))</x:f>
        <x:v>25.6</x:v>
      </x:c>
      <x:c r="J1247" s="32" t="str">
        <x:v>℃</x:v>
      </x:c>
    </x:row>
    <x:row r="1248">
      <x:c r="A1248" s="72" t="n">
        <x:v>46240.920752314814</x:v>
      </x:c>
      <x:c r="B1248" s="32" t="str">
        <x:v>土壤温度</x:v>
      </x:c>
      <x:c r="C1248" s="32" t="str">
        <x:v>W2</x:v>
      </x:c>
      <x:c r="D1248" s="32" t="str">
        <x:v>V1</x:v>
      </x:c>
      <x:c r="E1248" s="86" t="n">
        <x:f>COUNT('32_W2_温度'!B39,'32_W2_温度'!D39,'32_W2_温度'!F39,'32_W2_温度'!H39)</x:f>
        <x:v>4</x:v>
      </x:c>
      <x:c r="F1248" s="90" t="n">
        <x:f>IF(E1248=0,"",AVERAGE('32_W2_温度'!B39,'32_W2_温度'!D39,'32_W2_温度'!F39,'32_W2_温度'!H39))</x:f>
        <x:v>25.125000000000004</x:v>
      </x:c>
      <x:c r="G1248" s="90" t="n">
        <x:f>IF(E1248&lt;2,"",STDEV.S('32_W2_温度'!B39,'32_W2_温度'!D39,'32_W2_温度'!F39,'32_W2_温度'!H39))</x:f>
        <x:v>0.41129875597510207</x:v>
      </x:c>
      <x:c r="H1248" s="90" t="n">
        <x:f>IF(E1248=0,"",MIN('32_W2_温度'!B39,'32_W2_温度'!D39,'32_W2_温度'!F39,'32_W2_温度'!H39))</x:f>
        <x:v>24.6</x:v>
      </x:c>
      <x:c r="I1248" s="90" t="n">
        <x:f>IF(E1248=0,"",MAX('32_W2_温度'!B39,'32_W2_温度'!D39,'32_W2_温度'!F39,'32_W2_温度'!H39))</x:f>
        <x:v>25.6</x:v>
      </x:c>
      <x:c r="J1248" s="32" t="str">
        <x:v>℃</x:v>
      </x:c>
    </x:row>
    <x:row r="1249">
      <x:c r="A1249" s="72" t="n">
        <x:v>46240.920752314814</x:v>
      </x:c>
      <x:c r="B1249" s="32" t="str">
        <x:v>土壤温度</x:v>
      </x:c>
      <x:c r="C1249" s="32" t="str">
        <x:v>W2</x:v>
      </x:c>
      <x:c r="D1249" s="32" t="str">
        <x:v>V2</x:v>
      </x:c>
      <x:c r="E1249" s="86" t="n">
        <x:f>COUNT('32_W2_温度'!C39,'32_W2_温度'!E39,'32_W2_温度'!G39,'32_W2_温度'!I39)</x:f>
        <x:v>4</x:v>
      </x:c>
      <x:c r="F1249" s="90" t="n">
        <x:f>IF(E1249=0,"",AVERAGE('32_W2_温度'!C39,'32_W2_温度'!E39,'32_W2_温度'!G39,'32_W2_温度'!I39))</x:f>
        <x:v>25.125</x:v>
      </x:c>
      <x:c r="G1249" s="90" t="n">
        <x:f>IF(E1249&lt;2,"",STDEV.S('32_W2_温度'!C39,'32_W2_温度'!E39,'32_W2_温度'!G39,'32_W2_温度'!I39))</x:f>
        <x:v>0.41129875597510207</x:v>
      </x:c>
      <x:c r="H1249" s="90" t="n">
        <x:f>IF(E1249=0,"",MIN('32_W2_温度'!C39,'32_W2_温度'!E39,'32_W2_温度'!G39,'32_W2_温度'!I39))</x:f>
        <x:v>24.6</x:v>
      </x:c>
      <x:c r="I1249" s="90" t="n">
        <x:f>IF(E1249=0,"",MAX('32_W2_温度'!C39,'32_W2_温度'!E39,'32_W2_温度'!G39,'32_W2_温度'!I39))</x:f>
        <x:v>25.6</x:v>
      </x:c>
      <x:c r="J1249" s="32" t="str">
        <x:v>℃</x:v>
      </x:c>
    </x:row>
    <x:row r="1250">
      <x:c r="A1250" s="72" t="n">
        <x:v>46240.92422453704</x:v>
      </x:c>
      <x:c r="B1250" s="32" t="str">
        <x:v>土壤温度</x:v>
      </x:c>
      <x:c r="C1250" s="32" t="str">
        <x:v>W2</x:v>
      </x:c>
      <x:c r="D1250" s="32" t="str">
        <x:v>V1</x:v>
      </x:c>
      <x:c r="E1250" s="86" t="n">
        <x:f>COUNT('32_W2_温度'!B40,'32_W2_温度'!D40,'32_W2_温度'!F40,'32_W2_温度'!H40)</x:f>
        <x:v>4</x:v>
      </x:c>
      <x:c r="F1250" s="90" t="n">
        <x:f>IF(E1250=0,"",AVERAGE('32_W2_温度'!B40,'32_W2_温度'!D40,'32_W2_温度'!F40,'32_W2_温度'!H40))</x:f>
        <x:v>25.125</x:v>
      </x:c>
      <x:c r="G1250" s="90" t="n">
        <x:f>IF(E1250&lt;2,"",STDEV.S('32_W2_温度'!B40,'32_W2_温度'!D40,'32_W2_温度'!F40,'32_W2_温度'!H40))</x:f>
        <x:v>0.4272001872658766</x:v>
      </x:c>
      <x:c r="H1250" s="90" t="n">
        <x:f>IF(E1250=0,"",MIN('32_W2_温度'!B40,'32_W2_温度'!D40,'32_W2_温度'!F40,'32_W2_温度'!H40))</x:f>
        <x:v>24.6</x:v>
      </x:c>
      <x:c r="I1250" s="90" t="n">
        <x:f>IF(E1250=0,"",MAX('32_W2_温度'!B40,'32_W2_温度'!D40,'32_W2_温度'!F40,'32_W2_温度'!H40))</x:f>
        <x:v>25.6</x:v>
      </x:c>
      <x:c r="J1250" s="32" t="str">
        <x:v>℃</x:v>
      </x:c>
    </x:row>
    <x:row r="1251">
      <x:c r="A1251" s="72" t="n">
        <x:v>46240.92422453704</x:v>
      </x:c>
      <x:c r="B1251" s="32" t="str">
        <x:v>土壤温度</x:v>
      </x:c>
      <x:c r="C1251" s="32" t="str">
        <x:v>W2</x:v>
      </x:c>
      <x:c r="D1251" s="32" t="str">
        <x:v>V2</x:v>
      </x:c>
      <x:c r="E1251" s="86" t="n">
        <x:f>COUNT('32_W2_温度'!C40,'32_W2_温度'!E40,'32_W2_温度'!G40,'32_W2_温度'!I40)</x:f>
        <x:v>4</x:v>
      </x:c>
      <x:c r="F1251" s="90" t="n">
        <x:f>IF(E1251=0,"",AVERAGE('32_W2_温度'!C40,'32_W2_温度'!E40,'32_W2_温度'!G40,'32_W2_温度'!I40))</x:f>
        <x:v>25.125000000000004</x:v>
      </x:c>
      <x:c r="G1251" s="90" t="n">
        <x:f>IF(E1251&lt;2,"",STDEV.S('32_W2_温度'!C40,'32_W2_温度'!E40,'32_W2_温度'!G40,'32_W2_温度'!I40))</x:f>
        <x:v>0.41129875597510207</x:v>
      </x:c>
      <x:c r="H1251" s="90" t="n">
        <x:f>IF(E1251=0,"",MIN('32_W2_温度'!C40,'32_W2_温度'!E40,'32_W2_温度'!G40,'32_W2_温度'!I40))</x:f>
        <x:v>24.6</x:v>
      </x:c>
      <x:c r="I1251" s="90" t="n">
        <x:f>IF(E1251=0,"",MAX('32_W2_温度'!C40,'32_W2_温度'!E40,'32_W2_温度'!G40,'32_W2_温度'!I40))</x:f>
        <x:v>25.6</x:v>
      </x:c>
      <x:c r="J1251" s="32" t="str">
        <x:v>℃</x:v>
      </x:c>
    </x:row>
    <x:row r="1252">
      <x:c r="A1252" s="72" t="n">
        <x:v>46240.92769675926</x:v>
      </x:c>
      <x:c r="B1252" s="32" t="str">
        <x:v>土壤温度</x:v>
      </x:c>
      <x:c r="C1252" s="32" t="str">
        <x:v>W2</x:v>
      </x:c>
      <x:c r="D1252" s="32" t="str">
        <x:v>V1</x:v>
      </x:c>
      <x:c r="E1252" s="86" t="n">
        <x:f>COUNT('32_W2_温度'!B41,'32_W2_温度'!D41,'32_W2_温度'!F41,'32_W2_温度'!H41)</x:f>
        <x:v>4</x:v>
      </x:c>
      <x:c r="F1252" s="90" t="n">
        <x:f>IF(E1252=0,"",AVERAGE('32_W2_温度'!B41,'32_W2_温度'!D41,'32_W2_温度'!F41,'32_W2_温度'!H41))</x:f>
        <x:v>25.1</x:v>
      </x:c>
      <x:c r="G1252" s="90" t="n">
        <x:f>IF(E1252&lt;2,"",STDEV.S('32_W2_温度'!B41,'32_W2_温度'!D41,'32_W2_温度'!F41,'32_W2_温度'!H41))</x:f>
        <x:v>0.40824829046386274</x:v>
      </x:c>
      <x:c r="H1252" s="90" t="n">
        <x:f>IF(E1252=0,"",MIN('32_W2_温度'!B41,'32_W2_温度'!D41,'32_W2_温度'!F41,'32_W2_温度'!H41))</x:f>
        <x:v>24.7</x:v>
      </x:c>
      <x:c r="I1252" s="90" t="n">
        <x:f>IF(E1252=0,"",MAX('32_W2_温度'!B41,'32_W2_温度'!D41,'32_W2_温度'!F41,'32_W2_温度'!H41))</x:f>
        <x:v>25.5</x:v>
      </x:c>
      <x:c r="J1252" s="32" t="str">
        <x:v>℃</x:v>
      </x:c>
    </x:row>
    <x:row r="1253">
      <x:c r="A1253" s="72" t="n">
        <x:v>46240.92769675926</x:v>
      </x:c>
      <x:c r="B1253" s="32" t="str">
        <x:v>土壤温度</x:v>
      </x:c>
      <x:c r="C1253" s="32" t="str">
        <x:v>W2</x:v>
      </x:c>
      <x:c r="D1253" s="32" t="str">
        <x:v>V2</x:v>
      </x:c>
      <x:c r="E1253" s="86" t="n">
        <x:f>COUNT('32_W2_温度'!C41,'32_W2_温度'!E41,'32_W2_温度'!G41,'32_W2_温度'!I41)</x:f>
        <x:v>4</x:v>
      </x:c>
      <x:c r="F1253" s="90" t="n">
        <x:f>IF(E1253=0,"",AVERAGE('32_W2_温度'!C41,'32_W2_温度'!E41,'32_W2_温度'!G41,'32_W2_温度'!I41))</x:f>
        <x:v>25.125</x:v>
      </x:c>
      <x:c r="G1253" s="90" t="n">
        <x:f>IF(E1253&lt;2,"",STDEV.S('32_W2_温度'!C41,'32_W2_温度'!E41,'32_W2_温度'!G41,'32_W2_温度'!I41))</x:f>
        <x:v>0.4272001872658766</x:v>
      </x:c>
      <x:c r="H1253" s="90" t="n">
        <x:f>IF(E1253=0,"",MIN('32_W2_温度'!C41,'32_W2_温度'!E41,'32_W2_温度'!G41,'32_W2_温度'!I41))</x:f>
        <x:v>24.6</x:v>
      </x:c>
      <x:c r="I1253" s="90" t="n">
        <x:f>IF(E1253=0,"",MAX('32_W2_温度'!C41,'32_W2_温度'!E41,'32_W2_温度'!G41,'32_W2_温度'!I41))</x:f>
        <x:v>25.6</x:v>
      </x:c>
      <x:c r="J1253" s="32" t="str">
        <x:v>℃</x:v>
      </x:c>
    </x:row>
    <x:row r="1254">
      <x:c r="A1254" s="72" t="n">
        <x:v>46240.93116898148</x:v>
      </x:c>
      <x:c r="B1254" s="32" t="str">
        <x:v>土壤温度</x:v>
      </x:c>
      <x:c r="C1254" s="32" t="str">
        <x:v>W2</x:v>
      </x:c>
      <x:c r="D1254" s="32" t="str">
        <x:v>V1</x:v>
      </x:c>
      <x:c r="E1254" s="86" t="n">
        <x:f>COUNT('32_W2_温度'!B42,'32_W2_温度'!D42,'32_W2_温度'!F42,'32_W2_温度'!H42)</x:f>
        <x:v>4</x:v>
      </x:c>
      <x:c r="F1254" s="90" t="n">
        <x:f>IF(E1254=0,"",AVERAGE('32_W2_温度'!B42,'32_W2_温度'!D42,'32_W2_温度'!F42,'32_W2_温度'!H42))</x:f>
        <x:v>25.075</x:v>
      </x:c>
      <x:c r="G1254" s="90" t="n">
        <x:f>IF(E1254&lt;2,"",STDEV.S('32_W2_温度'!B42,'32_W2_温度'!D42,'32_W2_温度'!F42,'32_W2_温度'!H42))</x:f>
        <x:v>0.4349329450233297</x:v>
      </x:c>
      <x:c r="H1254" s="90" t="n">
        <x:f>IF(E1254=0,"",MIN('32_W2_温度'!B42,'32_W2_温度'!D42,'32_W2_温度'!F42,'32_W2_温度'!H42))</x:f>
        <x:v>24.7</x:v>
      </x:c>
      <x:c r="I1254" s="90" t="n">
        <x:f>IF(E1254=0,"",MAX('32_W2_温度'!B42,'32_W2_温度'!D42,'32_W2_温度'!F42,'32_W2_温度'!H42))</x:f>
        <x:v>25.5</x:v>
      </x:c>
      <x:c r="J1254" s="32" t="str">
        <x:v>℃</x:v>
      </x:c>
    </x:row>
    <x:row r="1255">
      <x:c r="A1255" s="72" t="n">
        <x:v>46240.93116898148</x:v>
      </x:c>
      <x:c r="B1255" s="32" t="str">
        <x:v>土壤温度</x:v>
      </x:c>
      <x:c r="C1255" s="32" t="str">
        <x:v>W2</x:v>
      </x:c>
      <x:c r="D1255" s="32" t="str">
        <x:v>V2</x:v>
      </x:c>
      <x:c r="E1255" s="86" t="n">
        <x:f>COUNT('32_W2_温度'!C42,'32_W2_温度'!E42,'32_W2_温度'!G42,'32_W2_温度'!I42)</x:f>
        <x:v>4</x:v>
      </x:c>
      <x:c r="F1255" s="90" t="n">
        <x:f>IF(E1255=0,"",AVERAGE('32_W2_温度'!C42,'32_W2_温度'!E42,'32_W2_温度'!G42,'32_W2_温度'!I42))</x:f>
        <x:v>25.1</x:v>
      </x:c>
      <x:c r="G1255" s="90" t="n">
        <x:f>IF(E1255&lt;2,"",STDEV.S('32_W2_温度'!C42,'32_W2_温度'!E42,'32_W2_温度'!G42,'32_W2_温度'!I42))</x:f>
        <x:v>0.40824829046386274</x:v>
      </x:c>
      <x:c r="H1255" s="90" t="n">
        <x:f>IF(E1255=0,"",MIN('32_W2_温度'!C42,'32_W2_温度'!E42,'32_W2_温度'!G42,'32_W2_温度'!I42))</x:f>
        <x:v>24.7</x:v>
      </x:c>
      <x:c r="I1255" s="90" t="n">
        <x:f>IF(E1255=0,"",MAX('32_W2_温度'!C42,'32_W2_温度'!E42,'32_W2_温度'!G42,'32_W2_温度'!I42))</x:f>
        <x:v>25.5</x:v>
      </x:c>
      <x:c r="J1255" s="32" t="str">
        <x:v>℃</x:v>
      </x:c>
    </x:row>
    <x:row r="1256">
      <x:c r="A1256" s="72" t="n">
        <x:v>46240.934641203705</x:v>
      </x:c>
      <x:c r="B1256" s="32" t="str">
        <x:v>土壤温度</x:v>
      </x:c>
      <x:c r="C1256" s="32" t="str">
        <x:v>W2</x:v>
      </x:c>
      <x:c r="D1256" s="32" t="str">
        <x:v>V1</x:v>
      </x:c>
      <x:c r="E1256" s="86" t="n">
        <x:f>COUNT('32_W2_温度'!B43,'32_W2_温度'!D43,'32_W2_温度'!F43,'32_W2_温度'!H43)</x:f>
        <x:v>4</x:v>
      </x:c>
      <x:c r="F1256" s="90" t="n">
        <x:f>IF(E1256=0,"",AVERAGE('32_W2_温度'!B43,'32_W2_温度'!D43,'32_W2_温度'!F43,'32_W2_温度'!H43))</x:f>
        <x:v>25.1</x:v>
      </x:c>
      <x:c r="G1256" s="90" t="n">
        <x:f>IF(E1256&lt;2,"",STDEV.S('32_W2_温度'!B43,'32_W2_温度'!D43,'32_W2_温度'!F43,'32_W2_温度'!H43))</x:f>
        <x:v>0.42426406871192923</x:v>
      </x:c>
      <x:c r="H1256" s="90" t="n">
        <x:f>IF(E1256=0,"",MIN('32_W2_温度'!B43,'32_W2_温度'!D43,'32_W2_温度'!F43,'32_W2_温度'!H43))</x:f>
        <x:v>24.7</x:v>
      </x:c>
      <x:c r="I1256" s="90" t="n">
        <x:f>IF(E1256=0,"",MAX('32_W2_温度'!B43,'32_W2_温度'!D43,'32_W2_温度'!F43,'32_W2_温度'!H43))</x:f>
        <x:v>25.6</x:v>
      </x:c>
      <x:c r="J1256" s="32" t="str">
        <x:v>℃</x:v>
      </x:c>
    </x:row>
    <x:row r="1257">
      <x:c r="A1257" s="72" t="n">
        <x:v>46240.934641203705</x:v>
      </x:c>
      <x:c r="B1257" s="32" t="str">
        <x:v>土壤温度</x:v>
      </x:c>
      <x:c r="C1257" s="32" t="str">
        <x:v>W2</x:v>
      </x:c>
      <x:c r="D1257" s="32" t="str">
        <x:v>V2</x:v>
      </x:c>
      <x:c r="E1257" s="86" t="n">
        <x:f>COUNT('32_W2_温度'!C43,'32_W2_温度'!E43,'32_W2_温度'!G43,'32_W2_温度'!I43)</x:f>
        <x:v>4</x:v>
      </x:c>
      <x:c r="F1257" s="90" t="n">
        <x:f>IF(E1257=0,"",AVERAGE('32_W2_温度'!C43,'32_W2_温度'!E43,'32_W2_温度'!G43,'32_W2_温度'!I43))</x:f>
        <x:v>25.075</x:v>
      </x:c>
      <x:c r="G1257" s="90" t="n">
        <x:f>IF(E1257&lt;2,"",STDEV.S('32_W2_温度'!C43,'32_W2_温度'!E43,'32_W2_温度'!G43,'32_W2_温度'!I43))</x:f>
        <x:v>0.4349329450233297</x:v>
      </x:c>
      <x:c r="H1257" s="90" t="n">
        <x:f>IF(E1257=0,"",MIN('32_W2_温度'!C43,'32_W2_温度'!E43,'32_W2_温度'!G43,'32_W2_温度'!I43))</x:f>
        <x:v>24.7</x:v>
      </x:c>
      <x:c r="I1257" s="90" t="n">
        <x:f>IF(E1257=0,"",MAX('32_W2_温度'!C43,'32_W2_温度'!E43,'32_W2_温度'!G43,'32_W2_温度'!I43))</x:f>
        <x:v>25.5</x:v>
      </x:c>
      <x:c r="J1257" s="32" t="str">
        <x:v>℃</x:v>
      </x:c>
    </x:row>
    <x:row r="1258">
      <x:c r="A1258" s="72" t="n">
        <x:v>46240.938113425924</x:v>
      </x:c>
      <x:c r="B1258" s="32" t="str">
        <x:v>土壤温度</x:v>
      </x:c>
      <x:c r="C1258" s="32" t="str">
        <x:v>W2</x:v>
      </x:c>
      <x:c r="D1258" s="32" t="str">
        <x:v>V1</x:v>
      </x:c>
      <x:c r="E1258" s="86" t="n">
        <x:f>COUNT('32_W2_温度'!B44,'32_W2_温度'!D44,'32_W2_温度'!F44,'32_W2_温度'!H44)</x:f>
        <x:v>4</x:v>
      </x:c>
      <x:c r="F1258" s="90" t="n">
        <x:f>IF(E1258=0,"",AVERAGE('32_W2_温度'!B44,'32_W2_温度'!D44,'32_W2_温度'!F44,'32_W2_温度'!H44))</x:f>
        <x:v>25.075000000000003</x:v>
      </x:c>
      <x:c r="G1258" s="90" t="n">
        <x:f>IF(E1258&lt;2,"",STDEV.S('32_W2_温度'!B44,'32_W2_温度'!D44,'32_W2_温度'!F44,'32_W2_温度'!H44))</x:f>
        <x:v>0.4272001872658768</x:v>
      </x:c>
      <x:c r="H1258" s="90" t="n">
        <x:f>IF(E1258=0,"",MIN('32_W2_温度'!B44,'32_W2_温度'!D44,'32_W2_温度'!F44,'32_W2_温度'!H44))</x:f>
        <x:v>24.6</x:v>
      </x:c>
      <x:c r="I1258" s="90" t="n">
        <x:f>IF(E1258=0,"",MAX('32_W2_温度'!B44,'32_W2_温度'!D44,'32_W2_温度'!F44,'32_W2_温度'!H44))</x:f>
        <x:v>25.6</x:v>
      </x:c>
      <x:c r="J1258" s="32" t="str">
        <x:v>℃</x:v>
      </x:c>
    </x:row>
    <x:row r="1259">
      <x:c r="A1259" s="72" t="n">
        <x:v>46240.938113425924</x:v>
      </x:c>
      <x:c r="B1259" s="32" t="str">
        <x:v>土壤温度</x:v>
      </x:c>
      <x:c r="C1259" s="32" t="str">
        <x:v>W2</x:v>
      </x:c>
      <x:c r="D1259" s="32" t="str">
        <x:v>V2</x:v>
      </x:c>
      <x:c r="E1259" s="86" t="n">
        <x:f>COUNT('32_W2_温度'!C44,'32_W2_温度'!E44,'32_W2_温度'!G44,'32_W2_温度'!I44)</x:f>
        <x:v>4</x:v>
      </x:c>
      <x:c r="F1259" s="90" t="n">
        <x:f>IF(E1259=0,"",AVERAGE('32_W2_温度'!C44,'32_W2_温度'!E44,'32_W2_温度'!G44,'32_W2_温度'!I44))</x:f>
        <x:v>25.1</x:v>
      </x:c>
      <x:c r="G1259" s="90" t="n">
        <x:f>IF(E1259&lt;2,"",STDEV.S('32_W2_温度'!C44,'32_W2_温度'!E44,'32_W2_温度'!G44,'32_W2_温度'!I44))</x:f>
        <x:v>0.42426406871192923</x:v>
      </x:c>
      <x:c r="H1259" s="90" t="n">
        <x:f>IF(E1259=0,"",MIN('32_W2_温度'!C44,'32_W2_温度'!E44,'32_W2_温度'!G44,'32_W2_温度'!I44))</x:f>
        <x:v>24.7</x:v>
      </x:c>
      <x:c r="I1259" s="90" t="n">
        <x:f>IF(E1259=0,"",MAX('32_W2_温度'!C44,'32_W2_温度'!E44,'32_W2_温度'!G44,'32_W2_温度'!I44))</x:f>
        <x:v>25.6</x:v>
      </x:c>
      <x:c r="J1259" s="32" t="str">
        <x:v>℃</x:v>
      </x:c>
    </x:row>
    <x:row r="1260">
      <x:c r="A1260" s="72" t="n">
        <x:v>46240.94158564815</x:v>
      </x:c>
      <x:c r="B1260" s="32" t="str">
        <x:v>土壤温度</x:v>
      </x:c>
      <x:c r="C1260" s="32" t="str">
        <x:v>W2</x:v>
      </x:c>
      <x:c r="D1260" s="32" t="str">
        <x:v>V1</x:v>
      </x:c>
      <x:c r="E1260" s="86" t="n">
        <x:f>COUNT('32_W2_温度'!B45,'32_W2_温度'!D45,'32_W2_温度'!F45,'32_W2_温度'!H45)</x:f>
        <x:v>4</x:v>
      </x:c>
      <x:c r="F1260" s="90" t="n">
        <x:f>IF(E1260=0,"",AVERAGE('32_W2_温度'!B45,'32_W2_温度'!D45,'32_W2_温度'!F45,'32_W2_温度'!H45))</x:f>
        <x:v>25.075000000000003</x:v>
      </x:c>
      <x:c r="G1260" s="90" t="n">
        <x:f>IF(E1260&lt;2,"",STDEV.S('32_W2_温度'!B45,'32_W2_温度'!D45,'32_W2_温度'!F45,'32_W2_温度'!H45))</x:f>
        <x:v>0.41129875597510235</x:v>
      </x:c>
      <x:c r="H1260" s="90" t="n">
        <x:f>IF(E1260=0,"",MIN('32_W2_温度'!B45,'32_W2_温度'!D45,'32_W2_温度'!F45,'32_W2_温度'!H45))</x:f>
        <x:v>24.6</x:v>
      </x:c>
      <x:c r="I1260" s="90" t="n">
        <x:f>IF(E1260=0,"",MAX('32_W2_温度'!B45,'32_W2_温度'!D45,'32_W2_温度'!F45,'32_W2_温度'!H45))</x:f>
        <x:v>25.6</x:v>
      </x:c>
      <x:c r="J1260" s="32" t="str">
        <x:v>℃</x:v>
      </x:c>
    </x:row>
    <x:row r="1261">
      <x:c r="A1261" s="72" t="n">
        <x:v>46240.94158564815</x:v>
      </x:c>
      <x:c r="B1261" s="32" t="str">
        <x:v>土壤温度</x:v>
      </x:c>
      <x:c r="C1261" s="32" t="str">
        <x:v>W2</x:v>
      </x:c>
      <x:c r="D1261" s="32" t="str">
        <x:v>V2</x:v>
      </x:c>
      <x:c r="E1261" s="86" t="n">
        <x:f>COUNT('32_W2_温度'!C45,'32_W2_温度'!E45,'32_W2_温度'!G45,'32_W2_温度'!I45)</x:f>
        <x:v>4</x:v>
      </x:c>
      <x:c r="F1261" s="90" t="n">
        <x:f>IF(E1261=0,"",AVERAGE('32_W2_温度'!C45,'32_W2_温度'!E45,'32_W2_温度'!G45,'32_W2_温度'!I45))</x:f>
        <x:v>25.075000000000003</x:v>
      </x:c>
      <x:c r="G1261" s="90" t="n">
        <x:f>IF(E1261&lt;2,"",STDEV.S('32_W2_温度'!C45,'32_W2_温度'!E45,'32_W2_温度'!G45,'32_W2_温度'!I45))</x:f>
        <x:v>0.4272001872658768</x:v>
      </x:c>
      <x:c r="H1261" s="90" t="n">
        <x:f>IF(E1261=0,"",MIN('32_W2_温度'!C45,'32_W2_温度'!E45,'32_W2_温度'!G45,'32_W2_温度'!I45))</x:f>
        <x:v>24.6</x:v>
      </x:c>
      <x:c r="I1261" s="90" t="n">
        <x:f>IF(E1261=0,"",MAX('32_W2_温度'!C45,'32_W2_温度'!E45,'32_W2_温度'!G45,'32_W2_温度'!I45))</x:f>
        <x:v>25.6</x:v>
      </x:c>
      <x:c r="J1261" s="32" t="str">
        <x:v>℃</x:v>
      </x:c>
    </x:row>
    <x:row r="1262">
      <x:c r="A1262" s="72" t="n">
        <x:v>46240.94505787037</x:v>
      </x:c>
      <x:c r="B1262" s="32" t="str">
        <x:v>土壤温度</x:v>
      </x:c>
      <x:c r="C1262" s="32" t="str">
        <x:v>W2</x:v>
      </x:c>
      <x:c r="D1262" s="32" t="str">
        <x:v>V1</x:v>
      </x:c>
      <x:c r="E1262" s="86" t="n">
        <x:f>COUNT('32_W2_温度'!B46,'32_W2_温度'!D46,'32_W2_温度'!F46,'32_W2_温度'!H46)</x:f>
        <x:v>4</x:v>
      </x:c>
      <x:c r="F1262" s="90" t="n">
        <x:f>IF(E1262=0,"",AVERAGE('32_W2_温度'!B46,'32_W2_温度'!D46,'32_W2_温度'!F46,'32_W2_温度'!H46))</x:f>
        <x:v>25.1</x:v>
      </x:c>
      <x:c r="G1262" s="90" t="n">
        <x:f>IF(E1262&lt;2,"",STDEV.S('32_W2_温度'!B46,'32_W2_温度'!D46,'32_W2_温度'!F46,'32_W2_温度'!H46))</x:f>
        <x:v>0.4163331998932265</x:v>
      </x:c>
      <x:c r="H1262" s="90" t="n">
        <x:f>IF(E1262=0,"",MIN('32_W2_温度'!B46,'32_W2_温度'!D46,'32_W2_温度'!F46,'32_W2_温度'!H46))</x:f>
        <x:v>24.6</x:v>
      </x:c>
      <x:c r="I1262" s="90" t="n">
        <x:f>IF(E1262=0,"",MAX('32_W2_温度'!B46,'32_W2_温度'!D46,'32_W2_温度'!F46,'32_W2_温度'!H46))</x:f>
        <x:v>25.6</x:v>
      </x:c>
      <x:c r="J1262" s="32" t="str">
        <x:v>℃</x:v>
      </x:c>
    </x:row>
    <x:row r="1263">
      <x:c r="A1263" s="72" t="n">
        <x:v>46240.94505787037</x:v>
      </x:c>
      <x:c r="B1263" s="32" t="str">
        <x:v>土壤温度</x:v>
      </x:c>
      <x:c r="C1263" s="32" t="str">
        <x:v>W2</x:v>
      </x:c>
      <x:c r="D1263" s="32" t="str">
        <x:v>V2</x:v>
      </x:c>
      <x:c r="E1263" s="86" t="n">
        <x:f>COUNT('32_W2_温度'!C46,'32_W2_温度'!E46,'32_W2_温度'!G46,'32_W2_温度'!I46)</x:f>
        <x:v>4</x:v>
      </x:c>
      <x:c r="F1263" s="90" t="n">
        <x:f>IF(E1263=0,"",AVERAGE('32_W2_温度'!C46,'32_W2_温度'!E46,'32_W2_温度'!G46,'32_W2_温度'!I46))</x:f>
        <x:v>25.075000000000003</x:v>
      </x:c>
      <x:c r="G1263" s="90" t="n">
        <x:f>IF(E1263&lt;2,"",STDEV.S('32_W2_温度'!C46,'32_W2_温度'!E46,'32_W2_温度'!G46,'32_W2_温度'!I46))</x:f>
        <x:v>0.41129875597510235</x:v>
      </x:c>
      <x:c r="H1263" s="90" t="n">
        <x:f>IF(E1263=0,"",MIN('32_W2_温度'!C46,'32_W2_温度'!E46,'32_W2_温度'!G46,'32_W2_温度'!I46))</x:f>
        <x:v>24.6</x:v>
      </x:c>
      <x:c r="I1263" s="90" t="n">
        <x:f>IF(E1263=0,"",MAX('32_W2_温度'!C46,'32_W2_温度'!E46,'32_W2_温度'!G46,'32_W2_温度'!I46))</x:f>
        <x:v>25.6</x:v>
      </x:c>
      <x:c r="J1263" s="32" t="str">
        <x:v>℃</x:v>
      </x:c>
    </x:row>
    <x:row r="1264">
      <x:c r="A1264" s="72" t="n">
        <x:v>46240.948530092595</x:v>
      </x:c>
      <x:c r="B1264" s="32" t="str">
        <x:v>土壤温度</x:v>
      </x:c>
      <x:c r="C1264" s="32" t="str">
        <x:v>W2</x:v>
      </x:c>
      <x:c r="D1264" s="32" t="str">
        <x:v>V1</x:v>
      </x:c>
      <x:c r="E1264" s="86" t="n">
        <x:f>COUNT('32_W2_温度'!B47,'32_W2_温度'!D47,'32_W2_温度'!F47,'32_W2_温度'!H47)</x:f>
        <x:v>4</x:v>
      </x:c>
      <x:c r="F1264" s="90" t="n">
        <x:f>IF(E1264=0,"",AVERAGE('32_W2_温度'!B47,'32_W2_温度'!D47,'32_W2_温度'!F47,'32_W2_温度'!H47))</x:f>
        <x:v>25.075</x:v>
      </x:c>
      <x:c r="G1264" s="90" t="n">
        <x:f>IF(E1264&lt;2,"",STDEV.S('32_W2_温度'!B47,'32_W2_温度'!D47,'32_W2_温度'!F47,'32_W2_温度'!H47))</x:f>
        <x:v>0.38622100754188243</x:v>
      </x:c>
      <x:c r="H1264" s="90" t="n">
        <x:f>IF(E1264=0,"",MIN('32_W2_温度'!B47,'32_W2_温度'!D47,'32_W2_温度'!F47,'32_W2_温度'!H47))</x:f>
        <x:v>24.7</x:v>
      </x:c>
      <x:c r="I1264" s="90" t="n">
        <x:f>IF(E1264=0,"",MAX('32_W2_温度'!B47,'32_W2_温度'!D47,'32_W2_温度'!F47,'32_W2_温度'!H47))</x:f>
        <x:v>25.5</x:v>
      </x:c>
      <x:c r="J1264" s="32" t="str">
        <x:v>℃</x:v>
      </x:c>
    </x:row>
    <x:row r="1265">
      <x:c r="A1265" s="72" t="n">
        <x:v>46240.948530092595</x:v>
      </x:c>
      <x:c r="B1265" s="32" t="str">
        <x:v>土壤温度</x:v>
      </x:c>
      <x:c r="C1265" s="32" t="str">
        <x:v>W2</x:v>
      </x:c>
      <x:c r="D1265" s="32" t="str">
        <x:v>V2</x:v>
      </x:c>
      <x:c r="E1265" s="86" t="n">
        <x:f>COUNT('32_W2_温度'!C47,'32_W2_温度'!E47,'32_W2_温度'!G47,'32_W2_温度'!I47)</x:f>
        <x:v>4</x:v>
      </x:c>
      <x:c r="F1265" s="90" t="n">
        <x:f>IF(E1265=0,"",AVERAGE('32_W2_温度'!C47,'32_W2_温度'!E47,'32_W2_温度'!G47,'32_W2_温度'!I47))</x:f>
        <x:v>25.1</x:v>
      </x:c>
      <x:c r="G1265" s="90" t="n">
        <x:f>IF(E1265&lt;2,"",STDEV.S('32_W2_温度'!C47,'32_W2_温度'!E47,'32_W2_温度'!G47,'32_W2_温度'!I47))</x:f>
        <x:v>0.4163331998932265</x:v>
      </x:c>
      <x:c r="H1265" s="90" t="n">
        <x:f>IF(E1265=0,"",MIN('32_W2_温度'!C47,'32_W2_温度'!E47,'32_W2_温度'!G47,'32_W2_温度'!I47))</x:f>
        <x:v>24.6</x:v>
      </x:c>
      <x:c r="I1265" s="90" t="n">
        <x:f>IF(E1265=0,"",MAX('32_W2_温度'!C47,'32_W2_温度'!E47,'32_W2_温度'!G47,'32_W2_温度'!I47))</x:f>
        <x:v>25.6</x:v>
      </x:c>
      <x:c r="J1265" s="32" t="str">
        <x:v>℃</x:v>
      </x:c>
    </x:row>
    <x:row r="1266">
      <x:c r="A1266" s="72" t="n">
        <x:v>46240.952002314814</x:v>
      </x:c>
      <x:c r="B1266" s="32" t="str">
        <x:v>土壤温度</x:v>
      </x:c>
      <x:c r="C1266" s="32" t="str">
        <x:v>W2</x:v>
      </x:c>
      <x:c r="D1266" s="32" t="str">
        <x:v>V1</x:v>
      </x:c>
      <x:c r="E1266" s="86" t="n">
        <x:f>COUNT('32_W2_温度'!B48,'32_W2_温度'!D48,'32_W2_温度'!F48,'32_W2_温度'!H48)</x:f>
        <x:v>4</x:v>
      </x:c>
      <x:c r="F1266" s="90" t="n">
        <x:f>IF(E1266=0,"",AVERAGE('32_W2_温度'!B48,'32_W2_温度'!D48,'32_W2_温度'!F48,'32_W2_温度'!H48))</x:f>
        <x:v>25.049999999999997</x:v>
      </x:c>
      <x:c r="G1266" s="90" t="n">
        <x:f>IF(E1266&lt;2,"",STDEV.S('32_W2_温度'!B48,'32_W2_温度'!D48,'32_W2_温度'!F48,'32_W2_温度'!H48))</x:f>
        <x:v>0.4041451884327376</x:v>
      </x:c>
      <x:c r="H1266" s="90" t="n">
        <x:f>IF(E1266=0,"",MIN('32_W2_温度'!B48,'32_W2_温度'!D48,'32_W2_温度'!F48,'32_W2_温度'!H48))</x:f>
        <x:v>24.7</x:v>
      </x:c>
      <x:c r="I1266" s="90" t="n">
        <x:f>IF(E1266=0,"",MAX('32_W2_温度'!B48,'32_W2_温度'!D48,'32_W2_温度'!F48,'32_W2_温度'!H48))</x:f>
        <x:v>25.4</x:v>
      </x:c>
      <x:c r="J1266" s="32" t="str">
        <x:v>℃</x:v>
      </x:c>
    </x:row>
    <x:row r="1267">
      <x:c r="A1267" s="72" t="n">
        <x:v>46240.952002314814</x:v>
      </x:c>
      <x:c r="B1267" s="32" t="str">
        <x:v>土壤温度</x:v>
      </x:c>
      <x:c r="C1267" s="32" t="str">
        <x:v>W2</x:v>
      </x:c>
      <x:c r="D1267" s="32" t="str">
        <x:v>V2</x:v>
      </x:c>
      <x:c r="E1267" s="86" t="n">
        <x:f>COUNT('32_W2_温度'!C48,'32_W2_温度'!E48,'32_W2_温度'!G48,'32_W2_温度'!I48)</x:f>
        <x:v>4</x:v>
      </x:c>
      <x:c r="F1267" s="90" t="n">
        <x:f>IF(E1267=0,"",AVERAGE('32_W2_温度'!C48,'32_W2_温度'!E48,'32_W2_温度'!G48,'32_W2_温度'!I48))</x:f>
        <x:v>25.075</x:v>
      </x:c>
      <x:c r="G1267" s="90" t="n">
        <x:f>IF(E1267&lt;2,"",STDEV.S('32_W2_温度'!C48,'32_W2_温度'!E48,'32_W2_温度'!G48,'32_W2_温度'!I48))</x:f>
        <x:v>0.38622100754188243</x:v>
      </x:c>
      <x:c r="H1267" s="90" t="n">
        <x:f>IF(E1267=0,"",MIN('32_W2_温度'!C48,'32_W2_温度'!E48,'32_W2_温度'!G48,'32_W2_温度'!I48))</x:f>
        <x:v>24.7</x:v>
      </x:c>
      <x:c r="I1267" s="90" t="n">
        <x:f>IF(E1267=0,"",MAX('32_W2_温度'!C48,'32_W2_温度'!E48,'32_W2_温度'!G48,'32_W2_温度'!I48))</x:f>
        <x:v>25.5</x:v>
      </x:c>
      <x:c r="J1267" s="32" t="str">
        <x:v>℃</x:v>
      </x:c>
    </x:row>
    <x:row r="1268">
      <x:c r="A1268" s="72" t="n">
        <x:v>46240.95547453704</x:v>
      </x:c>
      <x:c r="B1268" s="32" t="str">
        <x:v>土壤温度</x:v>
      </x:c>
      <x:c r="C1268" s="32" t="str">
        <x:v>W2</x:v>
      </x:c>
      <x:c r="D1268" s="32" t="str">
        <x:v>V1</x:v>
      </x:c>
      <x:c r="E1268" s="86" t="n">
        <x:f>COUNT('32_W2_温度'!B49,'32_W2_温度'!D49,'32_W2_温度'!F49,'32_W2_温度'!H49)</x:f>
        <x:v>4</x:v>
      </x:c>
      <x:c r="F1268" s="90" t="n">
        <x:f>IF(E1268=0,"",AVERAGE('32_W2_温度'!B49,'32_W2_温度'!D49,'32_W2_温度'!F49,'32_W2_温度'!H49))</x:f>
        <x:v>25.075</x:v>
      </x:c>
      <x:c r="G1268" s="90" t="n">
        <x:f>IF(E1268&lt;2,"",STDEV.S('32_W2_温度'!B49,'32_W2_温度'!D49,'32_W2_温度'!F49,'32_W2_温度'!H49))</x:f>
        <x:v>0.38622100754188243</x:v>
      </x:c>
      <x:c r="H1268" s="90" t="n">
        <x:f>IF(E1268=0,"",MIN('32_W2_温度'!B49,'32_W2_温度'!D49,'32_W2_温度'!F49,'32_W2_温度'!H49))</x:f>
        <x:v>24.7</x:v>
      </x:c>
      <x:c r="I1268" s="90" t="n">
        <x:f>IF(E1268=0,"",MAX('32_W2_温度'!B49,'32_W2_温度'!D49,'32_W2_温度'!F49,'32_W2_温度'!H49))</x:f>
        <x:v>25.5</x:v>
      </x:c>
      <x:c r="J1268" s="32" t="str">
        <x:v>℃</x:v>
      </x:c>
    </x:row>
    <x:row r="1269">
      <x:c r="A1269" s="72" t="n">
        <x:v>46240.95547453704</x:v>
      </x:c>
      <x:c r="B1269" s="32" t="str">
        <x:v>土壤温度</x:v>
      </x:c>
      <x:c r="C1269" s="32" t="str">
        <x:v>W2</x:v>
      </x:c>
      <x:c r="D1269" s="32" t="str">
        <x:v>V2</x:v>
      </x:c>
      <x:c r="E1269" s="86" t="n">
        <x:f>COUNT('32_W2_温度'!C49,'32_W2_温度'!E49,'32_W2_温度'!G49,'32_W2_温度'!I49)</x:f>
        <x:v>4</x:v>
      </x:c>
      <x:c r="F1269" s="90" t="n">
        <x:f>IF(E1269=0,"",AVERAGE('32_W2_温度'!C49,'32_W2_温度'!E49,'32_W2_温度'!G49,'32_W2_温度'!I49))</x:f>
        <x:v>25.049999999999997</x:v>
      </x:c>
      <x:c r="G1269" s="90" t="n">
        <x:f>IF(E1269&lt;2,"",STDEV.S('32_W2_温度'!C49,'32_W2_温度'!E49,'32_W2_温度'!G49,'32_W2_温度'!I49))</x:f>
        <x:v>0.4041451884327376</x:v>
      </x:c>
      <x:c r="H1269" s="90" t="n">
        <x:f>IF(E1269=0,"",MIN('32_W2_温度'!C49,'32_W2_温度'!E49,'32_W2_温度'!G49,'32_W2_温度'!I49))</x:f>
        <x:v>24.7</x:v>
      </x:c>
      <x:c r="I1269" s="90" t="n">
        <x:f>IF(E1269=0,"",MAX('32_W2_温度'!C49,'32_W2_温度'!E49,'32_W2_温度'!G49,'32_W2_温度'!I49))</x:f>
        <x:v>25.4</x:v>
      </x:c>
      <x:c r="J1269" s="32" t="str">
        <x:v>℃</x:v>
      </x:c>
    </x:row>
    <x:row r="1270">
      <x:c r="A1270" s="72" t="n">
        <x:v>46240.95894675926</x:v>
      </x:c>
      <x:c r="B1270" s="32" t="str">
        <x:v>土壤温度</x:v>
      </x:c>
      <x:c r="C1270" s="32" t="str">
        <x:v>W2</x:v>
      </x:c>
      <x:c r="D1270" s="32" t="str">
        <x:v>V1</x:v>
      </x:c>
      <x:c r="E1270" s="86" t="n">
        <x:f>COUNT('32_W2_温度'!B50,'32_W2_温度'!D50,'32_W2_温度'!F50,'32_W2_温度'!H50)</x:f>
        <x:v>4</x:v>
      </x:c>
      <x:c r="F1270" s="90" t="n">
        <x:f>IF(E1270=0,"",AVERAGE('32_W2_温度'!B50,'32_W2_温度'!D50,'32_W2_温度'!F50,'32_W2_温度'!H50))</x:f>
        <x:v>25.075</x:v>
      </x:c>
      <x:c r="G1270" s="90" t="n">
        <x:f>IF(E1270&lt;2,"",STDEV.S('32_W2_温度'!B50,'32_W2_温度'!D50,'32_W2_温度'!F50,'32_W2_温度'!H50))</x:f>
        <x:v>0.4272001872658767</x:v>
      </x:c>
      <x:c r="H1270" s="90" t="n">
        <x:f>IF(E1270=0,"",MIN('32_W2_温度'!B50,'32_W2_温度'!D50,'32_W2_温度'!F50,'32_W2_温度'!H50))</x:f>
        <x:v>24.6</x:v>
      </x:c>
      <x:c r="I1270" s="90" t="n">
        <x:f>IF(E1270=0,"",MAX('32_W2_温度'!B50,'32_W2_温度'!D50,'32_W2_温度'!F50,'32_W2_温度'!H50))</x:f>
        <x:v>25.6</x:v>
      </x:c>
      <x:c r="J1270" s="32" t="str">
        <x:v>℃</x:v>
      </x:c>
    </x:row>
    <x:row r="1271">
      <x:c r="A1271" s="72" t="n">
        <x:v>46240.95894675926</x:v>
      </x:c>
      <x:c r="B1271" s="32" t="str">
        <x:v>土壤温度</x:v>
      </x:c>
      <x:c r="C1271" s="32" t="str">
        <x:v>W2</x:v>
      </x:c>
      <x:c r="D1271" s="32" t="str">
        <x:v>V2</x:v>
      </x:c>
      <x:c r="E1271" s="86" t="n">
        <x:f>COUNT('32_W2_温度'!C50,'32_W2_温度'!E50,'32_W2_温度'!G50,'32_W2_温度'!I50)</x:f>
        <x:v>4</x:v>
      </x:c>
      <x:c r="F1271" s="90" t="n">
        <x:f>IF(E1271=0,"",AVERAGE('32_W2_温度'!C50,'32_W2_温度'!E50,'32_W2_温度'!G50,'32_W2_温度'!I50))</x:f>
        <x:v>25.075</x:v>
      </x:c>
      <x:c r="G1271" s="90" t="n">
        <x:f>IF(E1271&lt;2,"",STDEV.S('32_W2_温度'!C50,'32_W2_温度'!E50,'32_W2_温度'!G50,'32_W2_温度'!I50))</x:f>
        <x:v>0.38622100754188243</x:v>
      </x:c>
      <x:c r="H1271" s="90" t="n">
        <x:f>IF(E1271=0,"",MIN('32_W2_温度'!C50,'32_W2_温度'!E50,'32_W2_温度'!G50,'32_W2_温度'!I50))</x:f>
        <x:v>24.7</x:v>
      </x:c>
      <x:c r="I1271" s="90" t="n">
        <x:f>IF(E1271=0,"",MAX('32_W2_温度'!C50,'32_W2_温度'!E50,'32_W2_温度'!G50,'32_W2_温度'!I50))</x:f>
        <x:v>25.5</x:v>
      </x:c>
      <x:c r="J1271" s="32" t="str">
        <x:v>℃</x:v>
      </x:c>
    </x:row>
    <x:row r="1272">
      <x:c r="A1272" s="72" t="n">
        <x:v>46240.96241898148</x:v>
      </x:c>
      <x:c r="B1272" s="32" t="str">
        <x:v>土壤温度</x:v>
      </x:c>
      <x:c r="C1272" s="32" t="str">
        <x:v>W2</x:v>
      </x:c>
      <x:c r="D1272" s="32" t="str">
        <x:v>V1</x:v>
      </x:c>
      <x:c r="E1272" s="86" t="n">
        <x:f>COUNT('32_W2_温度'!B51,'32_W2_温度'!D51,'32_W2_温度'!F51,'32_W2_温度'!H51)</x:f>
        <x:v>4</x:v>
      </x:c>
      <x:c r="F1272" s="90" t="n">
        <x:f>IF(E1272=0,"",AVERAGE('32_W2_温度'!B51,'32_W2_温度'!D51,'32_W2_温度'!F51,'32_W2_温度'!H51))</x:f>
        <x:v>25.075000000000003</x:v>
      </x:c>
      <x:c r="G1272" s="90" t="n">
        <x:f>IF(E1272&lt;2,"",STDEV.S('32_W2_温度'!B51,'32_W2_温度'!D51,'32_W2_温度'!F51,'32_W2_温度'!H51))</x:f>
        <x:v>0.41129875597510224</x:v>
      </x:c>
      <x:c r="H1272" s="90" t="n">
        <x:f>IF(E1272=0,"",MIN('32_W2_温度'!B51,'32_W2_温度'!D51,'32_W2_温度'!F51,'32_W2_温度'!H51))</x:f>
        <x:v>24.6</x:v>
      </x:c>
      <x:c r="I1272" s="90" t="n">
        <x:f>IF(E1272=0,"",MAX('32_W2_温度'!B51,'32_W2_温度'!D51,'32_W2_温度'!F51,'32_W2_温度'!H51))</x:f>
        <x:v>25.6</x:v>
      </x:c>
      <x:c r="J1272" s="32" t="str">
        <x:v>℃</x:v>
      </x:c>
    </x:row>
    <x:row r="1273">
      <x:c r="A1273" s="72" t="n">
        <x:v>46240.96241898148</x:v>
      </x:c>
      <x:c r="B1273" s="32" t="str">
        <x:v>土壤温度</x:v>
      </x:c>
      <x:c r="C1273" s="32" t="str">
        <x:v>W2</x:v>
      </x:c>
      <x:c r="D1273" s="32" t="str">
        <x:v>V2</x:v>
      </x:c>
      <x:c r="E1273" s="86" t="n">
        <x:f>COUNT('32_W2_温度'!C51,'32_W2_温度'!E51,'32_W2_温度'!G51,'32_W2_温度'!I51)</x:f>
        <x:v>4</x:v>
      </x:c>
      <x:c r="F1273" s="90" t="n">
        <x:f>IF(E1273=0,"",AVERAGE('32_W2_温度'!C51,'32_W2_温度'!E51,'32_W2_温度'!G51,'32_W2_温度'!I51))</x:f>
        <x:v>25.075</x:v>
      </x:c>
      <x:c r="G1273" s="90" t="n">
        <x:f>IF(E1273&lt;2,"",STDEV.S('32_W2_温度'!C51,'32_W2_温度'!E51,'32_W2_温度'!G51,'32_W2_温度'!I51))</x:f>
        <x:v>0.4272001872658767</x:v>
      </x:c>
      <x:c r="H1273" s="90" t="n">
        <x:f>IF(E1273=0,"",MIN('32_W2_温度'!C51,'32_W2_温度'!E51,'32_W2_温度'!G51,'32_W2_温度'!I51))</x:f>
        <x:v>24.6</x:v>
      </x:c>
      <x:c r="I1273" s="90" t="n">
        <x:f>IF(E1273=0,"",MAX('32_W2_温度'!C51,'32_W2_温度'!E51,'32_W2_温度'!G51,'32_W2_温度'!I51))</x:f>
        <x:v>25.6</x:v>
      </x:c>
      <x:c r="J1273" s="32" t="str">
        <x:v>℃</x:v>
      </x:c>
    </x:row>
    <x:row r="1274">
      <x:c r="A1274" s="72" t="n">
        <x:v>46240.965891203705</x:v>
      </x:c>
      <x:c r="B1274" s="32" t="str">
        <x:v>土壤温度</x:v>
      </x:c>
      <x:c r="C1274" s="32" t="str">
        <x:v>W2</x:v>
      </x:c>
      <x:c r="D1274" s="32" t="str">
        <x:v>V1</x:v>
      </x:c>
      <x:c r="E1274" s="86" t="n">
        <x:f>COUNT('32_W2_温度'!B52,'32_W2_温度'!D52,'32_W2_温度'!F52,'32_W2_温度'!H52)</x:f>
        <x:v>4</x:v>
      </x:c>
      <x:c r="F1274" s="90" t="n">
        <x:f>IF(E1274=0,"",AVERAGE('32_W2_温度'!B52,'32_W2_温度'!D52,'32_W2_温度'!F52,'32_W2_温度'!H52))</x:f>
        <x:v>25.1</x:v>
      </x:c>
      <x:c r="G1274" s="90" t="n">
        <x:f>IF(E1274&lt;2,"",STDEV.S('32_W2_温度'!B52,'32_W2_温度'!D52,'32_W2_温度'!F52,'32_W2_温度'!H52))</x:f>
        <x:v>0.4163331998932265</x:v>
      </x:c>
      <x:c r="H1274" s="90" t="n">
        <x:f>IF(E1274=0,"",MIN('32_W2_温度'!B52,'32_W2_温度'!D52,'32_W2_温度'!F52,'32_W2_温度'!H52))</x:f>
        <x:v>24.6</x:v>
      </x:c>
      <x:c r="I1274" s="90" t="n">
        <x:f>IF(E1274=0,"",MAX('32_W2_温度'!B52,'32_W2_温度'!D52,'32_W2_温度'!F52,'32_W2_温度'!H52))</x:f>
        <x:v>25.6</x:v>
      </x:c>
      <x:c r="J1274" s="32" t="str">
        <x:v>℃</x:v>
      </x:c>
    </x:row>
    <x:row r="1275">
      <x:c r="A1275" s="72" t="n">
        <x:v>46240.965891203705</x:v>
      </x:c>
      <x:c r="B1275" s="32" t="str">
        <x:v>土壤温度</x:v>
      </x:c>
      <x:c r="C1275" s="32" t="str">
        <x:v>W2</x:v>
      </x:c>
      <x:c r="D1275" s="32" t="str">
        <x:v>V2</x:v>
      </x:c>
      <x:c r="E1275" s="86" t="n">
        <x:f>COUNT('32_W2_温度'!C52,'32_W2_温度'!E52,'32_W2_温度'!G52,'32_W2_温度'!I52)</x:f>
        <x:v>4</x:v>
      </x:c>
      <x:c r="F1275" s="90" t="n">
        <x:f>IF(E1275=0,"",AVERAGE('32_W2_温度'!C52,'32_W2_温度'!E52,'32_W2_温度'!G52,'32_W2_温度'!I52))</x:f>
        <x:v>25.075000000000003</x:v>
      </x:c>
      <x:c r="G1275" s="90" t="n">
        <x:f>IF(E1275&lt;2,"",STDEV.S('32_W2_温度'!C52,'32_W2_温度'!E52,'32_W2_温度'!G52,'32_W2_温度'!I52))</x:f>
        <x:v>0.41129875597510224</x:v>
      </x:c>
      <x:c r="H1275" s="90" t="n">
        <x:f>IF(E1275=0,"",MIN('32_W2_温度'!C52,'32_W2_温度'!E52,'32_W2_温度'!G52,'32_W2_温度'!I52))</x:f>
        <x:v>24.6</x:v>
      </x:c>
      <x:c r="I1275" s="90" t="n">
        <x:f>IF(E1275=0,"",MAX('32_W2_温度'!C52,'32_W2_温度'!E52,'32_W2_温度'!G52,'32_W2_温度'!I52))</x:f>
        <x:v>25.6</x:v>
      </x:c>
      <x:c r="J1275" s="32" t="str">
        <x:v>℃</x:v>
      </x:c>
    </x:row>
    <x:row r="1276">
      <x:c r="A1276" s="72" t="n">
        <x:v>46240.969363425924</x:v>
      </x:c>
      <x:c r="B1276" s="32" t="str">
        <x:v>土壤温度</x:v>
      </x:c>
      <x:c r="C1276" s="32" t="str">
        <x:v>W2</x:v>
      </x:c>
      <x:c r="D1276" s="32" t="str">
        <x:v>V1</x:v>
      </x:c>
      <x:c r="E1276" s="86" t="n">
        <x:f>COUNT('32_W2_温度'!B53,'32_W2_温度'!D53,'32_W2_温度'!F53,'32_W2_温度'!H53)</x:f>
        <x:v>4</x:v>
      </x:c>
      <x:c r="F1276" s="90" t="n">
        <x:f>IF(E1276=0,"",AVERAGE('32_W2_温度'!B53,'32_W2_温度'!D53,'32_W2_温度'!F53,'32_W2_温度'!H53))</x:f>
        <x:v>25.1</x:v>
      </x:c>
      <x:c r="G1276" s="90" t="n">
        <x:f>IF(E1276&lt;2,"",STDEV.S('32_W2_温度'!B53,'32_W2_温度'!D53,'32_W2_温度'!F53,'32_W2_温度'!H53))</x:f>
        <x:v>0.42426406871192923</x:v>
      </x:c>
      <x:c r="H1276" s="90" t="n">
        <x:f>IF(E1276=0,"",MIN('32_W2_温度'!B53,'32_W2_温度'!D53,'32_W2_温度'!F53,'32_W2_温度'!H53))</x:f>
        <x:v>24.7</x:v>
      </x:c>
      <x:c r="I1276" s="90" t="n">
        <x:f>IF(E1276=0,"",MAX('32_W2_温度'!B53,'32_W2_温度'!D53,'32_W2_温度'!F53,'32_W2_温度'!H53))</x:f>
        <x:v>25.6</x:v>
      </x:c>
      <x:c r="J1276" s="32" t="str">
        <x:v>℃</x:v>
      </x:c>
    </x:row>
    <x:row r="1277">
      <x:c r="A1277" s="72" t="n">
        <x:v>46240.969363425924</x:v>
      </x:c>
      <x:c r="B1277" s="32" t="str">
        <x:v>土壤温度</x:v>
      </x:c>
      <x:c r="C1277" s="32" t="str">
        <x:v>W2</x:v>
      </x:c>
      <x:c r="D1277" s="32" t="str">
        <x:v>V2</x:v>
      </x:c>
      <x:c r="E1277" s="86" t="n">
        <x:f>COUNT('32_W2_温度'!C53,'32_W2_温度'!E53,'32_W2_温度'!G53,'32_W2_温度'!I53)</x:f>
        <x:v>4</x:v>
      </x:c>
      <x:c r="F1277" s="90" t="n">
        <x:f>IF(E1277=0,"",AVERAGE('32_W2_温度'!C53,'32_W2_温度'!E53,'32_W2_温度'!G53,'32_W2_温度'!I53))</x:f>
        <x:v>25.1</x:v>
      </x:c>
      <x:c r="G1277" s="90" t="n">
        <x:f>IF(E1277&lt;2,"",STDEV.S('32_W2_温度'!C53,'32_W2_温度'!E53,'32_W2_温度'!G53,'32_W2_温度'!I53))</x:f>
        <x:v>0.4163331998932265</x:v>
      </x:c>
      <x:c r="H1277" s="90" t="n">
        <x:f>IF(E1277=0,"",MIN('32_W2_温度'!C53,'32_W2_温度'!E53,'32_W2_温度'!G53,'32_W2_温度'!I53))</x:f>
        <x:v>24.6</x:v>
      </x:c>
      <x:c r="I1277" s="90" t="n">
        <x:f>IF(E1277=0,"",MAX('32_W2_温度'!C53,'32_W2_温度'!E53,'32_W2_温度'!G53,'32_W2_温度'!I53))</x:f>
        <x:v>25.6</x:v>
      </x:c>
      <x:c r="J1277" s="32" t="str">
        <x:v>℃</x:v>
      </x:c>
    </x:row>
    <x:row r="1278">
      <x:c r="A1278" s="72" t="n">
        <x:v>46240.80269675926</x:v>
      </x:c>
      <x:c r="B1278" s="32" t="str">
        <x:v>土壤EC</x:v>
      </x:c>
      <x:c r="C1278" s="32" t="str">
        <x:v>W2</x:v>
      </x:c>
      <x:c r="D1278" s="32" t="str">
        <x:v>V1</x:v>
      </x:c>
      <x:c r="E1278" s="86" t="n">
        <x:f>COUNT('33_W2_EC'!B5,'33_W2_EC'!D5,'33_W2_EC'!F5,'33_W2_EC'!H5)</x:f>
        <x:v>4</x:v>
      </x:c>
      <x:c r="F1278" s="90" t="n">
        <x:f>IF(E1278=0,"",AVERAGE('33_W2_EC'!B5,'33_W2_EC'!D5,'33_W2_EC'!F5,'33_W2_EC'!H5))</x:f>
        <x:v>948.5</x:v>
      </x:c>
      <x:c r="G1278" s="90" t="n">
        <x:f>IF(E1278&lt;2,"",STDEV.S('33_W2_EC'!B5,'33_W2_EC'!D5,'33_W2_EC'!F5,'33_W2_EC'!H5))</x:f>
        <x:v>67.56971708292603</x:v>
      </x:c>
      <x:c r="H1278" s="90" t="n">
        <x:f>IF(E1278=0,"",MIN('33_W2_EC'!B5,'33_W2_EC'!D5,'33_W2_EC'!F5,'33_W2_EC'!H5))</x:f>
        <x:v>862</x:v>
      </x:c>
      <x:c r="I1278" s="90" t="n">
        <x:f>IF(E1278=0,"",MAX('33_W2_EC'!B5,'33_W2_EC'!D5,'33_W2_EC'!F5,'33_W2_EC'!H5))</x:f>
        <x:v>1025</x:v>
      </x:c>
      <x:c r="J1278" s="32" t="str">
        <x:v>μS/cm</x:v>
      </x:c>
    </x:row>
    <x:row r="1279">
      <x:c r="A1279" s="72" t="n">
        <x:v>46240.80269675926</x:v>
      </x:c>
      <x:c r="B1279" s="32" t="str">
        <x:v>土壤EC</x:v>
      </x:c>
      <x:c r="C1279" s="32" t="str">
        <x:v>W2</x:v>
      </x:c>
      <x:c r="D1279" s="32" t="str">
        <x:v>V2</x:v>
      </x:c>
      <x:c r="E1279" s="86" t="n">
        <x:f>COUNT('33_W2_EC'!C5,'33_W2_EC'!E5,'33_W2_EC'!G5,'33_W2_EC'!I5)</x:f>
        <x:v>4</x:v>
      </x:c>
      <x:c r="F1279" s="90" t="n">
        <x:f>IF(E1279=0,"",AVERAGE('33_W2_EC'!C5,'33_W2_EC'!E5,'33_W2_EC'!G5,'33_W2_EC'!I5))</x:f>
        <x:v>960</x:v>
      </x:c>
      <x:c r="G1279" s="90" t="n">
        <x:f>IF(E1279&lt;2,"",STDEV.S('33_W2_EC'!C5,'33_W2_EC'!E5,'33_W2_EC'!G5,'33_W2_EC'!I5))</x:f>
        <x:v>66.86802923171382</x:v>
      </x:c>
      <x:c r="H1279" s="90" t="n">
        <x:f>IF(E1279=0,"",MIN('33_W2_EC'!C5,'33_W2_EC'!E5,'33_W2_EC'!G5,'33_W2_EC'!I5))</x:f>
        <x:v>880</x:v>
      </x:c>
      <x:c r="I1279" s="90" t="n">
        <x:f>IF(E1279=0,"",MAX('33_W2_EC'!C5,'33_W2_EC'!E5,'33_W2_EC'!G5,'33_W2_EC'!I5))</x:f>
        <x:v>1042</x:v>
      </x:c>
      <x:c r="J1279" s="32" t="str">
        <x:v>μS/cm</x:v>
      </x:c>
    </x:row>
    <x:row r="1280">
      <x:c r="A1280" s="72" t="n">
        <x:v>46240.80616898148</x:v>
      </x:c>
      <x:c r="B1280" s="32" t="str">
        <x:v>土壤EC</x:v>
      </x:c>
      <x:c r="C1280" s="32" t="str">
        <x:v>W2</x:v>
      </x:c>
      <x:c r="D1280" s="32" t="str">
        <x:v>V1</x:v>
      </x:c>
      <x:c r="E1280" s="86" t="n">
        <x:f>COUNT('33_W2_EC'!B6,'33_W2_EC'!D6,'33_W2_EC'!F6,'33_W2_EC'!H6)</x:f>
        <x:v>4</x:v>
      </x:c>
      <x:c r="F1280" s="90" t="n">
        <x:f>IF(E1280=0,"",AVERAGE('33_W2_EC'!B6,'33_W2_EC'!D6,'33_W2_EC'!F6,'33_W2_EC'!H6))</x:f>
        <x:v>949</x:v>
      </x:c>
      <x:c r="G1280" s="90" t="n">
        <x:f>IF(E1280&lt;2,"",STDEV.S('33_W2_EC'!B6,'33_W2_EC'!D6,'33_W2_EC'!F6,'33_W2_EC'!H6))</x:f>
        <x:v>70.25192761293695</x:v>
      </x:c>
      <x:c r="H1280" s="90" t="n">
        <x:f>IF(E1280=0,"",MIN('33_W2_EC'!B6,'33_W2_EC'!D6,'33_W2_EC'!F6,'33_W2_EC'!H6))</x:f>
        <x:v>855</x:v>
      </x:c>
      <x:c r="I1280" s="90" t="n">
        <x:f>IF(E1280=0,"",MAX('33_W2_EC'!B6,'33_W2_EC'!D6,'33_W2_EC'!F6,'33_W2_EC'!H6))</x:f>
        <x:v>1022</x:v>
      </x:c>
      <x:c r="J1280" s="32" t="str">
        <x:v>μS/cm</x:v>
      </x:c>
    </x:row>
    <x:row r="1281">
      <x:c r="A1281" s="72" t="n">
        <x:v>46240.80616898148</x:v>
      </x:c>
      <x:c r="B1281" s="32" t="str">
        <x:v>土壤EC</x:v>
      </x:c>
      <x:c r="C1281" s="32" t="str">
        <x:v>W2</x:v>
      </x:c>
      <x:c r="D1281" s="32" t="str">
        <x:v>V2</x:v>
      </x:c>
      <x:c r="E1281" s="86" t="n">
        <x:f>COUNT('33_W2_EC'!C6,'33_W2_EC'!E6,'33_W2_EC'!G6,'33_W2_EC'!I6)</x:f>
        <x:v>4</x:v>
      </x:c>
      <x:c r="F1281" s="90" t="n">
        <x:f>IF(E1281=0,"",AVERAGE('33_W2_EC'!C6,'33_W2_EC'!E6,'33_W2_EC'!G6,'33_W2_EC'!I6))</x:f>
        <x:v>960.5</x:v>
      </x:c>
      <x:c r="G1281" s="90" t="n">
        <x:f>IF(E1281&lt;2,"",STDEV.S('33_W2_EC'!C6,'33_W2_EC'!E6,'33_W2_EC'!G6,'33_W2_EC'!I6))</x:f>
        <x:v>67.56971708292603</x:v>
      </x:c>
      <x:c r="H1281" s="90" t="n">
        <x:f>IF(E1281=0,"",MIN('33_W2_EC'!C6,'33_W2_EC'!E6,'33_W2_EC'!G6,'33_W2_EC'!I6))</x:f>
        <x:v>874</x:v>
      </x:c>
      <x:c r="I1281" s="90" t="n">
        <x:f>IF(E1281=0,"",MAX('33_W2_EC'!C6,'33_W2_EC'!E6,'33_W2_EC'!G6,'33_W2_EC'!I6))</x:f>
        <x:v>1037</x:v>
      </x:c>
      <x:c r="J1281" s="32" t="str">
        <x:v>μS/cm</x:v>
      </x:c>
    </x:row>
    <x:row r="1282">
      <x:c r="A1282" s="72" t="n">
        <x:v>46240.809641203705</x:v>
      </x:c>
      <x:c r="B1282" s="32" t="str">
        <x:v>土壤EC</x:v>
      </x:c>
      <x:c r="C1282" s="32" t="str">
        <x:v>W2</x:v>
      </x:c>
      <x:c r="D1282" s="32" t="str">
        <x:v>V1</x:v>
      </x:c>
      <x:c r="E1282" s="86" t="n">
        <x:f>COUNT('33_W2_EC'!B7,'33_W2_EC'!D7,'33_W2_EC'!F7,'33_W2_EC'!H7)</x:f>
        <x:v>4</x:v>
      </x:c>
      <x:c r="F1282" s="90" t="n">
        <x:f>IF(E1282=0,"",AVERAGE('33_W2_EC'!B7,'33_W2_EC'!D7,'33_W2_EC'!F7,'33_W2_EC'!H7))</x:f>
        <x:v>949.25</x:v>
      </x:c>
      <x:c r="G1282" s="90" t="n">
        <x:f>IF(E1282&lt;2,"",STDEV.S('33_W2_EC'!B7,'33_W2_EC'!D7,'33_W2_EC'!F7,'33_W2_EC'!H7))</x:f>
        <x:v>75.17257922052872</x:v>
      </x:c>
      <x:c r="H1282" s="90" t="n">
        <x:f>IF(E1282=0,"",MIN('33_W2_EC'!B7,'33_W2_EC'!D7,'33_W2_EC'!F7,'33_W2_EC'!H7))</x:f>
        <x:v>846</x:v>
      </x:c>
      <x:c r="I1282" s="90" t="n">
        <x:f>IF(E1282=0,"",MAX('33_W2_EC'!B7,'33_W2_EC'!D7,'33_W2_EC'!F7,'33_W2_EC'!H7))</x:f>
        <x:v>1021</x:v>
      </x:c>
      <x:c r="J1282" s="32" t="str">
        <x:v>μS/cm</x:v>
      </x:c>
    </x:row>
    <x:row r="1283">
      <x:c r="A1283" s="72" t="n">
        <x:v>46240.809641203705</x:v>
      </x:c>
      <x:c r="B1283" s="32" t="str">
        <x:v>土壤EC</x:v>
      </x:c>
      <x:c r="C1283" s="32" t="str">
        <x:v>W2</x:v>
      </x:c>
      <x:c r="D1283" s="32" t="str">
        <x:v>V2</x:v>
      </x:c>
      <x:c r="E1283" s="86" t="n">
        <x:f>COUNT('33_W2_EC'!C7,'33_W2_EC'!E7,'33_W2_EC'!G7,'33_W2_EC'!I7)</x:f>
        <x:v>4</x:v>
      </x:c>
      <x:c r="F1283" s="90" t="n">
        <x:f>IF(E1283=0,"",AVERAGE('33_W2_EC'!C7,'33_W2_EC'!E7,'33_W2_EC'!G7,'33_W2_EC'!I7))</x:f>
        <x:v>961</x:v>
      </x:c>
      <x:c r="G1283" s="90" t="n">
        <x:f>IF(E1283&lt;2,"",STDEV.S('33_W2_EC'!C7,'33_W2_EC'!E7,'33_W2_EC'!G7,'33_W2_EC'!I7))</x:f>
        <x:v>70.25192761293695</x:v>
      </x:c>
      <x:c r="H1283" s="90" t="n">
        <x:f>IF(E1283=0,"",MIN('33_W2_EC'!C7,'33_W2_EC'!E7,'33_W2_EC'!G7,'33_W2_EC'!I7))</x:f>
        <x:v>867</x:v>
      </x:c>
      <x:c r="I1283" s="90" t="n">
        <x:f>IF(E1283=0,"",MAX('33_W2_EC'!C7,'33_W2_EC'!E7,'33_W2_EC'!G7,'33_W2_EC'!I7))</x:f>
        <x:v>1034</x:v>
      </x:c>
      <x:c r="J1283" s="32" t="str">
        <x:v>μS/cm</x:v>
      </x:c>
    </x:row>
    <x:row r="1284">
      <x:c r="A1284" s="72" t="n">
        <x:v>46240.813113425924</x:v>
      </x:c>
      <x:c r="B1284" s="32" t="str">
        <x:v>土壤EC</x:v>
      </x:c>
      <x:c r="C1284" s="32" t="str">
        <x:v>W2</x:v>
      </x:c>
      <x:c r="D1284" s="32" t="str">
        <x:v>V1</x:v>
      </x:c>
      <x:c r="E1284" s="86" t="n">
        <x:f>COUNT('33_W2_EC'!B8,'33_W2_EC'!D8,'33_W2_EC'!F8,'33_W2_EC'!H8)</x:f>
        <x:v>4</x:v>
      </x:c>
      <x:c r="F1284" s="90" t="n">
        <x:f>IF(E1284=0,"",AVERAGE('33_W2_EC'!B8,'33_W2_EC'!D8,'33_W2_EC'!F8,'33_W2_EC'!H8))</x:f>
        <x:v>949.5</x:v>
      </x:c>
      <x:c r="G1284" s="90" t="n">
        <x:f>IF(E1284&lt;2,"",STDEV.S('33_W2_EC'!B8,'33_W2_EC'!D8,'33_W2_EC'!F8,'33_W2_EC'!H8))</x:f>
        <x:v>80.45081313034277</x:v>
      </x:c>
      <x:c r="H1284" s="90" t="n">
        <x:f>IF(E1284=0,"",MIN('33_W2_EC'!B8,'33_W2_EC'!D8,'33_W2_EC'!F8,'33_W2_EC'!H8))</x:f>
        <x:v>838</x:v>
      </x:c>
      <x:c r="I1284" s="90" t="n">
        <x:f>IF(E1284=0,"",MAX('33_W2_EC'!B8,'33_W2_EC'!D8,'33_W2_EC'!F8,'33_W2_EC'!H8))</x:f>
        <x:v>1022</x:v>
      </x:c>
      <x:c r="J1284" s="32" t="str">
        <x:v>μS/cm</x:v>
      </x:c>
    </x:row>
    <x:row r="1285">
      <x:c r="A1285" s="72" t="n">
        <x:v>46240.813113425924</x:v>
      </x:c>
      <x:c r="B1285" s="32" t="str">
        <x:v>土壤EC</x:v>
      </x:c>
      <x:c r="C1285" s="32" t="str">
        <x:v>W2</x:v>
      </x:c>
      <x:c r="D1285" s="32" t="str">
        <x:v>V2</x:v>
      </x:c>
      <x:c r="E1285" s="86" t="n">
        <x:f>COUNT('33_W2_EC'!C8,'33_W2_EC'!E8,'33_W2_EC'!G8,'33_W2_EC'!I8)</x:f>
        <x:v>4</x:v>
      </x:c>
      <x:c r="F1285" s="90" t="n">
        <x:f>IF(E1285=0,"",AVERAGE('33_W2_EC'!C8,'33_W2_EC'!E8,'33_W2_EC'!G8,'33_W2_EC'!I8))</x:f>
        <x:v>961.25</x:v>
      </x:c>
      <x:c r="G1285" s="90" t="n">
        <x:f>IF(E1285&lt;2,"",STDEV.S('33_W2_EC'!C8,'33_W2_EC'!E8,'33_W2_EC'!G8,'33_W2_EC'!I8))</x:f>
        <x:v>75.17257922052872</x:v>
      </x:c>
      <x:c r="H1285" s="90" t="n">
        <x:f>IF(E1285=0,"",MIN('33_W2_EC'!C8,'33_W2_EC'!E8,'33_W2_EC'!G8,'33_W2_EC'!I8))</x:f>
        <x:v>858</x:v>
      </x:c>
      <x:c r="I1285" s="90" t="n">
        <x:f>IF(E1285=0,"",MAX('33_W2_EC'!C8,'33_W2_EC'!E8,'33_W2_EC'!G8,'33_W2_EC'!I8))</x:f>
        <x:v>1033</x:v>
      </x:c>
      <x:c r="J1285" s="32" t="str">
        <x:v>μS/cm</x:v>
      </x:c>
    </x:row>
    <x:row r="1286">
      <x:c r="A1286" s="72" t="n">
        <x:v>46240.81658564815</x:v>
      </x:c>
      <x:c r="B1286" s="32" t="str">
        <x:v>土壤EC</x:v>
      </x:c>
      <x:c r="C1286" s="32" t="str">
        <x:v>W2</x:v>
      </x:c>
      <x:c r="D1286" s="32" t="str">
        <x:v>V1</x:v>
      </x:c>
      <x:c r="E1286" s="86" t="n">
        <x:f>COUNT('33_W2_EC'!B9,'33_W2_EC'!D9,'33_W2_EC'!F9,'33_W2_EC'!H9)</x:f>
        <x:v>4</x:v>
      </x:c>
      <x:c r="F1286" s="90" t="n">
        <x:f>IF(E1286=0,"",AVERAGE('33_W2_EC'!B9,'33_W2_EC'!D9,'33_W2_EC'!F9,'33_W2_EC'!H9))</x:f>
        <x:v>949.5</x:v>
      </x:c>
      <x:c r="G1286" s="90" t="n">
        <x:f>IF(E1286&lt;2,"",STDEV.S('33_W2_EC'!B9,'33_W2_EC'!D9,'33_W2_EC'!F9,'33_W2_EC'!H9))</x:f>
        <x:v>87.27924533740348</x:v>
      </x:c>
      <x:c r="H1286" s="90" t="n">
        <x:f>IF(E1286=0,"",MIN('33_W2_EC'!B9,'33_W2_EC'!D9,'33_W2_EC'!F9,'33_W2_EC'!H9))</x:f>
        <x:v>829</x:v>
      </x:c>
      <x:c r="I1286" s="90" t="n">
        <x:f>IF(E1286=0,"",MAX('33_W2_EC'!B9,'33_W2_EC'!D9,'33_W2_EC'!F9,'33_W2_EC'!H9))</x:f>
        <x:v>1026</x:v>
      </x:c>
      <x:c r="J1286" s="32" t="str">
        <x:v>μS/cm</x:v>
      </x:c>
    </x:row>
    <x:row r="1287">
      <x:c r="A1287" s="72" t="n">
        <x:v>46240.81658564815</x:v>
      </x:c>
      <x:c r="B1287" s="32" t="str">
        <x:v>土壤EC</x:v>
      </x:c>
      <x:c r="C1287" s="32" t="str">
        <x:v>W2</x:v>
      </x:c>
      <x:c r="D1287" s="32" t="str">
        <x:v>V2</x:v>
      </x:c>
      <x:c r="E1287" s="86" t="n">
        <x:f>COUNT('33_W2_EC'!C9,'33_W2_EC'!E9,'33_W2_EC'!G9,'33_W2_EC'!I9)</x:f>
        <x:v>4</x:v>
      </x:c>
      <x:c r="F1287" s="90" t="n">
        <x:f>IF(E1287=0,"",AVERAGE('33_W2_EC'!C9,'33_W2_EC'!E9,'33_W2_EC'!G9,'33_W2_EC'!I9))</x:f>
        <x:v>961.5</x:v>
      </x:c>
      <x:c r="G1287" s="90" t="n">
        <x:f>IF(E1287&lt;2,"",STDEV.S('33_W2_EC'!C9,'33_W2_EC'!E9,'33_W2_EC'!G9,'33_W2_EC'!I9))</x:f>
        <x:v>80.45081313034277</x:v>
      </x:c>
      <x:c r="H1287" s="90" t="n">
        <x:f>IF(E1287=0,"",MIN('33_W2_EC'!C9,'33_W2_EC'!E9,'33_W2_EC'!G9,'33_W2_EC'!I9))</x:f>
        <x:v>850</x:v>
      </x:c>
      <x:c r="I1287" s="90" t="n">
        <x:f>IF(E1287=0,"",MAX('33_W2_EC'!C9,'33_W2_EC'!E9,'33_W2_EC'!G9,'33_W2_EC'!I9))</x:f>
        <x:v>1034</x:v>
      </x:c>
      <x:c r="J1287" s="32" t="str">
        <x:v>μS/cm</x:v>
      </x:c>
    </x:row>
    <x:row r="1288">
      <x:c r="A1288" s="72" t="n">
        <x:v>46240.82005787037</x:v>
      </x:c>
      <x:c r="B1288" s="32" t="str">
        <x:v>土壤EC</x:v>
      </x:c>
      <x:c r="C1288" s="32" t="str">
        <x:v>W2</x:v>
      </x:c>
      <x:c r="D1288" s="32" t="str">
        <x:v>V1</x:v>
      </x:c>
      <x:c r="E1288" s="86" t="n">
        <x:f>COUNT('33_W2_EC'!B10,'33_W2_EC'!D10,'33_W2_EC'!F10,'33_W2_EC'!H10)</x:f>
        <x:v>4</x:v>
      </x:c>
      <x:c r="F1288" s="90" t="n">
        <x:f>IF(E1288=0,"",AVERAGE('33_W2_EC'!B10,'33_W2_EC'!D10,'33_W2_EC'!F10,'33_W2_EC'!H10))</x:f>
        <x:v>949.75</x:v>
      </x:c>
      <x:c r="G1288" s="90" t="n">
        <x:f>IF(E1288&lt;2,"",STDEV.S('33_W2_EC'!B10,'33_W2_EC'!D10,'33_W2_EC'!F10,'33_W2_EC'!H10))</x:f>
        <x:v>94.07576733675894</x:v>
      </x:c>
      <x:c r="H1288" s="90" t="n">
        <x:f>IF(E1288=0,"",MIN('33_W2_EC'!B10,'33_W2_EC'!D10,'33_W2_EC'!F10,'33_W2_EC'!H10))</x:f>
        <x:v>821</x:v>
      </x:c>
      <x:c r="I1288" s="90" t="n">
        <x:f>IF(E1288=0,"",MAX('33_W2_EC'!B10,'33_W2_EC'!D10,'33_W2_EC'!F10,'33_W2_EC'!H10))</x:f>
        <x:v>1031</x:v>
      </x:c>
      <x:c r="J1288" s="32" t="str">
        <x:v>μS/cm</x:v>
      </x:c>
    </x:row>
    <x:row r="1289">
      <x:c r="A1289" s="72" t="n">
        <x:v>46240.82005787037</x:v>
      </x:c>
      <x:c r="B1289" s="32" t="str">
        <x:v>土壤EC</x:v>
      </x:c>
      <x:c r="C1289" s="32" t="str">
        <x:v>W2</x:v>
      </x:c>
      <x:c r="D1289" s="32" t="str">
        <x:v>V2</x:v>
      </x:c>
      <x:c r="E1289" s="86" t="n">
        <x:f>COUNT('33_W2_EC'!C10,'33_W2_EC'!E10,'33_W2_EC'!G10,'33_W2_EC'!I10)</x:f>
        <x:v>4</x:v>
      </x:c>
      <x:c r="F1289" s="90" t="n">
        <x:f>IF(E1289=0,"",AVERAGE('33_W2_EC'!C10,'33_W2_EC'!E10,'33_W2_EC'!G10,'33_W2_EC'!I10))</x:f>
        <x:v>961.5</x:v>
      </x:c>
      <x:c r="G1289" s="90" t="n">
        <x:f>IF(E1289&lt;2,"",STDEV.S('33_W2_EC'!C10,'33_W2_EC'!E10,'33_W2_EC'!G10,'33_W2_EC'!I10))</x:f>
        <x:v>87.27924533740348</x:v>
      </x:c>
      <x:c r="H1289" s="90" t="n">
        <x:f>IF(E1289=0,"",MIN('33_W2_EC'!C10,'33_W2_EC'!E10,'33_W2_EC'!G10,'33_W2_EC'!I10))</x:f>
        <x:v>841</x:v>
      </x:c>
      <x:c r="I1289" s="90" t="n">
        <x:f>IF(E1289=0,"",MAX('33_W2_EC'!C10,'33_W2_EC'!E10,'33_W2_EC'!G10,'33_W2_EC'!I10))</x:f>
        <x:v>1038</x:v>
      </x:c>
      <x:c r="J1289" s="32" t="str">
        <x:v>μS/cm</x:v>
      </x:c>
    </x:row>
    <x:row r="1290">
      <x:c r="A1290" s="72" t="n">
        <x:v>46240.823530092595</x:v>
      </x:c>
      <x:c r="B1290" s="32" t="str">
        <x:v>土壤EC</x:v>
      </x:c>
      <x:c r="C1290" s="32" t="str">
        <x:v>W2</x:v>
      </x:c>
      <x:c r="D1290" s="32" t="str">
        <x:v>V1</x:v>
      </x:c>
      <x:c r="E1290" s="86" t="n">
        <x:f>COUNT('33_W2_EC'!B11,'33_W2_EC'!D11,'33_W2_EC'!F11,'33_W2_EC'!H11)</x:f>
        <x:v>4</x:v>
      </x:c>
      <x:c r="F1290" s="90" t="n">
        <x:f>IF(E1290=0,"",AVERAGE('33_W2_EC'!B11,'33_W2_EC'!D11,'33_W2_EC'!F11,'33_W2_EC'!H11))</x:f>
        <x:v>949.75</x:v>
      </x:c>
      <x:c r="G1290" s="90" t="n">
        <x:f>IF(E1290&lt;2,"",STDEV.S('33_W2_EC'!B11,'33_W2_EC'!D11,'33_W2_EC'!F11,'33_W2_EC'!H11))</x:f>
        <x:v>100.77160645075907</x:v>
      </x:c>
      <x:c r="H1290" s="90" t="n">
        <x:f>IF(E1290=0,"",MIN('33_W2_EC'!B11,'33_W2_EC'!D11,'33_W2_EC'!F11,'33_W2_EC'!H11))</x:f>
        <x:v>814</x:v>
      </x:c>
      <x:c r="I1290" s="90" t="n">
        <x:f>IF(E1290=0,"",MAX('33_W2_EC'!B11,'33_W2_EC'!D11,'33_W2_EC'!F11,'33_W2_EC'!H11))</x:f>
        <x:v>1038</x:v>
      </x:c>
      <x:c r="J1290" s="32" t="str">
        <x:v>μS/cm</x:v>
      </x:c>
    </x:row>
    <x:row r="1291">
      <x:c r="A1291" s="72" t="n">
        <x:v>46240.823530092595</x:v>
      </x:c>
      <x:c r="B1291" s="32" t="str">
        <x:v>土壤EC</x:v>
      </x:c>
      <x:c r="C1291" s="32" t="str">
        <x:v>W2</x:v>
      </x:c>
      <x:c r="D1291" s="32" t="str">
        <x:v>V2</x:v>
      </x:c>
      <x:c r="E1291" s="86" t="n">
        <x:f>COUNT('33_W2_EC'!C11,'33_W2_EC'!E11,'33_W2_EC'!G11,'33_W2_EC'!I11)</x:f>
        <x:v>4</x:v>
      </x:c>
      <x:c r="F1291" s="90" t="n">
        <x:f>IF(E1291=0,"",AVERAGE('33_W2_EC'!C11,'33_W2_EC'!E11,'33_W2_EC'!G11,'33_W2_EC'!I11))</x:f>
        <x:v>961.75</x:v>
      </x:c>
      <x:c r="G1291" s="90" t="n">
        <x:f>IF(E1291&lt;2,"",STDEV.S('33_W2_EC'!C11,'33_W2_EC'!E11,'33_W2_EC'!G11,'33_W2_EC'!I11))</x:f>
        <x:v>94.07576733675894</x:v>
      </x:c>
      <x:c r="H1291" s="90" t="n">
        <x:f>IF(E1291=0,"",MIN('33_W2_EC'!C11,'33_W2_EC'!E11,'33_W2_EC'!G11,'33_W2_EC'!I11))</x:f>
        <x:v>833</x:v>
      </x:c>
      <x:c r="I1291" s="90" t="n">
        <x:f>IF(E1291=0,"",MAX('33_W2_EC'!C11,'33_W2_EC'!E11,'33_W2_EC'!G11,'33_W2_EC'!I11))</x:f>
        <x:v>1043</x:v>
      </x:c>
      <x:c r="J1291" s="32" t="str">
        <x:v>μS/cm</x:v>
      </x:c>
    </x:row>
    <x:row r="1292">
      <x:c r="A1292" s="72" t="n">
        <x:v>46240.827002314814</x:v>
      </x:c>
      <x:c r="B1292" s="32" t="str">
        <x:v>土壤EC</x:v>
      </x:c>
      <x:c r="C1292" s="32" t="str">
        <x:v>W2</x:v>
      </x:c>
      <x:c r="D1292" s="32" t="str">
        <x:v>V1</x:v>
      </x:c>
      <x:c r="E1292" s="86" t="n">
        <x:f>COUNT('33_W2_EC'!B12,'33_W2_EC'!D12,'33_W2_EC'!F12,'33_W2_EC'!H12)</x:f>
        <x:v>4</x:v>
      </x:c>
      <x:c r="F1292" s="90" t="n">
        <x:f>IF(E1292=0,"",AVERAGE('33_W2_EC'!B12,'33_W2_EC'!D12,'33_W2_EC'!F12,'33_W2_EC'!H12))</x:f>
        <x:v>949.75</x:v>
      </x:c>
      <x:c r="G1292" s="90" t="n">
        <x:f>IF(E1292&lt;2,"",STDEV.S('33_W2_EC'!B12,'33_W2_EC'!D12,'33_W2_EC'!F12,'33_W2_EC'!H12))</x:f>
        <x:v>106.6376262551513</x:v>
      </x:c>
      <x:c r="H1292" s="90" t="n">
        <x:f>IF(E1292=0,"",MIN('33_W2_EC'!B12,'33_W2_EC'!D12,'33_W2_EC'!F12,'33_W2_EC'!H12))</x:f>
        <x:v>809</x:v>
      </x:c>
      <x:c r="I1292" s="90" t="n">
        <x:f>IF(E1292=0,"",MAX('33_W2_EC'!B12,'33_W2_EC'!D12,'33_W2_EC'!F12,'33_W2_EC'!H12))</x:f>
        <x:v>1046</x:v>
      </x:c>
      <x:c r="J1292" s="32" t="str">
        <x:v>μS/cm</x:v>
      </x:c>
    </x:row>
    <x:row r="1293">
      <x:c r="A1293" s="72" t="n">
        <x:v>46240.827002314814</x:v>
      </x:c>
      <x:c r="B1293" s="32" t="str">
        <x:v>土壤EC</x:v>
      </x:c>
      <x:c r="C1293" s="32" t="str">
        <x:v>W2</x:v>
      </x:c>
      <x:c r="D1293" s="32" t="str">
        <x:v>V2</x:v>
      </x:c>
      <x:c r="E1293" s="86" t="n">
        <x:f>COUNT('33_W2_EC'!C12,'33_W2_EC'!E12,'33_W2_EC'!G12,'33_W2_EC'!I12)</x:f>
        <x:v>4</x:v>
      </x:c>
      <x:c r="F1293" s="90" t="n">
        <x:f>IF(E1293=0,"",AVERAGE('33_W2_EC'!C12,'33_W2_EC'!E12,'33_W2_EC'!G12,'33_W2_EC'!I12))</x:f>
        <x:v>961.75</x:v>
      </x:c>
      <x:c r="G1293" s="90" t="n">
        <x:f>IF(E1293&lt;2,"",STDEV.S('33_W2_EC'!C12,'33_W2_EC'!E12,'33_W2_EC'!G12,'33_W2_EC'!I12))</x:f>
        <x:v>100.77160645075907</x:v>
      </x:c>
      <x:c r="H1293" s="90" t="n">
        <x:f>IF(E1293=0,"",MIN('33_W2_EC'!C12,'33_W2_EC'!E12,'33_W2_EC'!G12,'33_W2_EC'!I12))</x:f>
        <x:v>826</x:v>
      </x:c>
      <x:c r="I1293" s="90" t="n">
        <x:f>IF(E1293=0,"",MAX('33_W2_EC'!C12,'33_W2_EC'!E12,'33_W2_EC'!G12,'33_W2_EC'!I12))</x:f>
        <x:v>1050</x:v>
      </x:c>
      <x:c r="J1293" s="32" t="str">
        <x:v>μS/cm</x:v>
      </x:c>
    </x:row>
    <x:row r="1294">
      <x:c r="A1294" s="72" t="n">
        <x:v>46240.83047453704</x:v>
      </x:c>
      <x:c r="B1294" s="32" t="str">
        <x:v>土壤EC</x:v>
      </x:c>
      <x:c r="C1294" s="32" t="str">
        <x:v>W2</x:v>
      </x:c>
      <x:c r="D1294" s="32" t="str">
        <x:v>V1</x:v>
      </x:c>
      <x:c r="E1294" s="86" t="n">
        <x:f>COUNT('33_W2_EC'!B13,'33_W2_EC'!D13,'33_W2_EC'!F13,'33_W2_EC'!H13)</x:f>
        <x:v>4</x:v>
      </x:c>
      <x:c r="F1294" s="90" t="n">
        <x:f>IF(E1294=0,"",AVERAGE('33_W2_EC'!B13,'33_W2_EC'!D13,'33_W2_EC'!F13,'33_W2_EC'!H13))</x:f>
        <x:v>949.5</x:v>
      </x:c>
      <x:c r="G1294" s="90" t="n">
        <x:f>IF(E1294&lt;2,"",STDEV.S('33_W2_EC'!B13,'33_W2_EC'!D13,'33_W2_EC'!F13,'33_W2_EC'!H13))</x:f>
        <x:v>111.8704608017684</x:v>
      </x:c>
      <x:c r="H1294" s="90" t="n">
        <x:f>IF(E1294=0,"",MIN('33_W2_EC'!B13,'33_W2_EC'!D13,'33_W2_EC'!F13,'33_W2_EC'!H13))</x:f>
        <x:v>806</x:v>
      </x:c>
      <x:c r="I1294" s="90" t="n">
        <x:f>IF(E1294=0,"",MAX('33_W2_EC'!B13,'33_W2_EC'!D13,'33_W2_EC'!F13,'33_W2_EC'!H13))</x:f>
        <x:v>1055</x:v>
      </x:c>
      <x:c r="J1294" s="32" t="str">
        <x:v>μS/cm</x:v>
      </x:c>
    </x:row>
    <x:row r="1295">
      <x:c r="A1295" s="72" t="n">
        <x:v>46240.83047453704</x:v>
      </x:c>
      <x:c r="B1295" s="32" t="str">
        <x:v>土壤EC</x:v>
      </x:c>
      <x:c r="C1295" s="32" t="str">
        <x:v>W2</x:v>
      </x:c>
      <x:c r="D1295" s="32" t="str">
        <x:v>V2</x:v>
      </x:c>
      <x:c r="E1295" s="86" t="n">
        <x:f>COUNT('33_W2_EC'!C13,'33_W2_EC'!E13,'33_W2_EC'!G13,'33_W2_EC'!I13)</x:f>
        <x:v>4</x:v>
      </x:c>
      <x:c r="F1295" s="90" t="n">
        <x:f>IF(E1295=0,"",AVERAGE('33_W2_EC'!C13,'33_W2_EC'!E13,'33_W2_EC'!G13,'33_W2_EC'!I13))</x:f>
        <x:v>961.75</x:v>
      </x:c>
      <x:c r="G1295" s="90" t="n">
        <x:f>IF(E1295&lt;2,"",STDEV.S('33_W2_EC'!C13,'33_W2_EC'!E13,'33_W2_EC'!G13,'33_W2_EC'!I13))</x:f>
        <x:v>106.6376262551513</x:v>
      </x:c>
      <x:c r="H1295" s="90" t="n">
        <x:f>IF(E1295=0,"",MIN('33_W2_EC'!C13,'33_W2_EC'!E13,'33_W2_EC'!G13,'33_W2_EC'!I13))</x:f>
        <x:v>821</x:v>
      </x:c>
      <x:c r="I1295" s="90" t="n">
        <x:f>IF(E1295=0,"",MAX('33_W2_EC'!C13,'33_W2_EC'!E13,'33_W2_EC'!G13,'33_W2_EC'!I13))</x:f>
        <x:v>1058</x:v>
      </x:c>
      <x:c r="J1295" s="32" t="str">
        <x:v>μS/cm</x:v>
      </x:c>
    </x:row>
    <x:row r="1296">
      <x:c r="A1296" s="72" t="n">
        <x:v>46240.83394675926</x:v>
      </x:c>
      <x:c r="B1296" s="32" t="str">
        <x:v>土壤EC</x:v>
      </x:c>
      <x:c r="C1296" s="32" t="str">
        <x:v>W2</x:v>
      </x:c>
      <x:c r="D1296" s="32" t="str">
        <x:v>V1</x:v>
      </x:c>
      <x:c r="E1296" s="86" t="n">
        <x:f>COUNT('33_W2_EC'!B14,'33_W2_EC'!D14,'33_W2_EC'!F14,'33_W2_EC'!H14)</x:f>
        <x:v>4</x:v>
      </x:c>
      <x:c r="F1296" s="90" t="n">
        <x:f>IF(E1296=0,"",AVERAGE('33_W2_EC'!B14,'33_W2_EC'!D14,'33_W2_EC'!F14,'33_W2_EC'!H14))</x:f>
        <x:v>949.25</x:v>
      </x:c>
      <x:c r="G1296" s="90" t="n">
        <x:f>IF(E1296&lt;2,"",STDEV.S('33_W2_EC'!B14,'33_W2_EC'!D14,'33_W2_EC'!F14,'33_W2_EC'!H14))</x:f>
        <x:v>115.69031938757884</x:v>
      </x:c>
      <x:c r="H1296" s="90" t="n">
        <x:f>IF(E1296=0,"",MIN('33_W2_EC'!B14,'33_W2_EC'!D14,'33_W2_EC'!F14,'33_W2_EC'!H14))</x:f>
        <x:v>805</x:v>
      </x:c>
      <x:c r="I1296" s="90" t="n">
        <x:f>IF(E1296=0,"",MAX('33_W2_EC'!B14,'33_W2_EC'!D14,'33_W2_EC'!F14,'33_W2_EC'!H14))</x:f>
        <x:v>1063</x:v>
      </x:c>
      <x:c r="J1296" s="32" t="str">
        <x:v>μS/cm</x:v>
      </x:c>
    </x:row>
    <x:row r="1297">
      <x:c r="A1297" s="72" t="n">
        <x:v>46240.83394675926</x:v>
      </x:c>
      <x:c r="B1297" s="32" t="str">
        <x:v>土壤EC</x:v>
      </x:c>
      <x:c r="C1297" s="32" t="str">
        <x:v>W2</x:v>
      </x:c>
      <x:c r="D1297" s="32" t="str">
        <x:v>V2</x:v>
      </x:c>
      <x:c r="E1297" s="86" t="n">
        <x:f>COUNT('33_W2_EC'!C14,'33_W2_EC'!E14,'33_W2_EC'!G14,'33_W2_EC'!I14)</x:f>
        <x:v>4</x:v>
      </x:c>
      <x:c r="F1297" s="90" t="n">
        <x:f>IF(E1297=0,"",AVERAGE('33_W2_EC'!C14,'33_W2_EC'!E14,'33_W2_EC'!G14,'33_W2_EC'!I14))</x:f>
        <x:v>961.5</x:v>
      </x:c>
      <x:c r="G1297" s="90" t="n">
        <x:f>IF(E1297&lt;2,"",STDEV.S('33_W2_EC'!C14,'33_W2_EC'!E14,'33_W2_EC'!G14,'33_W2_EC'!I14))</x:f>
        <x:v>111.8704608017684</x:v>
      </x:c>
      <x:c r="H1297" s="90" t="n">
        <x:f>IF(E1297=0,"",MIN('33_W2_EC'!C14,'33_W2_EC'!E14,'33_W2_EC'!G14,'33_W2_EC'!I14))</x:f>
        <x:v>818</x:v>
      </x:c>
      <x:c r="I1297" s="90" t="n">
        <x:f>IF(E1297=0,"",MAX('33_W2_EC'!C14,'33_W2_EC'!E14,'33_W2_EC'!G14,'33_W2_EC'!I14))</x:f>
        <x:v>1067</x:v>
      </x:c>
      <x:c r="J1297" s="32" t="str">
        <x:v>μS/cm</x:v>
      </x:c>
    </x:row>
    <x:row r="1298">
      <x:c r="A1298" s="72" t="n">
        <x:v>46240.83741898148</x:v>
      </x:c>
      <x:c r="B1298" s="32" t="str">
        <x:v>土壤EC</x:v>
      </x:c>
      <x:c r="C1298" s="32" t="str">
        <x:v>W2</x:v>
      </x:c>
      <x:c r="D1298" s="32" t="str">
        <x:v>V1</x:v>
      </x:c>
      <x:c r="E1298" s="86" t="n">
        <x:f>COUNT('33_W2_EC'!B15,'33_W2_EC'!D15,'33_W2_EC'!F15,'33_W2_EC'!H15)</x:f>
        <x:v>4</x:v>
      </x:c>
      <x:c r="F1298" s="90" t="n">
        <x:f>IF(E1298=0,"",AVERAGE('33_W2_EC'!B15,'33_W2_EC'!D15,'33_W2_EC'!F15,'33_W2_EC'!H15))</x:f>
        <x:v>948.5</x:v>
      </x:c>
      <x:c r="G1298" s="90" t="n">
        <x:f>IF(E1298&lt;2,"",STDEV.S('33_W2_EC'!B15,'33_W2_EC'!D15,'33_W2_EC'!F15,'33_W2_EC'!H15))</x:f>
        <x:v>118.49753865235625</x:v>
      </x:c>
      <x:c r="H1298" s="90" t="n">
        <x:f>IF(E1298=0,"",MIN('33_W2_EC'!B15,'33_W2_EC'!D15,'33_W2_EC'!F15,'33_W2_EC'!H15))</x:f>
        <x:v>806</x:v>
      </x:c>
      <x:c r="I1298" s="90" t="n">
        <x:f>IF(E1298=0,"",MAX('33_W2_EC'!B15,'33_W2_EC'!D15,'33_W2_EC'!F15,'33_W2_EC'!H15))</x:f>
        <x:v>1071</x:v>
      </x:c>
      <x:c r="J1298" s="32" t="str">
        <x:v>μS/cm</x:v>
      </x:c>
    </x:row>
    <x:row r="1299">
      <x:c r="A1299" s="72" t="n">
        <x:v>46240.83741898148</x:v>
      </x:c>
      <x:c r="B1299" s="32" t="str">
        <x:v>土壤EC</x:v>
      </x:c>
      <x:c r="C1299" s="32" t="str">
        <x:v>W2</x:v>
      </x:c>
      <x:c r="D1299" s="32" t="str">
        <x:v>V2</x:v>
      </x:c>
      <x:c r="E1299" s="86" t="n">
        <x:f>COUNT('33_W2_EC'!C15,'33_W2_EC'!E15,'33_W2_EC'!G15,'33_W2_EC'!I15)</x:f>
        <x:v>4</x:v>
      </x:c>
      <x:c r="F1299" s="90" t="n">
        <x:f>IF(E1299=0,"",AVERAGE('33_W2_EC'!C15,'33_W2_EC'!E15,'33_W2_EC'!G15,'33_W2_EC'!I15))</x:f>
        <x:v>961.25</x:v>
      </x:c>
      <x:c r="G1299" s="90" t="n">
        <x:f>IF(E1299&lt;2,"",STDEV.S('33_W2_EC'!C15,'33_W2_EC'!E15,'33_W2_EC'!G15,'33_W2_EC'!I15))</x:f>
        <x:v>115.69031938757884</x:v>
      </x:c>
      <x:c r="H1299" s="90" t="n">
        <x:f>IF(E1299=0,"",MIN('33_W2_EC'!C15,'33_W2_EC'!E15,'33_W2_EC'!G15,'33_W2_EC'!I15))</x:f>
        <x:v>817</x:v>
      </x:c>
      <x:c r="I1299" s="90" t="n">
        <x:f>IF(E1299=0,"",MAX('33_W2_EC'!C15,'33_W2_EC'!E15,'33_W2_EC'!G15,'33_W2_EC'!I15))</x:f>
        <x:v>1075</x:v>
      </x:c>
      <x:c r="J1299" s="32" t="str">
        <x:v>μS/cm</x:v>
      </x:c>
    </x:row>
    <x:row r="1300">
      <x:c r="A1300" s="72" t="n">
        <x:v>46240.840891203705</x:v>
      </x:c>
      <x:c r="B1300" s="32" t="str">
        <x:v>土壤EC</x:v>
      </x:c>
      <x:c r="C1300" s="32" t="str">
        <x:v>W2</x:v>
      </x:c>
      <x:c r="D1300" s="32" t="str">
        <x:v>V1</x:v>
      </x:c>
      <x:c r="E1300" s="86" t="n">
        <x:f>COUNT('33_W2_EC'!B16,'33_W2_EC'!D16,'33_W2_EC'!F16,'33_W2_EC'!H16)</x:f>
        <x:v>4</x:v>
      </x:c>
      <x:c r="F1300" s="90" t="n">
        <x:f>IF(E1300=0,"",AVERAGE('33_W2_EC'!B16,'33_W2_EC'!D16,'33_W2_EC'!F16,'33_W2_EC'!H16))</x:f>
        <x:v>948.25</x:v>
      </x:c>
      <x:c r="G1300" s="90" t="n">
        <x:f>IF(E1300&lt;2,"",STDEV.S('33_W2_EC'!B16,'33_W2_EC'!D16,'33_W2_EC'!F16,'33_W2_EC'!H16))</x:f>
        <x:v>120.55807729057393</x:v>
      </x:c>
      <x:c r="H1300" s="90" t="n">
        <x:f>IF(E1300=0,"",MIN('33_W2_EC'!B16,'33_W2_EC'!D16,'33_W2_EC'!F16,'33_W2_EC'!H16))</x:f>
        <x:v>809</x:v>
      </x:c>
      <x:c r="I1300" s="90" t="n">
        <x:f>IF(E1300=0,"",MAX('33_W2_EC'!B16,'33_W2_EC'!D16,'33_W2_EC'!F16,'33_W2_EC'!H16))</x:f>
        <x:v>1079</x:v>
      </x:c>
      <x:c r="J1300" s="32" t="str">
        <x:v>μS/cm</x:v>
      </x:c>
    </x:row>
    <x:row r="1301">
      <x:c r="A1301" s="72" t="n">
        <x:v>46240.840891203705</x:v>
      </x:c>
      <x:c r="B1301" s="32" t="str">
        <x:v>土壤EC</x:v>
      </x:c>
      <x:c r="C1301" s="32" t="str">
        <x:v>W2</x:v>
      </x:c>
      <x:c r="D1301" s="32" t="str">
        <x:v>V2</x:v>
      </x:c>
      <x:c r="E1301" s="86" t="n">
        <x:f>COUNT('33_W2_EC'!C16,'33_W2_EC'!E16,'33_W2_EC'!G16,'33_W2_EC'!I16)</x:f>
        <x:v>4</x:v>
      </x:c>
      <x:c r="F1301" s="90" t="n">
        <x:f>IF(E1301=0,"",AVERAGE('33_W2_EC'!C16,'33_W2_EC'!E16,'33_W2_EC'!G16,'33_W2_EC'!I16))</x:f>
        <x:v>960.5</x:v>
      </x:c>
      <x:c r="G1301" s="90" t="n">
        <x:f>IF(E1301&lt;2,"",STDEV.S('33_W2_EC'!C16,'33_W2_EC'!E16,'33_W2_EC'!G16,'33_W2_EC'!I16))</x:f>
        <x:v>118.49753865235625</x:v>
      </x:c>
      <x:c r="H1301" s="90" t="n">
        <x:f>IF(E1301=0,"",MIN('33_W2_EC'!C16,'33_W2_EC'!E16,'33_W2_EC'!G16,'33_W2_EC'!I16))</x:f>
        <x:v>818</x:v>
      </x:c>
      <x:c r="I1301" s="90" t="n">
        <x:f>IF(E1301=0,"",MAX('33_W2_EC'!C16,'33_W2_EC'!E16,'33_W2_EC'!G16,'33_W2_EC'!I16))</x:f>
        <x:v>1083</x:v>
      </x:c>
      <x:c r="J1301" s="32" t="str">
        <x:v>μS/cm</x:v>
      </x:c>
    </x:row>
    <x:row r="1302">
      <x:c r="A1302" s="72" t="n">
        <x:v>46240.844363425924</x:v>
      </x:c>
      <x:c r="B1302" s="32" t="str">
        <x:v>土壤EC</x:v>
      </x:c>
      <x:c r="C1302" s="32" t="str">
        <x:v>W2</x:v>
      </x:c>
      <x:c r="D1302" s="32" t="str">
        <x:v>V1</x:v>
      </x:c>
      <x:c r="E1302" s="86" t="n">
        <x:f>COUNT('33_W2_EC'!B17,'33_W2_EC'!D17,'33_W2_EC'!F17,'33_W2_EC'!H17)</x:f>
        <x:v>4</x:v>
      </x:c>
      <x:c r="F1302" s="90" t="n">
        <x:f>IF(E1302=0,"",AVERAGE('33_W2_EC'!B17,'33_W2_EC'!D17,'33_W2_EC'!F17,'33_W2_EC'!H17))</x:f>
        <x:v>947.75</x:v>
      </x:c>
      <x:c r="G1302" s="90" t="n">
        <x:f>IF(E1302&lt;2,"",STDEV.S('33_W2_EC'!B17,'33_W2_EC'!D17,'33_W2_EC'!F17,'33_W2_EC'!H17))</x:f>
        <x:v>121.01342900686684</x:v>
      </x:c>
      <x:c r="H1302" s="90" t="n">
        <x:f>IF(E1302=0,"",MIN('33_W2_EC'!B17,'33_W2_EC'!D17,'33_W2_EC'!F17,'33_W2_EC'!H17))</x:f>
        <x:v>814</x:v>
      </x:c>
      <x:c r="I1302" s="90" t="n">
        <x:f>IF(E1302=0,"",MAX('33_W2_EC'!B17,'33_W2_EC'!D17,'33_W2_EC'!F17,'33_W2_EC'!H17))</x:f>
        <x:v>1085</x:v>
      </x:c>
      <x:c r="J1302" s="32" t="str">
        <x:v>μS/cm</x:v>
      </x:c>
    </x:row>
    <x:row r="1303">
      <x:c r="A1303" s="72" t="n">
        <x:v>46240.844363425924</x:v>
      </x:c>
      <x:c r="B1303" s="32" t="str">
        <x:v>土壤EC</x:v>
      </x:c>
      <x:c r="C1303" s="32" t="str">
        <x:v>W2</x:v>
      </x:c>
      <x:c r="D1303" s="32" t="str">
        <x:v>V2</x:v>
      </x:c>
      <x:c r="E1303" s="86" t="n">
        <x:f>COUNT('33_W2_EC'!C17,'33_W2_EC'!E17,'33_W2_EC'!G17,'33_W2_EC'!I17)</x:f>
        <x:v>4</x:v>
      </x:c>
      <x:c r="F1303" s="90" t="n">
        <x:f>IF(E1303=0,"",AVERAGE('33_W2_EC'!C17,'33_W2_EC'!E17,'33_W2_EC'!G17,'33_W2_EC'!I17))</x:f>
        <x:v>960.25</x:v>
      </x:c>
      <x:c r="G1303" s="90" t="n">
        <x:f>IF(E1303&lt;2,"",STDEV.S('33_W2_EC'!C17,'33_W2_EC'!E17,'33_W2_EC'!G17,'33_W2_EC'!I17))</x:f>
        <x:v>120.55807729057393</x:v>
      </x:c>
      <x:c r="H1303" s="90" t="n">
        <x:f>IF(E1303=0,"",MIN('33_W2_EC'!C17,'33_W2_EC'!E17,'33_W2_EC'!G17,'33_W2_EC'!I17))</x:f>
        <x:v>821</x:v>
      </x:c>
      <x:c r="I1303" s="90" t="n">
        <x:f>IF(E1303=0,"",MAX('33_W2_EC'!C17,'33_W2_EC'!E17,'33_W2_EC'!G17,'33_W2_EC'!I17))</x:f>
        <x:v>1091</x:v>
      </x:c>
      <x:c r="J1303" s="32" t="str">
        <x:v>μS/cm</x:v>
      </x:c>
    </x:row>
    <x:row r="1304">
      <x:c r="A1304" s="72" t="n">
        <x:v>46240.84783564815</x:v>
      </x:c>
      <x:c r="B1304" s="32" t="str">
        <x:v>土壤EC</x:v>
      </x:c>
      <x:c r="C1304" s="32" t="str">
        <x:v>W2</x:v>
      </x:c>
      <x:c r="D1304" s="32" t="str">
        <x:v>V1</x:v>
      </x:c>
      <x:c r="E1304" s="86" t="n">
        <x:f>COUNT('33_W2_EC'!B18,'33_W2_EC'!D18,'33_W2_EC'!F18,'33_W2_EC'!H18)</x:f>
        <x:v>4</x:v>
      </x:c>
      <x:c r="F1304" s="90" t="n">
        <x:f>IF(E1304=0,"",AVERAGE('33_W2_EC'!B18,'33_W2_EC'!D18,'33_W2_EC'!F18,'33_W2_EC'!H18))</x:f>
        <x:v>947.5</x:v>
      </x:c>
      <x:c r="G1304" s="90" t="n">
        <x:f>IF(E1304&lt;2,"",STDEV.S('33_W2_EC'!B18,'33_W2_EC'!D18,'33_W2_EC'!F18,'33_W2_EC'!H18))</x:f>
        <x:v>119.85964013517366</x:v>
      </x:c>
      <x:c r="H1304" s="90" t="n">
        <x:f>IF(E1304=0,"",MIN('33_W2_EC'!B18,'33_W2_EC'!D18,'33_W2_EC'!F18,'33_W2_EC'!H18))</x:f>
        <x:v>821</x:v>
      </x:c>
      <x:c r="I1304" s="90" t="n">
        <x:f>IF(E1304=0,"",MAX('33_W2_EC'!B18,'33_W2_EC'!D18,'33_W2_EC'!F18,'33_W2_EC'!H18))</x:f>
        <x:v>1089</x:v>
      </x:c>
      <x:c r="J1304" s="32" t="str">
        <x:v>μS/cm</x:v>
      </x:c>
    </x:row>
    <x:row r="1305">
      <x:c r="A1305" s="72" t="n">
        <x:v>46240.84783564815</x:v>
      </x:c>
      <x:c r="B1305" s="32" t="str">
        <x:v>土壤EC</x:v>
      </x:c>
      <x:c r="C1305" s="32" t="str">
        <x:v>W2</x:v>
      </x:c>
      <x:c r="D1305" s="32" t="str">
        <x:v>V2</x:v>
      </x:c>
      <x:c r="E1305" s="86" t="n">
        <x:f>COUNT('33_W2_EC'!C18,'33_W2_EC'!E18,'33_W2_EC'!G18,'33_W2_EC'!I18)</x:f>
        <x:v>4</x:v>
      </x:c>
      <x:c r="F1305" s="90" t="n">
        <x:f>IF(E1305=0,"",AVERAGE('33_W2_EC'!C18,'33_W2_EC'!E18,'33_W2_EC'!G18,'33_W2_EC'!I18))</x:f>
        <x:v>959.75</x:v>
      </x:c>
      <x:c r="G1305" s="90" t="n">
        <x:f>IF(E1305&lt;2,"",STDEV.S('33_W2_EC'!C18,'33_W2_EC'!E18,'33_W2_EC'!G18,'33_W2_EC'!I18))</x:f>
        <x:v>121.01342900686684</x:v>
      </x:c>
      <x:c r="H1305" s="90" t="n">
        <x:f>IF(E1305=0,"",MIN('33_W2_EC'!C18,'33_W2_EC'!E18,'33_W2_EC'!G18,'33_W2_EC'!I18))</x:f>
        <x:v>826</x:v>
      </x:c>
      <x:c r="I1305" s="90" t="n">
        <x:f>IF(E1305=0,"",MAX('33_W2_EC'!C18,'33_W2_EC'!E18,'33_W2_EC'!G18,'33_W2_EC'!I18))</x:f>
        <x:v>1097</x:v>
      </x:c>
      <x:c r="J1305" s="32" t="str">
        <x:v>μS/cm</x:v>
      </x:c>
    </x:row>
    <x:row r="1306">
      <x:c r="A1306" s="72" t="n">
        <x:v>46240.85130787037</x:v>
      </x:c>
      <x:c r="B1306" s="32" t="str">
        <x:v>土壤EC</x:v>
      </x:c>
      <x:c r="C1306" s="32" t="str">
        <x:v>W2</x:v>
      </x:c>
      <x:c r="D1306" s="32" t="str">
        <x:v>V1</x:v>
      </x:c>
      <x:c r="E1306" s="86" t="n">
        <x:f>COUNT('33_W2_EC'!B19,'33_W2_EC'!D19,'33_W2_EC'!F19,'33_W2_EC'!H19)</x:f>
        <x:v>4</x:v>
      </x:c>
      <x:c r="F1306" s="90" t="n">
        <x:f>IF(E1306=0,"",AVERAGE('33_W2_EC'!B19,'33_W2_EC'!D19,'33_W2_EC'!F19,'33_W2_EC'!H19))</x:f>
        <x:v>947</x:v>
      </x:c>
      <x:c r="G1306" s="90" t="n">
        <x:f>IF(E1306&lt;2,"",STDEV.S('33_W2_EC'!B19,'33_W2_EC'!D19,'33_W2_EC'!F19,'33_W2_EC'!H19))</x:f>
        <x:v>117.2888173129334</x:v>
      </x:c>
      <x:c r="H1306" s="90" t="n">
        <x:f>IF(E1306=0,"",MIN('33_W2_EC'!B19,'33_W2_EC'!D19,'33_W2_EC'!F19,'33_W2_EC'!H19))</x:f>
        <x:v>829</x:v>
      </x:c>
      <x:c r="I1306" s="90" t="n">
        <x:f>IF(E1306=0,"",MAX('33_W2_EC'!B19,'33_W2_EC'!D19,'33_W2_EC'!F19,'33_W2_EC'!H19))</x:f>
        <x:v>1091</x:v>
      </x:c>
      <x:c r="J1306" s="32" t="str">
        <x:v>μS/cm</x:v>
      </x:c>
    </x:row>
    <x:row r="1307">
      <x:c r="A1307" s="72" t="n">
        <x:v>46240.85130787037</x:v>
      </x:c>
      <x:c r="B1307" s="32" t="str">
        <x:v>土壤EC</x:v>
      </x:c>
      <x:c r="C1307" s="32" t="str">
        <x:v>W2</x:v>
      </x:c>
      <x:c r="D1307" s="32" t="str">
        <x:v>V2</x:v>
      </x:c>
      <x:c r="E1307" s="86" t="n">
        <x:f>COUNT('33_W2_EC'!C19,'33_W2_EC'!E19,'33_W2_EC'!G19,'33_W2_EC'!I19)</x:f>
        <x:v>4</x:v>
      </x:c>
      <x:c r="F1307" s="90" t="n">
        <x:f>IF(E1307=0,"",AVERAGE('33_W2_EC'!C19,'33_W2_EC'!E19,'33_W2_EC'!G19,'33_W2_EC'!I19))</x:f>
        <x:v>959.5</x:v>
      </x:c>
      <x:c r="G1307" s="90" t="n">
        <x:f>IF(E1307&lt;2,"",STDEV.S('33_W2_EC'!C19,'33_W2_EC'!E19,'33_W2_EC'!G19,'33_W2_EC'!I19))</x:f>
        <x:v>119.85964013517366</x:v>
      </x:c>
      <x:c r="H1307" s="90" t="n">
        <x:f>IF(E1307=0,"",MIN('33_W2_EC'!C19,'33_W2_EC'!E19,'33_W2_EC'!G19,'33_W2_EC'!I19))</x:f>
        <x:v>833</x:v>
      </x:c>
      <x:c r="I1307" s="90" t="n">
        <x:f>IF(E1307=0,"",MAX('33_W2_EC'!C19,'33_W2_EC'!E19,'33_W2_EC'!G19,'33_W2_EC'!I19))</x:f>
        <x:v>1101</x:v>
      </x:c>
      <x:c r="J1307" s="32" t="str">
        <x:v>μS/cm</x:v>
      </x:c>
    </x:row>
    <x:row r="1308">
      <x:c r="A1308" s="72" t="n">
        <x:v>46240.854780092595</x:v>
      </x:c>
      <x:c r="B1308" s="32" t="str">
        <x:v>土壤EC</x:v>
      </x:c>
      <x:c r="C1308" s="32" t="str">
        <x:v>W2</x:v>
      </x:c>
      <x:c r="D1308" s="32" t="str">
        <x:v>V1</x:v>
      </x:c>
      <x:c r="E1308" s="86" t="n">
        <x:f>COUNT('33_W2_EC'!B20,'33_W2_EC'!D20,'33_W2_EC'!F20,'33_W2_EC'!H20)</x:f>
        <x:v>4</x:v>
      </x:c>
      <x:c r="F1308" s="90" t="n">
        <x:f>IF(E1308=0,"",AVERAGE('33_W2_EC'!B20,'33_W2_EC'!D20,'33_W2_EC'!F20,'33_W2_EC'!H20))</x:f>
        <x:v>946.75</x:v>
      </x:c>
      <x:c r="G1308" s="90" t="n">
        <x:f>IF(E1308&lt;2,"",STDEV.S('33_W2_EC'!B20,'33_W2_EC'!D20,'33_W2_EC'!F20,'33_W2_EC'!H20))</x:f>
        <x:v>113.96015385505</x:v>
      </x:c>
      <x:c r="H1308" s="90" t="n">
        <x:f>IF(E1308=0,"",MIN('33_W2_EC'!B20,'33_W2_EC'!D20,'33_W2_EC'!F20,'33_W2_EC'!H20))</x:f>
        <x:v>837</x:v>
      </x:c>
      <x:c r="I1308" s="90" t="n">
        <x:f>IF(E1308=0,"",MAX('33_W2_EC'!B20,'33_W2_EC'!D20,'33_W2_EC'!F20,'33_W2_EC'!H20))</x:f>
        <x:v>1091</x:v>
      </x:c>
      <x:c r="J1308" s="32" t="str">
        <x:v>μS/cm</x:v>
      </x:c>
    </x:row>
    <x:row r="1309">
      <x:c r="A1309" s="72" t="n">
        <x:v>46240.854780092595</x:v>
      </x:c>
      <x:c r="B1309" s="32" t="str">
        <x:v>土壤EC</x:v>
      </x:c>
      <x:c r="C1309" s="32" t="str">
        <x:v>W2</x:v>
      </x:c>
      <x:c r="D1309" s="32" t="str">
        <x:v>V2</x:v>
      </x:c>
      <x:c r="E1309" s="86" t="n">
        <x:f>COUNT('33_W2_EC'!C20,'33_W2_EC'!E20,'33_W2_EC'!G20,'33_W2_EC'!I20)</x:f>
        <x:v>4</x:v>
      </x:c>
      <x:c r="F1309" s="90" t="n">
        <x:f>IF(E1309=0,"",AVERAGE('33_W2_EC'!C20,'33_W2_EC'!E20,'33_W2_EC'!G20,'33_W2_EC'!I20))</x:f>
        <x:v>959</x:v>
      </x:c>
      <x:c r="G1309" s="90" t="n">
        <x:f>IF(E1309&lt;2,"",STDEV.S('33_W2_EC'!C20,'33_W2_EC'!E20,'33_W2_EC'!G20,'33_W2_EC'!I20))</x:f>
        <x:v>117.2888173129334</x:v>
      </x:c>
      <x:c r="H1309" s="90" t="n">
        <x:f>IF(E1309=0,"",MIN('33_W2_EC'!C20,'33_W2_EC'!E20,'33_W2_EC'!G20,'33_W2_EC'!I20))</x:f>
        <x:v>841</x:v>
      </x:c>
      <x:c r="I1309" s="90" t="n">
        <x:f>IF(E1309=0,"",MAX('33_W2_EC'!C20,'33_W2_EC'!E20,'33_W2_EC'!G20,'33_W2_EC'!I20))</x:f>
        <x:v>1103</x:v>
      </x:c>
      <x:c r="J1309" s="32" t="str">
        <x:v>μS/cm</x:v>
      </x:c>
    </x:row>
    <x:row r="1310">
      <x:c r="A1310" s="72" t="n">
        <x:v>46240.858252314814</x:v>
      </x:c>
      <x:c r="B1310" s="32" t="str">
        <x:v>土壤EC</x:v>
      </x:c>
      <x:c r="C1310" s="32" t="str">
        <x:v>W2</x:v>
      </x:c>
      <x:c r="D1310" s="32" t="str">
        <x:v>V1</x:v>
      </x:c>
      <x:c r="E1310" s="86" t="n">
        <x:f>COUNT('33_W2_EC'!B21,'33_W2_EC'!D21,'33_W2_EC'!F21,'33_W2_EC'!H21)</x:f>
        <x:v>4</x:v>
      </x:c>
      <x:c r="F1310" s="90" t="n">
        <x:f>IF(E1310=0,"",AVERAGE('33_W2_EC'!B21,'33_W2_EC'!D21,'33_W2_EC'!F21,'33_W2_EC'!H21))</x:f>
        <x:v>946.25</x:v>
      </x:c>
      <x:c r="G1310" s="90" t="n">
        <x:f>IF(E1310&lt;2,"",STDEV.S('33_W2_EC'!B21,'33_W2_EC'!D21,'33_W2_EC'!F21,'33_W2_EC'!H21))</x:f>
        <x:v>108.8067859403386</x:v>
      </x:c>
      <x:c r="H1310" s="90" t="n">
        <x:f>IF(E1310=0,"",MIN('33_W2_EC'!B21,'33_W2_EC'!D21,'33_W2_EC'!F21,'33_W2_EC'!H21))</x:f>
        <x:v>846</x:v>
      </x:c>
      <x:c r="I1310" s="90" t="n">
        <x:f>IF(E1310=0,"",MAX('33_W2_EC'!B21,'33_W2_EC'!D21,'33_W2_EC'!F21,'33_W2_EC'!H21))</x:f>
        <x:v>1088</x:v>
      </x:c>
      <x:c r="J1310" s="32" t="str">
        <x:v>μS/cm</x:v>
      </x:c>
    </x:row>
    <x:row r="1311">
      <x:c r="A1311" s="72" t="n">
        <x:v>46240.858252314814</x:v>
      </x:c>
      <x:c r="B1311" s="32" t="str">
        <x:v>土壤EC</x:v>
      </x:c>
      <x:c r="C1311" s="32" t="str">
        <x:v>W2</x:v>
      </x:c>
      <x:c r="D1311" s="32" t="str">
        <x:v>V2</x:v>
      </x:c>
      <x:c r="E1311" s="86" t="n">
        <x:f>COUNT('33_W2_EC'!C21,'33_W2_EC'!E21,'33_W2_EC'!G21,'33_W2_EC'!I21)</x:f>
        <x:v>4</x:v>
      </x:c>
      <x:c r="F1311" s="90" t="n">
        <x:f>IF(E1311=0,"",AVERAGE('33_W2_EC'!C21,'33_W2_EC'!E21,'33_W2_EC'!G21,'33_W2_EC'!I21))</x:f>
        <x:v>958.75</x:v>
      </x:c>
      <x:c r="G1311" s="90" t="n">
        <x:f>IF(E1311&lt;2,"",STDEV.S('33_W2_EC'!C21,'33_W2_EC'!E21,'33_W2_EC'!G21,'33_W2_EC'!I21))</x:f>
        <x:v>113.96015385505</x:v>
      </x:c>
      <x:c r="H1311" s="90" t="n">
        <x:f>IF(E1311=0,"",MIN('33_W2_EC'!C21,'33_W2_EC'!E21,'33_W2_EC'!G21,'33_W2_EC'!I21))</x:f>
        <x:v>849</x:v>
      </x:c>
      <x:c r="I1311" s="90" t="n">
        <x:f>IF(E1311=0,"",MAX('33_W2_EC'!C21,'33_W2_EC'!E21,'33_W2_EC'!G21,'33_W2_EC'!I21))</x:f>
        <x:v>1103</x:v>
      </x:c>
      <x:c r="J1311" s="32" t="str">
        <x:v>μS/cm</x:v>
      </x:c>
    </x:row>
    <x:row r="1312">
      <x:c r="A1312" s="72" t="n">
        <x:v>46240.86172453704</x:v>
      </x:c>
      <x:c r="B1312" s="32" t="str">
        <x:v>土壤EC</x:v>
      </x:c>
      <x:c r="C1312" s="32" t="str">
        <x:v>W2</x:v>
      </x:c>
      <x:c r="D1312" s="32" t="str">
        <x:v>V1</x:v>
      </x:c>
      <x:c r="E1312" s="86" t="n">
        <x:f>COUNT('33_W2_EC'!B22,'33_W2_EC'!D22,'33_W2_EC'!F22,'33_W2_EC'!H22)</x:f>
        <x:v>4</x:v>
      </x:c>
      <x:c r="F1312" s="90" t="n">
        <x:f>IF(E1312=0,"",AVERAGE('33_W2_EC'!B22,'33_W2_EC'!D22,'33_W2_EC'!F22,'33_W2_EC'!H22))</x:f>
        <x:v>946</x:v>
      </x:c>
      <x:c r="G1312" s="90" t="n">
        <x:f>IF(E1312&lt;2,"",STDEV.S('33_W2_EC'!B22,'33_W2_EC'!D22,'33_W2_EC'!F22,'33_W2_EC'!H22))</x:f>
        <x:v>103.4311365112073</x:v>
      </x:c>
      <x:c r="H1312" s="90" t="n">
        <x:f>IF(E1312=0,"",MIN('33_W2_EC'!B22,'33_W2_EC'!D22,'33_W2_EC'!F22,'33_W2_EC'!H22))</x:f>
        <x:v>854</x:v>
      </x:c>
      <x:c r="I1312" s="90" t="n">
        <x:f>IF(E1312=0,"",MAX('33_W2_EC'!B22,'33_W2_EC'!D22,'33_W2_EC'!F22,'33_W2_EC'!H22))</x:f>
        <x:v>1084</x:v>
      </x:c>
      <x:c r="J1312" s="32" t="str">
        <x:v>μS/cm</x:v>
      </x:c>
    </x:row>
    <x:row r="1313">
      <x:c r="A1313" s="72" t="n">
        <x:v>46240.86172453704</x:v>
      </x:c>
      <x:c r="B1313" s="32" t="str">
        <x:v>土壤EC</x:v>
      </x:c>
      <x:c r="C1313" s="32" t="str">
        <x:v>W2</x:v>
      </x:c>
      <x:c r="D1313" s="32" t="str">
        <x:v>V2</x:v>
      </x:c>
      <x:c r="E1313" s="86" t="n">
        <x:f>COUNT('33_W2_EC'!C22,'33_W2_EC'!E22,'33_W2_EC'!G22,'33_W2_EC'!I22)</x:f>
        <x:v>4</x:v>
      </x:c>
      <x:c r="F1313" s="90" t="n">
        <x:f>IF(E1313=0,"",AVERAGE('33_W2_EC'!C22,'33_W2_EC'!E22,'33_W2_EC'!G22,'33_W2_EC'!I22))</x:f>
        <x:v>958.25</x:v>
      </x:c>
      <x:c r="G1313" s="90" t="n">
        <x:f>IF(E1313&lt;2,"",STDEV.S('33_W2_EC'!C22,'33_W2_EC'!E22,'33_W2_EC'!G22,'33_W2_EC'!I22))</x:f>
        <x:v>108.8067859403386</x:v>
      </x:c>
      <x:c r="H1313" s="90" t="n">
        <x:f>IF(E1313=0,"",MIN('33_W2_EC'!C22,'33_W2_EC'!E22,'33_W2_EC'!G22,'33_W2_EC'!I22))</x:f>
        <x:v>858</x:v>
      </x:c>
      <x:c r="I1313" s="90" t="n">
        <x:f>IF(E1313=0,"",MAX('33_W2_EC'!C22,'33_W2_EC'!E22,'33_W2_EC'!G22,'33_W2_EC'!I22))</x:f>
        <x:v>1100</x:v>
      </x:c>
      <x:c r="J1313" s="32" t="str">
        <x:v>μS/cm</x:v>
      </x:c>
    </x:row>
    <x:row r="1314">
      <x:c r="A1314" s="72" t="n">
        <x:v>46240.86519675926</x:v>
      </x:c>
      <x:c r="B1314" s="32" t="str">
        <x:v>土壤EC</x:v>
      </x:c>
      <x:c r="C1314" s="32" t="str">
        <x:v>W2</x:v>
      </x:c>
      <x:c r="D1314" s="32" t="str">
        <x:v>V1</x:v>
      </x:c>
      <x:c r="E1314" s="86" t="n">
        <x:f>COUNT('33_W2_EC'!B23,'33_W2_EC'!D23,'33_W2_EC'!F23,'33_W2_EC'!H23)</x:f>
        <x:v>4</x:v>
      </x:c>
      <x:c r="F1314" s="90" t="n">
        <x:f>IF(E1314=0,"",AVERAGE('33_W2_EC'!B23,'33_W2_EC'!D23,'33_W2_EC'!F23,'33_W2_EC'!H23))</x:f>
        <x:v>946</x:v>
      </x:c>
      <x:c r="G1314" s="90" t="n">
        <x:f>IF(E1314&lt;2,"",STDEV.S('33_W2_EC'!B23,'33_W2_EC'!D23,'33_W2_EC'!F23,'33_W2_EC'!H23))</x:f>
        <x:v>96.99484522385713</x:v>
      </x:c>
      <x:c r="H1314" s="90" t="n">
        <x:f>IF(E1314=0,"",MIN('33_W2_EC'!B23,'33_W2_EC'!D23,'33_W2_EC'!F23,'33_W2_EC'!H23))</x:f>
        <x:v>862</x:v>
      </x:c>
      <x:c r="I1314" s="90" t="n">
        <x:f>IF(E1314=0,"",MAX('33_W2_EC'!B23,'33_W2_EC'!D23,'33_W2_EC'!F23,'33_W2_EC'!H23))</x:f>
        <x:v>1078</x:v>
      </x:c>
      <x:c r="J1314" s="32" t="str">
        <x:v>μS/cm</x:v>
      </x:c>
    </x:row>
    <x:row r="1315">
      <x:c r="A1315" s="72" t="n">
        <x:v>46240.86519675926</x:v>
      </x:c>
      <x:c r="B1315" s="32" t="str">
        <x:v>土壤EC</x:v>
      </x:c>
      <x:c r="C1315" s="32" t="str">
        <x:v>W2</x:v>
      </x:c>
      <x:c r="D1315" s="32" t="str">
        <x:v>V2</x:v>
      </x:c>
      <x:c r="E1315" s="86" t="n">
        <x:f>COUNT('33_W2_EC'!C23,'33_W2_EC'!E23,'33_W2_EC'!G23,'33_W2_EC'!I23)</x:f>
        <x:v>4</x:v>
      </x:c>
      <x:c r="F1315" s="90" t="n">
        <x:f>IF(E1315=0,"",AVERAGE('33_W2_EC'!C23,'33_W2_EC'!E23,'33_W2_EC'!G23,'33_W2_EC'!I23))</x:f>
        <x:v>958</x:v>
      </x:c>
      <x:c r="G1315" s="90" t="n">
        <x:f>IF(E1315&lt;2,"",STDEV.S('33_W2_EC'!C23,'33_W2_EC'!E23,'33_W2_EC'!G23,'33_W2_EC'!I23))</x:f>
        <x:v>103.4311365112073</x:v>
      </x:c>
      <x:c r="H1315" s="90" t="n">
        <x:f>IF(E1315=0,"",MIN('33_W2_EC'!C23,'33_W2_EC'!E23,'33_W2_EC'!G23,'33_W2_EC'!I23))</x:f>
        <x:v>866</x:v>
      </x:c>
      <x:c r="I1315" s="90" t="n">
        <x:f>IF(E1315=0,"",MAX('33_W2_EC'!C23,'33_W2_EC'!E23,'33_W2_EC'!G23,'33_W2_EC'!I23))</x:f>
        <x:v>1096</x:v>
      </x:c>
      <x:c r="J1315" s="32" t="str">
        <x:v>μS/cm</x:v>
      </x:c>
    </x:row>
    <x:row r="1316">
      <x:c r="A1316" s="72" t="n">
        <x:v>46240.86866898148</x:v>
      </x:c>
      <x:c r="B1316" s="32" t="str">
        <x:v>土壤EC</x:v>
      </x:c>
      <x:c r="C1316" s="32" t="str">
        <x:v>W2</x:v>
      </x:c>
      <x:c r="D1316" s="32" t="str">
        <x:v>V1</x:v>
      </x:c>
      <x:c r="E1316" s="86" t="n">
        <x:f>COUNT('33_W2_EC'!B24,'33_W2_EC'!D24,'33_W2_EC'!F24,'33_W2_EC'!H24)</x:f>
        <x:v>4</x:v>
      </x:c>
      <x:c r="F1316" s="90" t="n">
        <x:f>IF(E1316=0,"",AVERAGE('33_W2_EC'!B24,'33_W2_EC'!D24,'33_W2_EC'!F24,'33_W2_EC'!H24))</x:f>
        <x:v>946.25</x:v>
      </x:c>
      <x:c r="G1316" s="90" t="n">
        <x:f>IF(E1316&lt;2,"",STDEV.S('33_W2_EC'!B24,'33_W2_EC'!D24,'33_W2_EC'!F24,'33_W2_EC'!H24))</x:f>
        <x:v>90.49263321766401</x:v>
      </x:c>
      <x:c r="H1316" s="90" t="n">
        <x:f>IF(E1316=0,"",MIN('33_W2_EC'!B24,'33_W2_EC'!D24,'33_W2_EC'!F24,'33_W2_EC'!H24))</x:f>
        <x:v>868</x:v>
      </x:c>
      <x:c r="I1316" s="90" t="n">
        <x:f>IF(E1316=0,"",MAX('33_W2_EC'!B24,'33_W2_EC'!D24,'33_W2_EC'!F24,'33_W2_EC'!H24))</x:f>
        <x:v>1071</x:v>
      </x:c>
      <x:c r="J1316" s="32" t="str">
        <x:v>μS/cm</x:v>
      </x:c>
    </x:row>
    <x:row r="1317">
      <x:c r="A1317" s="72" t="n">
        <x:v>46240.86866898148</x:v>
      </x:c>
      <x:c r="B1317" s="32" t="str">
        <x:v>土壤EC</x:v>
      </x:c>
      <x:c r="C1317" s="32" t="str">
        <x:v>W2</x:v>
      </x:c>
      <x:c r="D1317" s="32" t="str">
        <x:v>V2</x:v>
      </x:c>
      <x:c r="E1317" s="86" t="n">
        <x:f>COUNT('33_W2_EC'!C24,'33_W2_EC'!E24,'33_W2_EC'!G24,'33_W2_EC'!I24)</x:f>
        <x:v>4</x:v>
      </x:c>
      <x:c r="F1317" s="90" t="n">
        <x:f>IF(E1317=0,"",AVERAGE('33_W2_EC'!C24,'33_W2_EC'!E24,'33_W2_EC'!G24,'33_W2_EC'!I24))</x:f>
        <x:v>958</x:v>
      </x:c>
      <x:c r="G1317" s="90" t="n">
        <x:f>IF(E1317&lt;2,"",STDEV.S('33_W2_EC'!C24,'33_W2_EC'!E24,'33_W2_EC'!G24,'33_W2_EC'!I24))</x:f>
        <x:v>96.99484522385713</x:v>
      </x:c>
      <x:c r="H1317" s="90" t="n">
        <x:f>IF(E1317=0,"",MIN('33_W2_EC'!C24,'33_W2_EC'!E24,'33_W2_EC'!G24,'33_W2_EC'!I24))</x:f>
        <x:v>874</x:v>
      </x:c>
      <x:c r="I1317" s="90" t="n">
        <x:f>IF(E1317=0,"",MAX('33_W2_EC'!C24,'33_W2_EC'!E24,'33_W2_EC'!G24,'33_W2_EC'!I24))</x:f>
        <x:v>1090</x:v>
      </x:c>
      <x:c r="J1317" s="32" t="str">
        <x:v>μS/cm</x:v>
      </x:c>
    </x:row>
    <x:row r="1318">
      <x:c r="A1318" s="72" t="n">
        <x:v>46240.872141203705</x:v>
      </x:c>
      <x:c r="B1318" s="32" t="str">
        <x:v>土壤EC</x:v>
      </x:c>
      <x:c r="C1318" s="32" t="str">
        <x:v>W2</x:v>
      </x:c>
      <x:c r="D1318" s="32" t="str">
        <x:v>V1</x:v>
      </x:c>
      <x:c r="E1318" s="86" t="n">
        <x:f>COUNT('33_W2_EC'!B25,'33_W2_EC'!D25,'33_W2_EC'!F25,'33_W2_EC'!H25)</x:f>
        <x:v>4</x:v>
      </x:c>
      <x:c r="F1318" s="90" t="n">
        <x:f>IF(E1318=0,"",AVERAGE('33_W2_EC'!B25,'33_W2_EC'!D25,'33_W2_EC'!F25,'33_W2_EC'!H25))</x:f>
        <x:v>946.25</x:v>
      </x:c>
      <x:c r="G1318" s="90" t="n">
        <x:f>IF(E1318&lt;2,"",STDEV.S('33_W2_EC'!B25,'33_W2_EC'!D25,'33_W2_EC'!F25,'33_W2_EC'!H25))</x:f>
        <x:v>83.6117017328715</x:v>
      </x:c>
      <x:c r="H1318" s="90" t="n">
        <x:f>IF(E1318=0,"",MIN('33_W2_EC'!B25,'33_W2_EC'!D25,'33_W2_EC'!F25,'33_W2_EC'!H25))</x:f>
        <x:v>872</x:v>
      </x:c>
      <x:c r="I1318" s="90" t="n">
        <x:f>IF(E1318=0,"",MAX('33_W2_EC'!B25,'33_W2_EC'!D25,'33_W2_EC'!F25,'33_W2_EC'!H25))</x:f>
        <x:v>1062</x:v>
      </x:c>
      <x:c r="J1318" s="32" t="str">
        <x:v>μS/cm</x:v>
      </x:c>
    </x:row>
    <x:row r="1319">
      <x:c r="A1319" s="72" t="n">
        <x:v>46240.872141203705</x:v>
      </x:c>
      <x:c r="B1319" s="32" t="str">
        <x:v>土壤EC</x:v>
      </x:c>
      <x:c r="C1319" s="32" t="str">
        <x:v>W2</x:v>
      </x:c>
      <x:c r="D1319" s="32" t="str">
        <x:v>V2</x:v>
      </x:c>
      <x:c r="E1319" s="86" t="n">
        <x:f>COUNT('33_W2_EC'!C25,'33_W2_EC'!E25,'33_W2_EC'!G25,'33_W2_EC'!I25)</x:f>
        <x:v>4</x:v>
      </x:c>
      <x:c r="F1319" s="90" t="n">
        <x:f>IF(E1319=0,"",AVERAGE('33_W2_EC'!C25,'33_W2_EC'!E25,'33_W2_EC'!G25,'33_W2_EC'!I25))</x:f>
        <x:v>958.25</x:v>
      </x:c>
      <x:c r="G1319" s="90" t="n">
        <x:f>IF(E1319&lt;2,"",STDEV.S('33_W2_EC'!C25,'33_W2_EC'!E25,'33_W2_EC'!G25,'33_W2_EC'!I25))</x:f>
        <x:v>90.49263321766401</x:v>
      </x:c>
      <x:c r="H1319" s="90" t="n">
        <x:f>IF(E1319=0,"",MIN('33_W2_EC'!C25,'33_W2_EC'!E25,'33_W2_EC'!G25,'33_W2_EC'!I25))</x:f>
        <x:v>880</x:v>
      </x:c>
      <x:c r="I1319" s="90" t="n">
        <x:f>IF(E1319=0,"",MAX('33_W2_EC'!C25,'33_W2_EC'!E25,'33_W2_EC'!G25,'33_W2_EC'!I25))</x:f>
        <x:v>1083</x:v>
      </x:c>
      <x:c r="J1319" s="32" t="str">
        <x:v>μS/cm</x:v>
      </x:c>
    </x:row>
    <x:row r="1320">
      <x:c r="A1320" s="72" t="n">
        <x:v>46240.875613425924</x:v>
      </x:c>
      <x:c r="B1320" s="32" t="str">
        <x:v>土壤EC</x:v>
      </x:c>
      <x:c r="C1320" s="32" t="str">
        <x:v>W2</x:v>
      </x:c>
      <x:c r="D1320" s="32" t="str">
        <x:v>V1</x:v>
      </x:c>
      <x:c r="E1320" s="86" t="n">
        <x:f>COUNT('33_W2_EC'!B26,'33_W2_EC'!D26,'33_W2_EC'!F26,'33_W2_EC'!H26)</x:f>
        <x:v>4</x:v>
      </x:c>
      <x:c r="F1320" s="90" t="n">
        <x:f>IF(E1320=0,"",AVERAGE('33_W2_EC'!B26,'33_W2_EC'!D26,'33_W2_EC'!F26,'33_W2_EC'!H26))</x:f>
        <x:v>946.75</x:v>
      </x:c>
      <x:c r="G1320" s="90" t="n">
        <x:f>IF(E1320&lt;2,"",STDEV.S('33_W2_EC'!B26,'33_W2_EC'!D26,'33_W2_EC'!F26,'33_W2_EC'!H26))</x:f>
        <x:v>77.63321883489482</x:v>
      </x:c>
      <x:c r="H1320" s="90" t="n">
        <x:f>IF(E1320=0,"",MIN('33_W2_EC'!B26,'33_W2_EC'!D26,'33_W2_EC'!F26,'33_W2_EC'!H26))</x:f>
        <x:v>875</x:v>
      </x:c>
      <x:c r="I1320" s="90" t="n">
        <x:f>IF(E1320=0,"",MAX('33_W2_EC'!B26,'33_W2_EC'!D26,'33_W2_EC'!F26,'33_W2_EC'!H26))</x:f>
        <x:v>1054</x:v>
      </x:c>
      <x:c r="J1320" s="32" t="str">
        <x:v>μS/cm</x:v>
      </x:c>
    </x:row>
    <x:row r="1321">
      <x:c r="A1321" s="72" t="n">
        <x:v>46240.875613425924</x:v>
      </x:c>
      <x:c r="B1321" s="32" t="str">
        <x:v>土壤EC</x:v>
      </x:c>
      <x:c r="C1321" s="32" t="str">
        <x:v>W2</x:v>
      </x:c>
      <x:c r="D1321" s="32" t="str">
        <x:v>V2</x:v>
      </x:c>
      <x:c r="E1321" s="86" t="n">
        <x:f>COUNT('33_W2_EC'!C26,'33_W2_EC'!E26,'33_W2_EC'!G26,'33_W2_EC'!I26)</x:f>
        <x:v>4</x:v>
      </x:c>
      <x:c r="F1321" s="90" t="n">
        <x:f>IF(E1321=0,"",AVERAGE('33_W2_EC'!C26,'33_W2_EC'!E26,'33_W2_EC'!G26,'33_W2_EC'!I26))</x:f>
        <x:v>958.25</x:v>
      </x:c>
      <x:c r="G1321" s="90" t="n">
        <x:f>IF(E1321&lt;2,"",STDEV.S('33_W2_EC'!C26,'33_W2_EC'!E26,'33_W2_EC'!G26,'33_W2_EC'!I26))</x:f>
        <x:v>83.6117017328715</x:v>
      </x:c>
      <x:c r="H1321" s="90" t="n">
        <x:f>IF(E1321=0,"",MIN('33_W2_EC'!C26,'33_W2_EC'!E26,'33_W2_EC'!G26,'33_W2_EC'!I26))</x:f>
        <x:v>884</x:v>
      </x:c>
      <x:c r="I1321" s="90" t="n">
        <x:f>IF(E1321=0,"",MAX('33_W2_EC'!C26,'33_W2_EC'!E26,'33_W2_EC'!G26,'33_W2_EC'!I26))</x:f>
        <x:v>1074</x:v>
      </x:c>
      <x:c r="J1321" s="32" t="str">
        <x:v>μS/cm</x:v>
      </x:c>
    </x:row>
    <x:row r="1322">
      <x:c r="A1322" s="72" t="n">
        <x:v>46240.87908564815</x:v>
      </x:c>
      <x:c r="B1322" s="32" t="str">
        <x:v>土壤EC</x:v>
      </x:c>
      <x:c r="C1322" s="32" t="str">
        <x:v>W2</x:v>
      </x:c>
      <x:c r="D1322" s="32" t="str">
        <x:v>V1</x:v>
      </x:c>
      <x:c r="E1322" s="86" t="n">
        <x:f>COUNT('33_W2_EC'!B27,'33_W2_EC'!D27,'33_W2_EC'!F27,'33_W2_EC'!H27)</x:f>
        <x:v>4</x:v>
      </x:c>
      <x:c r="F1322" s="90" t="n">
        <x:f>IF(E1322=0,"",AVERAGE('33_W2_EC'!B27,'33_W2_EC'!D27,'33_W2_EC'!F27,'33_W2_EC'!H27))</x:f>
        <x:v>947</x:v>
      </x:c>
      <x:c r="G1322" s="90" t="n">
        <x:f>IF(E1322&lt;2,"",STDEV.S('33_W2_EC'!B27,'33_W2_EC'!D27,'33_W2_EC'!F27,'33_W2_EC'!H27))</x:f>
        <x:v>72.19879962067698</x:v>
      </x:c>
      <x:c r="H1322" s="90" t="n">
        <x:f>IF(E1322=0,"",MIN('33_W2_EC'!B27,'33_W2_EC'!D27,'33_W2_EC'!F27,'33_W2_EC'!H27))</x:f>
        <x:v>875</x:v>
      </x:c>
      <x:c r="I1322" s="90" t="n">
        <x:f>IF(E1322=0,"",MAX('33_W2_EC'!B27,'33_W2_EC'!D27,'33_W2_EC'!F27,'33_W2_EC'!H27))</x:f>
        <x:v>1045</x:v>
      </x:c>
      <x:c r="J1322" s="32" t="str">
        <x:v>μS/cm</x:v>
      </x:c>
    </x:row>
    <x:row r="1323">
      <x:c r="A1323" s="72" t="n">
        <x:v>46240.87908564815</x:v>
      </x:c>
      <x:c r="B1323" s="32" t="str">
        <x:v>土壤EC</x:v>
      </x:c>
      <x:c r="C1323" s="32" t="str">
        <x:v>W2</x:v>
      </x:c>
      <x:c r="D1323" s="32" t="str">
        <x:v>V2</x:v>
      </x:c>
      <x:c r="E1323" s="86" t="n">
        <x:f>COUNT('33_W2_EC'!C27,'33_W2_EC'!E27,'33_W2_EC'!G27,'33_W2_EC'!I27)</x:f>
        <x:v>4</x:v>
      </x:c>
      <x:c r="F1323" s="90" t="n">
        <x:f>IF(E1323=0,"",AVERAGE('33_W2_EC'!C27,'33_W2_EC'!E27,'33_W2_EC'!G27,'33_W2_EC'!I27))</x:f>
        <x:v>958.75</x:v>
      </x:c>
      <x:c r="G1323" s="90" t="n">
        <x:f>IF(E1323&lt;2,"",STDEV.S('33_W2_EC'!C27,'33_W2_EC'!E27,'33_W2_EC'!G27,'33_W2_EC'!I27))</x:f>
        <x:v>77.63321883489482</x:v>
      </x:c>
      <x:c r="H1323" s="90" t="n">
        <x:f>IF(E1323=0,"",MIN('33_W2_EC'!C27,'33_W2_EC'!E27,'33_W2_EC'!G27,'33_W2_EC'!I27))</x:f>
        <x:v>887</x:v>
      </x:c>
      <x:c r="I1323" s="90" t="n">
        <x:f>IF(E1323=0,"",MAX('33_W2_EC'!C27,'33_W2_EC'!E27,'33_W2_EC'!G27,'33_W2_EC'!I27))</x:f>
        <x:v>1066</x:v>
      </x:c>
      <x:c r="J1323" s="32" t="str">
        <x:v>μS/cm</x:v>
      </x:c>
    </x:row>
    <x:row r="1324">
      <x:c r="A1324" s="72" t="n">
        <x:v>46240.88255787037</x:v>
      </x:c>
      <x:c r="B1324" s="32" t="str">
        <x:v>土壤EC</x:v>
      </x:c>
      <x:c r="C1324" s="32" t="str">
        <x:v>W2</x:v>
      </x:c>
      <x:c r="D1324" s="32" t="str">
        <x:v>V1</x:v>
      </x:c>
      <x:c r="E1324" s="86" t="n">
        <x:f>COUNT('33_W2_EC'!B28,'33_W2_EC'!D28,'33_W2_EC'!F28,'33_W2_EC'!H28)</x:f>
        <x:v>4</x:v>
      </x:c>
      <x:c r="F1324" s="90" t="n">
        <x:f>IF(E1324=0,"",AVERAGE('33_W2_EC'!B28,'33_W2_EC'!D28,'33_W2_EC'!F28,'33_W2_EC'!H28))</x:f>
        <x:v>947.25</x:v>
      </x:c>
      <x:c r="G1324" s="90" t="n">
        <x:f>IF(E1324&lt;2,"",STDEV.S('33_W2_EC'!B28,'33_W2_EC'!D28,'33_W2_EC'!F28,'33_W2_EC'!H28))</x:f>
        <x:v>68.44158092855541</x:v>
      </x:c>
      <x:c r="H1324" s="90" t="n">
        <x:f>IF(E1324=0,"",MIN('33_W2_EC'!B28,'33_W2_EC'!D28,'33_W2_EC'!F28,'33_W2_EC'!H28))</x:f>
        <x:v>873</x:v>
      </x:c>
      <x:c r="I1324" s="90" t="n">
        <x:f>IF(E1324=0,"",MAX('33_W2_EC'!B28,'33_W2_EC'!D28,'33_W2_EC'!F28,'33_W2_EC'!H28))</x:f>
        <x:v>1037</x:v>
      </x:c>
      <x:c r="J1324" s="32" t="str">
        <x:v>μS/cm</x:v>
      </x:c>
    </x:row>
    <x:row r="1325">
      <x:c r="A1325" s="72" t="n">
        <x:v>46240.88255787037</x:v>
      </x:c>
      <x:c r="B1325" s="32" t="str">
        <x:v>土壤EC</x:v>
      </x:c>
      <x:c r="C1325" s="32" t="str">
        <x:v>W2</x:v>
      </x:c>
      <x:c r="D1325" s="32" t="str">
        <x:v>V2</x:v>
      </x:c>
      <x:c r="E1325" s="86" t="n">
        <x:f>COUNT('33_W2_EC'!C28,'33_W2_EC'!E28,'33_W2_EC'!G28,'33_W2_EC'!I28)</x:f>
        <x:v>4</x:v>
      </x:c>
      <x:c r="F1325" s="90" t="n">
        <x:f>IF(E1325=0,"",AVERAGE('33_W2_EC'!C28,'33_W2_EC'!E28,'33_W2_EC'!G28,'33_W2_EC'!I28))</x:f>
        <x:v>959</x:v>
      </x:c>
      <x:c r="G1325" s="90" t="n">
        <x:f>IF(E1325&lt;2,"",STDEV.S('33_W2_EC'!C28,'33_W2_EC'!E28,'33_W2_EC'!G28,'33_W2_EC'!I28))</x:f>
        <x:v>72.19879962067698</x:v>
      </x:c>
      <x:c r="H1325" s="90" t="n">
        <x:f>IF(E1325=0,"",MIN('33_W2_EC'!C28,'33_W2_EC'!E28,'33_W2_EC'!G28,'33_W2_EC'!I28))</x:f>
        <x:v>887</x:v>
      </x:c>
      <x:c r="I1325" s="90" t="n">
        <x:f>IF(E1325=0,"",MAX('33_W2_EC'!C28,'33_W2_EC'!E28,'33_W2_EC'!G28,'33_W2_EC'!I28))</x:f>
        <x:v>1057</x:v>
      </x:c>
      <x:c r="J1325" s="32" t="str">
        <x:v>μS/cm</x:v>
      </x:c>
    </x:row>
    <x:row r="1326">
      <x:c r="A1326" s="72" t="n">
        <x:v>46240.886030092595</x:v>
      </x:c>
      <x:c r="B1326" s="32" t="str">
        <x:v>土壤EC</x:v>
      </x:c>
      <x:c r="C1326" s="32" t="str">
        <x:v>W2</x:v>
      </x:c>
      <x:c r="D1326" s="32" t="str">
        <x:v>V1</x:v>
      </x:c>
      <x:c r="E1326" s="86" t="n">
        <x:f>COUNT('33_W2_EC'!B29,'33_W2_EC'!D29,'33_W2_EC'!F29,'33_W2_EC'!H29)</x:f>
        <x:v>4</x:v>
      </x:c>
      <x:c r="F1326" s="90" t="n">
        <x:f>IF(E1326=0,"",AVERAGE('33_W2_EC'!B29,'33_W2_EC'!D29,'33_W2_EC'!F29,'33_W2_EC'!H29))</x:f>
        <x:v>947.75</x:v>
      </x:c>
      <x:c r="G1326" s="90" t="n">
        <x:f>IF(E1326&lt;2,"",STDEV.S('33_W2_EC'!B29,'33_W2_EC'!D29,'33_W2_EC'!F29,'33_W2_EC'!H29))</x:f>
        <x:v>66.48496070541066</x:v>
      </x:c>
      <x:c r="H1326" s="90" t="n">
        <x:f>IF(E1326=0,"",MIN('33_W2_EC'!B29,'33_W2_EC'!D29,'33_W2_EC'!F29,'33_W2_EC'!H29))</x:f>
        <x:v>869</x:v>
      </x:c>
      <x:c r="I1326" s="90" t="n">
        <x:f>IF(E1326=0,"",MAX('33_W2_EC'!B29,'33_W2_EC'!D29,'33_W2_EC'!F29,'33_W2_EC'!H29))</x:f>
        <x:v>1030</x:v>
      </x:c>
      <x:c r="J1326" s="32" t="str">
        <x:v>μS/cm</x:v>
      </x:c>
    </x:row>
    <x:row r="1327">
      <x:c r="A1327" s="72" t="n">
        <x:v>46240.886030092595</x:v>
      </x:c>
      <x:c r="B1327" s="32" t="str">
        <x:v>土壤EC</x:v>
      </x:c>
      <x:c r="C1327" s="32" t="str">
        <x:v>W2</x:v>
      </x:c>
      <x:c r="D1327" s="32" t="str">
        <x:v>V2</x:v>
      </x:c>
      <x:c r="E1327" s="86" t="n">
        <x:f>COUNT('33_W2_EC'!C29,'33_W2_EC'!E29,'33_W2_EC'!G29,'33_W2_EC'!I29)</x:f>
        <x:v>4</x:v>
      </x:c>
      <x:c r="F1327" s="90" t="n">
        <x:f>IF(E1327=0,"",AVERAGE('33_W2_EC'!C29,'33_W2_EC'!E29,'33_W2_EC'!G29,'33_W2_EC'!I29))</x:f>
        <x:v>959.25</x:v>
      </x:c>
      <x:c r="G1327" s="90" t="n">
        <x:f>IF(E1327&lt;2,"",STDEV.S('33_W2_EC'!C29,'33_W2_EC'!E29,'33_W2_EC'!G29,'33_W2_EC'!I29))</x:f>
        <x:v>68.44158092855541</x:v>
      </x:c>
      <x:c r="H1327" s="90" t="n">
        <x:f>IF(E1327=0,"",MIN('33_W2_EC'!C29,'33_W2_EC'!E29,'33_W2_EC'!G29,'33_W2_EC'!I29))</x:f>
        <x:v>885</x:v>
      </x:c>
      <x:c r="I1327" s="90" t="n">
        <x:f>IF(E1327=0,"",MAX('33_W2_EC'!C29,'33_W2_EC'!E29,'33_W2_EC'!G29,'33_W2_EC'!I29))</x:f>
        <x:v>1049</x:v>
      </x:c>
      <x:c r="J1327" s="32" t="str">
        <x:v>μS/cm</x:v>
      </x:c>
    </x:row>
    <x:row r="1328">
      <x:c r="A1328" s="72" t="n">
        <x:v>46240.889502314814</x:v>
      </x:c>
      <x:c r="B1328" s="32" t="str">
        <x:v>土壤EC</x:v>
      </x:c>
      <x:c r="C1328" s="32" t="str">
        <x:v>W2</x:v>
      </x:c>
      <x:c r="D1328" s="32" t="str">
        <x:v>V1</x:v>
      </x:c>
      <x:c r="E1328" s="86" t="n">
        <x:f>COUNT('33_W2_EC'!B30,'33_W2_EC'!D30,'33_W2_EC'!F30,'33_W2_EC'!H30)</x:f>
        <x:v>4</x:v>
      </x:c>
      <x:c r="F1328" s="90" t="n">
        <x:f>IF(E1328=0,"",AVERAGE('33_W2_EC'!B30,'33_W2_EC'!D30,'33_W2_EC'!F30,'33_W2_EC'!H30))</x:f>
        <x:v>948.25</x:v>
      </x:c>
      <x:c r="G1328" s="90" t="n">
        <x:f>IF(E1328&lt;2,"",STDEV.S('33_W2_EC'!B30,'33_W2_EC'!D30,'33_W2_EC'!F30,'33_W2_EC'!H30))</x:f>
        <x:v>67.09880773903512</x:v>
      </x:c>
      <x:c r="H1328" s="90" t="n">
        <x:f>IF(E1328=0,"",MIN('33_W2_EC'!B30,'33_W2_EC'!D30,'33_W2_EC'!F30,'33_W2_EC'!H30))</x:f>
        <x:v>863</x:v>
      </x:c>
      <x:c r="I1328" s="90" t="n">
        <x:f>IF(E1328=0,"",MAX('33_W2_EC'!B30,'33_W2_EC'!D30,'33_W2_EC'!F30,'33_W2_EC'!H30))</x:f>
        <x:v>1025</x:v>
      </x:c>
      <x:c r="J1328" s="32" t="str">
        <x:v>μS/cm</x:v>
      </x:c>
    </x:row>
    <x:row r="1329">
      <x:c r="A1329" s="72" t="n">
        <x:v>46240.889502314814</x:v>
      </x:c>
      <x:c r="B1329" s="32" t="str">
        <x:v>土壤EC</x:v>
      </x:c>
      <x:c r="C1329" s="32" t="str">
        <x:v>W2</x:v>
      </x:c>
      <x:c r="D1329" s="32" t="str">
        <x:v>V2</x:v>
      </x:c>
      <x:c r="E1329" s="86" t="n">
        <x:f>COUNT('33_W2_EC'!C30,'33_W2_EC'!E30,'33_W2_EC'!G30,'33_W2_EC'!I30)</x:f>
        <x:v>4</x:v>
      </x:c>
      <x:c r="F1329" s="90" t="n">
        <x:f>IF(E1329=0,"",AVERAGE('33_W2_EC'!C30,'33_W2_EC'!E30,'33_W2_EC'!G30,'33_W2_EC'!I30))</x:f>
        <x:v>959.75</x:v>
      </x:c>
      <x:c r="G1329" s="90" t="n">
        <x:f>IF(E1329&lt;2,"",STDEV.S('33_W2_EC'!C30,'33_W2_EC'!E30,'33_W2_EC'!G30,'33_W2_EC'!I30))</x:f>
        <x:v>66.48496070541066</x:v>
      </x:c>
      <x:c r="H1329" s="90" t="n">
        <x:f>IF(E1329=0,"",MIN('33_W2_EC'!C30,'33_W2_EC'!E30,'33_W2_EC'!G30,'33_W2_EC'!I30))</x:f>
        <x:v>881</x:v>
      </x:c>
      <x:c r="I1329" s="90" t="n">
        <x:f>IF(E1329=0,"",MAX('33_W2_EC'!C30,'33_W2_EC'!E30,'33_W2_EC'!G30,'33_W2_EC'!I30))</x:f>
        <x:v>1042</x:v>
      </x:c>
      <x:c r="J1329" s="32" t="str">
        <x:v>μS/cm</x:v>
      </x:c>
    </x:row>
    <x:row r="1330">
      <x:c r="A1330" s="72" t="n">
        <x:v>46240.89297453704</x:v>
      </x:c>
      <x:c r="B1330" s="32" t="str">
        <x:v>土壤EC</x:v>
      </x:c>
      <x:c r="C1330" s="32" t="str">
        <x:v>W2</x:v>
      </x:c>
      <x:c r="D1330" s="32" t="str">
        <x:v>V1</x:v>
      </x:c>
      <x:c r="E1330" s="86" t="n">
        <x:f>COUNT('33_W2_EC'!B31,'33_W2_EC'!D31,'33_W2_EC'!F31,'33_W2_EC'!H31)</x:f>
        <x:v>4</x:v>
      </x:c>
      <x:c r="F1330" s="90" t="n">
        <x:f>IF(E1330=0,"",AVERAGE('33_W2_EC'!B31,'33_W2_EC'!D31,'33_W2_EC'!F31,'33_W2_EC'!H31))</x:f>
        <x:v>948.75</x:v>
      </x:c>
      <x:c r="G1330" s="90" t="n">
        <x:f>IF(E1330&lt;2,"",STDEV.S('33_W2_EC'!B31,'33_W2_EC'!D31,'33_W2_EC'!F31,'33_W2_EC'!H31))</x:f>
        <x:v>69.71071175460291</x:v>
      </x:c>
      <x:c r="H1330" s="90" t="n">
        <x:f>IF(E1330=0,"",MIN('33_W2_EC'!B31,'33_W2_EC'!D31,'33_W2_EC'!F31,'33_W2_EC'!H31))</x:f>
        <x:v>856</x:v>
      </x:c>
      <x:c r="I1330" s="90" t="n">
        <x:f>IF(E1330=0,"",MAX('33_W2_EC'!B31,'33_W2_EC'!D31,'33_W2_EC'!F31,'33_W2_EC'!H31))</x:f>
        <x:v>1022</x:v>
      </x:c>
      <x:c r="J1330" s="32" t="str">
        <x:v>μS/cm</x:v>
      </x:c>
    </x:row>
    <x:row r="1331">
      <x:c r="A1331" s="72" t="n">
        <x:v>46240.89297453704</x:v>
      </x:c>
      <x:c r="B1331" s="32" t="str">
        <x:v>土壤EC</x:v>
      </x:c>
      <x:c r="C1331" s="32" t="str">
        <x:v>W2</x:v>
      </x:c>
      <x:c r="D1331" s="32" t="str">
        <x:v>V2</x:v>
      </x:c>
      <x:c r="E1331" s="86" t="n">
        <x:f>COUNT('33_W2_EC'!C31,'33_W2_EC'!E31,'33_W2_EC'!G31,'33_W2_EC'!I31)</x:f>
        <x:v>4</x:v>
      </x:c>
      <x:c r="F1331" s="90" t="n">
        <x:f>IF(E1331=0,"",AVERAGE('33_W2_EC'!C31,'33_W2_EC'!E31,'33_W2_EC'!G31,'33_W2_EC'!I31))</x:f>
        <x:v>960.25</x:v>
      </x:c>
      <x:c r="G1331" s="90" t="n">
        <x:f>IF(E1331&lt;2,"",STDEV.S('33_W2_EC'!C31,'33_W2_EC'!E31,'33_W2_EC'!G31,'33_W2_EC'!I31))</x:f>
        <x:v>67.09880773903512</x:v>
      </x:c>
      <x:c r="H1331" s="90" t="n">
        <x:f>IF(E1331=0,"",MIN('33_W2_EC'!C31,'33_W2_EC'!E31,'33_W2_EC'!G31,'33_W2_EC'!I31))</x:f>
        <x:v>875</x:v>
      </x:c>
      <x:c r="I1331" s="90" t="n">
        <x:f>IF(E1331=0,"",MAX('33_W2_EC'!C31,'33_W2_EC'!E31,'33_W2_EC'!G31,'33_W2_EC'!I31))</x:f>
        <x:v>1037</x:v>
      </x:c>
      <x:c r="J1331" s="32" t="str">
        <x:v>μS/cm</x:v>
      </x:c>
    </x:row>
    <x:row r="1332">
      <x:c r="A1332" s="72" t="n">
        <x:v>46240.89644675926</x:v>
      </x:c>
      <x:c r="B1332" s="32" t="str">
        <x:v>土壤EC</x:v>
      </x:c>
      <x:c r="C1332" s="32" t="str">
        <x:v>W2</x:v>
      </x:c>
      <x:c r="D1332" s="32" t="str">
        <x:v>V1</x:v>
      </x:c>
      <x:c r="E1332" s="86" t="n">
        <x:f>COUNT('33_W2_EC'!B32,'33_W2_EC'!D32,'33_W2_EC'!F32,'33_W2_EC'!H32)</x:f>
        <x:v>4</x:v>
      </x:c>
      <x:c r="F1332" s="90" t="n">
        <x:f>IF(E1332=0,"",AVERAGE('33_W2_EC'!B32,'33_W2_EC'!D32,'33_W2_EC'!F32,'33_W2_EC'!H32))</x:f>
        <x:v>949.25</x:v>
      </x:c>
      <x:c r="G1332" s="90" t="n">
        <x:f>IF(E1332&lt;2,"",STDEV.S('33_W2_EC'!B32,'33_W2_EC'!D32,'33_W2_EC'!F32,'33_W2_EC'!H32))</x:f>
        <x:v>73.96564517846556</x:v>
      </x:c>
      <x:c r="H1332" s="90" t="n">
        <x:f>IF(E1332=0,"",MIN('33_W2_EC'!B32,'33_W2_EC'!D32,'33_W2_EC'!F32,'33_W2_EC'!H32))</x:f>
        <x:v>848</x:v>
      </x:c>
      <x:c r="I1332" s="90" t="n">
        <x:f>IF(E1332=0,"",MAX('33_W2_EC'!B32,'33_W2_EC'!D32,'33_W2_EC'!F32,'33_W2_EC'!H32))</x:f>
        <x:v>1021</x:v>
      </x:c>
      <x:c r="J1332" s="32" t="str">
        <x:v>μS/cm</x:v>
      </x:c>
    </x:row>
    <x:row r="1333">
      <x:c r="A1333" s="72" t="n">
        <x:v>46240.89644675926</x:v>
      </x:c>
      <x:c r="B1333" s="32" t="str">
        <x:v>土壤EC</x:v>
      </x:c>
      <x:c r="C1333" s="32" t="str">
        <x:v>W2</x:v>
      </x:c>
      <x:c r="D1333" s="32" t="str">
        <x:v>V2</x:v>
      </x:c>
      <x:c r="E1333" s="86" t="n">
        <x:f>COUNT('33_W2_EC'!C32,'33_W2_EC'!E32,'33_W2_EC'!G32,'33_W2_EC'!I32)</x:f>
        <x:v>4</x:v>
      </x:c>
      <x:c r="F1333" s="90" t="n">
        <x:f>IF(E1333=0,"",AVERAGE('33_W2_EC'!C32,'33_W2_EC'!E32,'33_W2_EC'!G32,'33_W2_EC'!I32))</x:f>
        <x:v>960.75</x:v>
      </x:c>
      <x:c r="G1333" s="90" t="n">
        <x:f>IF(E1333&lt;2,"",STDEV.S('33_W2_EC'!C32,'33_W2_EC'!E32,'33_W2_EC'!G32,'33_W2_EC'!I32))</x:f>
        <x:v>69.71071175460291</x:v>
      </x:c>
      <x:c r="H1333" s="90" t="n">
        <x:f>IF(E1333=0,"",MIN('33_W2_EC'!C32,'33_W2_EC'!E32,'33_W2_EC'!G32,'33_W2_EC'!I32))</x:f>
        <x:v>868</x:v>
      </x:c>
      <x:c r="I1333" s="90" t="n">
        <x:f>IF(E1333=0,"",MAX('33_W2_EC'!C32,'33_W2_EC'!E32,'33_W2_EC'!G32,'33_W2_EC'!I32))</x:f>
        <x:v>1034</x:v>
      </x:c>
      <x:c r="J1333" s="32" t="str">
        <x:v>μS/cm</x:v>
      </x:c>
    </x:row>
    <x:row r="1334">
      <x:c r="A1334" s="72" t="n">
        <x:v>46240.89991898148</x:v>
      </x:c>
      <x:c r="B1334" s="32" t="str">
        <x:v>土壤EC</x:v>
      </x:c>
      <x:c r="C1334" s="32" t="str">
        <x:v>W2</x:v>
      </x:c>
      <x:c r="D1334" s="32" t="str">
        <x:v>V1</x:v>
      </x:c>
      <x:c r="E1334" s="86" t="n">
        <x:f>COUNT('33_W2_EC'!B33,'33_W2_EC'!D33,'33_W2_EC'!F33,'33_W2_EC'!H33)</x:f>
        <x:v>4</x:v>
      </x:c>
      <x:c r="F1334" s="90" t="n">
        <x:f>IF(E1334=0,"",AVERAGE('33_W2_EC'!B33,'33_W2_EC'!D33,'33_W2_EC'!F33,'33_W2_EC'!H33))</x:f>
        <x:v>949.5</x:v>
      </x:c>
      <x:c r="G1334" s="90" t="n">
        <x:f>IF(E1334&lt;2,"",STDEV.S('33_W2_EC'!B33,'33_W2_EC'!D33,'33_W2_EC'!F33,'33_W2_EC'!H33))</x:f>
        <x:v>79.81854421122951</x:v>
      </x:c>
      <x:c r="H1334" s="90" t="n">
        <x:f>IF(E1334=0,"",MIN('33_W2_EC'!B33,'33_W2_EC'!D33,'33_W2_EC'!F33,'33_W2_EC'!H33))</x:f>
        <x:v>839</x:v>
      </x:c>
      <x:c r="I1334" s="90" t="n">
        <x:f>IF(E1334=0,"",MAX('33_W2_EC'!B33,'33_W2_EC'!D33,'33_W2_EC'!F33,'33_W2_EC'!H33))</x:f>
        <x:v>1022</x:v>
      </x:c>
      <x:c r="J1334" s="32" t="str">
        <x:v>μS/cm</x:v>
      </x:c>
    </x:row>
    <x:row r="1335">
      <x:c r="A1335" s="72" t="n">
        <x:v>46240.89991898148</x:v>
      </x:c>
      <x:c r="B1335" s="32" t="str">
        <x:v>土壤EC</x:v>
      </x:c>
      <x:c r="C1335" s="32" t="str">
        <x:v>W2</x:v>
      </x:c>
      <x:c r="D1335" s="32" t="str">
        <x:v>V2</x:v>
      </x:c>
      <x:c r="E1335" s="86" t="n">
        <x:f>COUNT('33_W2_EC'!C33,'33_W2_EC'!E33,'33_W2_EC'!G33,'33_W2_EC'!I33)</x:f>
        <x:v>4</x:v>
      </x:c>
      <x:c r="F1335" s="90" t="n">
        <x:f>IF(E1335=0,"",AVERAGE('33_W2_EC'!C33,'33_W2_EC'!E33,'33_W2_EC'!G33,'33_W2_EC'!I33))</x:f>
        <x:v>961.25</x:v>
      </x:c>
      <x:c r="G1335" s="90" t="n">
        <x:f>IF(E1335&lt;2,"",STDEV.S('33_W2_EC'!C33,'33_W2_EC'!E33,'33_W2_EC'!G33,'33_W2_EC'!I33))</x:f>
        <x:v>73.96564517846556</x:v>
      </x:c>
      <x:c r="H1335" s="90" t="n">
        <x:f>IF(E1335=0,"",MIN('33_W2_EC'!C33,'33_W2_EC'!E33,'33_W2_EC'!G33,'33_W2_EC'!I33))</x:f>
        <x:v>860</x:v>
      </x:c>
      <x:c r="I1335" s="90" t="n">
        <x:f>IF(E1335=0,"",MAX('33_W2_EC'!C33,'33_W2_EC'!E33,'33_W2_EC'!G33,'33_W2_EC'!I33))</x:f>
        <x:v>1033</x:v>
      </x:c>
      <x:c r="J1335" s="32" t="str">
        <x:v>μS/cm</x:v>
      </x:c>
    </x:row>
    <x:row r="1336">
      <x:c r="A1336" s="72" t="n">
        <x:v>46240.903391203705</x:v>
      </x:c>
      <x:c r="B1336" s="32" t="str">
        <x:v>土壤EC</x:v>
      </x:c>
      <x:c r="C1336" s="32" t="str">
        <x:v>W2</x:v>
      </x:c>
      <x:c r="D1336" s="32" t="str">
        <x:v>V1</x:v>
      </x:c>
      <x:c r="E1336" s="86" t="n">
        <x:f>COUNT('33_W2_EC'!B34,'33_W2_EC'!D34,'33_W2_EC'!F34,'33_W2_EC'!H34)</x:f>
        <x:v>4</x:v>
      </x:c>
      <x:c r="F1336" s="90" t="n">
        <x:f>IF(E1336=0,"",AVERAGE('33_W2_EC'!B34,'33_W2_EC'!D34,'33_W2_EC'!F34,'33_W2_EC'!H34))</x:f>
        <x:v>949.5</x:v>
      </x:c>
      <x:c r="G1336" s="90" t="n">
        <x:f>IF(E1336&lt;2,"",STDEV.S('33_W2_EC'!B34,'33_W2_EC'!D34,'33_W2_EC'!F34,'33_W2_EC'!H34))</x:f>
        <x:v>86.31917515824627</x:v>
      </x:c>
      <x:c r="H1336" s="90" t="n">
        <x:f>IF(E1336=0,"",MIN('33_W2_EC'!B34,'33_W2_EC'!D34,'33_W2_EC'!F34,'33_W2_EC'!H34))</x:f>
        <x:v>830</x:v>
      </x:c>
      <x:c r="I1336" s="90" t="n">
        <x:f>IF(E1336=0,"",MAX('33_W2_EC'!B34,'33_W2_EC'!D34,'33_W2_EC'!F34,'33_W2_EC'!H34))</x:f>
        <x:v>1025</x:v>
      </x:c>
      <x:c r="J1336" s="32" t="str">
        <x:v>μS/cm</x:v>
      </x:c>
    </x:row>
    <x:row r="1337">
      <x:c r="A1337" s="72" t="n">
        <x:v>46240.903391203705</x:v>
      </x:c>
      <x:c r="B1337" s="32" t="str">
        <x:v>土壤EC</x:v>
      </x:c>
      <x:c r="C1337" s="32" t="str">
        <x:v>W2</x:v>
      </x:c>
      <x:c r="D1337" s="32" t="str">
        <x:v>V2</x:v>
      </x:c>
      <x:c r="E1337" s="86" t="n">
        <x:f>COUNT('33_W2_EC'!C34,'33_W2_EC'!E34,'33_W2_EC'!G34,'33_W2_EC'!I34)</x:f>
        <x:v>4</x:v>
      </x:c>
      <x:c r="F1337" s="90" t="n">
        <x:f>IF(E1337=0,"",AVERAGE('33_W2_EC'!C34,'33_W2_EC'!E34,'33_W2_EC'!G34,'33_W2_EC'!I34))</x:f>
        <x:v>961.5</x:v>
      </x:c>
      <x:c r="G1337" s="90" t="n">
        <x:f>IF(E1337&lt;2,"",STDEV.S('33_W2_EC'!C34,'33_W2_EC'!E34,'33_W2_EC'!G34,'33_W2_EC'!I34))</x:f>
        <x:v>79.81854421122951</x:v>
      </x:c>
      <x:c r="H1337" s="90" t="n">
        <x:f>IF(E1337=0,"",MIN('33_W2_EC'!C34,'33_W2_EC'!E34,'33_W2_EC'!G34,'33_W2_EC'!I34))</x:f>
        <x:v>851</x:v>
      </x:c>
      <x:c r="I1337" s="90" t="n">
        <x:f>IF(E1337=0,"",MAX('33_W2_EC'!C34,'33_W2_EC'!E34,'33_W2_EC'!G34,'33_W2_EC'!I34))</x:f>
        <x:v>1034</x:v>
      </x:c>
      <x:c r="J1337" s="32" t="str">
        <x:v>μS/cm</x:v>
      </x:c>
    </x:row>
    <x:row r="1338">
      <x:c r="A1338" s="72" t="n">
        <x:v>46240.906863425924</x:v>
      </x:c>
      <x:c r="B1338" s="32" t="str">
        <x:v>土壤EC</x:v>
      </x:c>
      <x:c r="C1338" s="32" t="str">
        <x:v>W2</x:v>
      </x:c>
      <x:c r="D1338" s="32" t="str">
        <x:v>V1</x:v>
      </x:c>
      <x:c r="E1338" s="86" t="n">
        <x:f>COUNT('33_W2_EC'!B35,'33_W2_EC'!D35,'33_W2_EC'!F35,'33_W2_EC'!H35)</x:f>
        <x:v>4</x:v>
      </x:c>
      <x:c r="F1338" s="90" t="n">
        <x:f>IF(E1338=0,"",AVERAGE('33_W2_EC'!B35,'33_W2_EC'!D35,'33_W2_EC'!F35,'33_W2_EC'!H35))</x:f>
        <x:v>949.75</x:v>
      </x:c>
      <x:c r="G1338" s="90" t="n">
        <x:f>IF(E1338&lt;2,"",STDEV.S('33_W2_EC'!B35,'33_W2_EC'!D35,'33_W2_EC'!F35,'33_W2_EC'!H35))</x:f>
        <x:v>93.0962763308322</x:v>
      </x:c>
      <x:c r="H1338" s="90" t="n">
        <x:f>IF(E1338=0,"",MIN('33_W2_EC'!B35,'33_W2_EC'!D35,'33_W2_EC'!F35,'33_W2_EC'!H35))</x:f>
        <x:v>822</x:v>
      </x:c>
      <x:c r="I1338" s="90" t="n">
        <x:f>IF(E1338=0,"",MAX('33_W2_EC'!B35,'33_W2_EC'!D35,'33_W2_EC'!F35,'33_W2_EC'!H35))</x:f>
        <x:v>1030</x:v>
      </x:c>
      <x:c r="J1338" s="32" t="str">
        <x:v>μS/cm</x:v>
      </x:c>
    </x:row>
    <x:row r="1339">
      <x:c r="A1339" s="72" t="n">
        <x:v>46240.906863425924</x:v>
      </x:c>
      <x:c r="B1339" s="32" t="str">
        <x:v>土壤EC</x:v>
      </x:c>
      <x:c r="C1339" s="32" t="str">
        <x:v>W2</x:v>
      </x:c>
      <x:c r="D1339" s="32" t="str">
        <x:v>V2</x:v>
      </x:c>
      <x:c r="E1339" s="86" t="n">
        <x:f>COUNT('33_W2_EC'!C35,'33_W2_EC'!E35,'33_W2_EC'!G35,'33_W2_EC'!I35)</x:f>
        <x:v>4</x:v>
      </x:c>
      <x:c r="F1339" s="90" t="n">
        <x:f>IF(E1339=0,"",AVERAGE('33_W2_EC'!C35,'33_W2_EC'!E35,'33_W2_EC'!G35,'33_W2_EC'!I35))</x:f>
        <x:v>961.5</x:v>
      </x:c>
      <x:c r="G1339" s="90" t="n">
        <x:f>IF(E1339&lt;2,"",STDEV.S('33_W2_EC'!C35,'33_W2_EC'!E35,'33_W2_EC'!G35,'33_W2_EC'!I35))</x:f>
        <x:v>86.31917515824627</x:v>
      </x:c>
      <x:c r="H1339" s="90" t="n">
        <x:f>IF(E1339=0,"",MIN('33_W2_EC'!C35,'33_W2_EC'!E35,'33_W2_EC'!G35,'33_W2_EC'!I35))</x:f>
        <x:v>842</x:v>
      </x:c>
      <x:c r="I1339" s="90" t="n">
        <x:f>IF(E1339=0,"",MAX('33_W2_EC'!C35,'33_W2_EC'!E35,'33_W2_EC'!G35,'33_W2_EC'!I35))</x:f>
        <x:v>1037</x:v>
      </x:c>
      <x:c r="J1339" s="32" t="str">
        <x:v>μS/cm</x:v>
      </x:c>
    </x:row>
    <x:row r="1340">
      <x:c r="A1340" s="72" t="n">
        <x:v>46240.91033564815</x:v>
      </x:c>
      <x:c r="B1340" s="32" t="str">
        <x:v>土壤EC</x:v>
      </x:c>
      <x:c r="C1340" s="32" t="str">
        <x:v>W2</x:v>
      </x:c>
      <x:c r="D1340" s="32" t="str">
        <x:v>V1</x:v>
      </x:c>
      <x:c r="E1340" s="86" t="n">
        <x:f>COUNT('33_W2_EC'!B36,'33_W2_EC'!D36,'33_W2_EC'!F36,'33_W2_EC'!H36)</x:f>
        <x:v>4</x:v>
      </x:c>
      <x:c r="F1340" s="90" t="n">
        <x:f>IF(E1340=0,"",AVERAGE('33_W2_EC'!B36,'33_W2_EC'!D36,'33_W2_EC'!F36,'33_W2_EC'!H36))</x:f>
        <x:v>949.75</x:v>
      </x:c>
      <x:c r="G1340" s="90" t="n">
        <x:f>IF(E1340&lt;2,"",STDEV.S('33_W2_EC'!B36,'33_W2_EC'!D36,'33_W2_EC'!F36,'33_W2_EC'!H36))</x:f>
        <x:v>99.77098776698566</x:v>
      </x:c>
      <x:c r="H1340" s="90" t="n">
        <x:f>IF(E1340=0,"",MIN('33_W2_EC'!B36,'33_W2_EC'!D36,'33_W2_EC'!F36,'33_W2_EC'!H36))</x:f>
        <x:v>815</x:v>
      </x:c>
      <x:c r="I1340" s="90" t="n">
        <x:f>IF(E1340=0,"",MAX('33_W2_EC'!B36,'33_W2_EC'!D36,'33_W2_EC'!F36,'33_W2_EC'!H36))</x:f>
        <x:v>1037</x:v>
      </x:c>
      <x:c r="J1340" s="32" t="str">
        <x:v>μS/cm</x:v>
      </x:c>
    </x:row>
    <x:row r="1341">
      <x:c r="A1341" s="72" t="n">
        <x:v>46240.91033564815</x:v>
      </x:c>
      <x:c r="B1341" s="32" t="str">
        <x:v>土壤EC</x:v>
      </x:c>
      <x:c r="C1341" s="32" t="str">
        <x:v>W2</x:v>
      </x:c>
      <x:c r="D1341" s="32" t="str">
        <x:v>V2</x:v>
      </x:c>
      <x:c r="E1341" s="86" t="n">
        <x:f>COUNT('33_W2_EC'!C36,'33_W2_EC'!E36,'33_W2_EC'!G36,'33_W2_EC'!I36)</x:f>
        <x:v>4</x:v>
      </x:c>
      <x:c r="F1341" s="90" t="n">
        <x:f>IF(E1341=0,"",AVERAGE('33_W2_EC'!C36,'33_W2_EC'!E36,'33_W2_EC'!G36,'33_W2_EC'!I36))</x:f>
        <x:v>961.75</x:v>
      </x:c>
      <x:c r="G1341" s="90" t="n">
        <x:f>IF(E1341&lt;2,"",STDEV.S('33_W2_EC'!C36,'33_W2_EC'!E36,'33_W2_EC'!G36,'33_W2_EC'!I36))</x:f>
        <x:v>93.0962763308322</x:v>
      </x:c>
      <x:c r="H1341" s="90" t="n">
        <x:f>IF(E1341=0,"",MIN('33_W2_EC'!C36,'33_W2_EC'!E36,'33_W2_EC'!G36,'33_W2_EC'!I36))</x:f>
        <x:v>834</x:v>
      </x:c>
      <x:c r="I1341" s="90" t="n">
        <x:f>IF(E1341=0,"",MAX('33_W2_EC'!C36,'33_W2_EC'!E36,'33_W2_EC'!G36,'33_W2_EC'!I36))</x:f>
        <x:v>1042</x:v>
      </x:c>
      <x:c r="J1341" s="32" t="str">
        <x:v>μS/cm</x:v>
      </x:c>
    </x:row>
    <x:row r="1342">
      <x:c r="A1342" s="72" t="n">
        <x:v>46240.91380787037</x:v>
      </x:c>
      <x:c r="B1342" s="32" t="str">
        <x:v>土壤EC</x:v>
      </x:c>
      <x:c r="C1342" s="32" t="str">
        <x:v>W2</x:v>
      </x:c>
      <x:c r="D1342" s="32" t="str">
        <x:v>V1</x:v>
      </x:c>
      <x:c r="E1342" s="86" t="n">
        <x:f>COUNT('33_W2_EC'!B37,'33_W2_EC'!D37,'33_W2_EC'!F37,'33_W2_EC'!H37)</x:f>
        <x:v>4</x:v>
      </x:c>
      <x:c r="F1342" s="90" t="n">
        <x:f>IF(E1342=0,"",AVERAGE('33_W2_EC'!B37,'33_W2_EC'!D37,'33_W2_EC'!F37,'33_W2_EC'!H37))</x:f>
        <x:v>949.75</x:v>
      </x:c>
      <x:c r="G1342" s="90" t="n">
        <x:f>IF(E1342&lt;2,"",STDEV.S('33_W2_EC'!B37,'33_W2_EC'!D37,'33_W2_EC'!F37,'33_W2_EC'!H37))</x:f>
        <x:v>105.61683893521273</x:v>
      </x:c>
      <x:c r="H1342" s="90" t="n">
        <x:f>IF(E1342=0,"",MIN('33_W2_EC'!B37,'33_W2_EC'!D37,'33_W2_EC'!F37,'33_W2_EC'!H37))</x:f>
        <x:v>810</x:v>
      </x:c>
      <x:c r="I1342" s="90" t="n">
        <x:f>IF(E1342=0,"",MAX('33_W2_EC'!B37,'33_W2_EC'!D37,'33_W2_EC'!F37,'33_W2_EC'!H37))</x:f>
        <x:v>1045</x:v>
      </x:c>
      <x:c r="J1342" s="32" t="str">
        <x:v>μS/cm</x:v>
      </x:c>
    </x:row>
    <x:row r="1343">
      <x:c r="A1343" s="72" t="n">
        <x:v>46240.91380787037</x:v>
      </x:c>
      <x:c r="B1343" s="32" t="str">
        <x:v>土壤EC</x:v>
      </x:c>
      <x:c r="C1343" s="32" t="str">
        <x:v>W2</x:v>
      </x:c>
      <x:c r="D1343" s="32" t="str">
        <x:v>V2</x:v>
      </x:c>
      <x:c r="E1343" s="86" t="n">
        <x:f>COUNT('33_W2_EC'!C37,'33_W2_EC'!E37,'33_W2_EC'!G37,'33_W2_EC'!I37)</x:f>
        <x:v>4</x:v>
      </x:c>
      <x:c r="F1343" s="90" t="n">
        <x:f>IF(E1343=0,"",AVERAGE('33_W2_EC'!C37,'33_W2_EC'!E37,'33_W2_EC'!G37,'33_W2_EC'!I37))</x:f>
        <x:v>961.75</x:v>
      </x:c>
      <x:c r="G1343" s="90" t="n">
        <x:f>IF(E1343&lt;2,"",STDEV.S('33_W2_EC'!C37,'33_W2_EC'!E37,'33_W2_EC'!G37,'33_W2_EC'!I37))</x:f>
        <x:v>99.77098776698566</x:v>
      </x:c>
      <x:c r="H1343" s="90" t="n">
        <x:f>IF(E1343=0,"",MIN('33_W2_EC'!C37,'33_W2_EC'!E37,'33_W2_EC'!G37,'33_W2_EC'!I37))</x:f>
        <x:v>827</x:v>
      </x:c>
      <x:c r="I1343" s="90" t="n">
        <x:f>IF(E1343=0,"",MAX('33_W2_EC'!C37,'33_W2_EC'!E37,'33_W2_EC'!G37,'33_W2_EC'!I37))</x:f>
        <x:v>1049</x:v>
      </x:c>
      <x:c r="J1343" s="32" t="str">
        <x:v>μS/cm</x:v>
      </x:c>
    </x:row>
    <x:row r="1344">
      <x:c r="A1344" s="72" t="n">
        <x:v>46240.917280092595</x:v>
      </x:c>
      <x:c r="B1344" s="32" t="str">
        <x:v>土壤EC</x:v>
      </x:c>
      <x:c r="C1344" s="32" t="str">
        <x:v>W2</x:v>
      </x:c>
      <x:c r="D1344" s="32" t="str">
        <x:v>V1</x:v>
      </x:c>
      <x:c r="E1344" s="86" t="n">
        <x:f>COUNT('33_W2_EC'!B38,'33_W2_EC'!D38,'33_W2_EC'!F38,'33_W2_EC'!H38)</x:f>
        <x:v>4</x:v>
      </x:c>
      <x:c r="F1344" s="90" t="n">
        <x:f>IF(E1344=0,"",AVERAGE('33_W2_EC'!B38,'33_W2_EC'!D38,'33_W2_EC'!F38,'33_W2_EC'!H38))</x:f>
        <x:v>949.5</x:v>
      </x:c>
      <x:c r="G1344" s="90" t="n">
        <x:f>IF(E1344&lt;2,"",STDEV.S('33_W2_EC'!B38,'33_W2_EC'!D38,'33_W2_EC'!F38,'33_W2_EC'!H38))</x:f>
        <x:v>111.06304515904469</x:v>
      </x:c>
      <x:c r="H1344" s="90" t="n">
        <x:f>IF(E1344=0,"",MIN('33_W2_EC'!B38,'33_W2_EC'!D38,'33_W2_EC'!F38,'33_W2_EC'!H38))</x:f>
        <x:v>806</x:v>
      </x:c>
      <x:c r="I1344" s="90" t="n">
        <x:f>IF(E1344=0,"",MAX('33_W2_EC'!B38,'33_W2_EC'!D38,'33_W2_EC'!F38,'33_W2_EC'!H38))</x:f>
        <x:v>1053</x:v>
      </x:c>
      <x:c r="J1344" s="32" t="str">
        <x:v>μS/cm</x:v>
      </x:c>
    </x:row>
    <x:row r="1345">
      <x:c r="A1345" s="72" t="n">
        <x:v>46240.917280092595</x:v>
      </x:c>
      <x:c r="B1345" s="32" t="str">
        <x:v>土壤EC</x:v>
      </x:c>
      <x:c r="C1345" s="32" t="str">
        <x:v>W2</x:v>
      </x:c>
      <x:c r="D1345" s="32" t="str">
        <x:v>V2</x:v>
      </x:c>
      <x:c r="E1345" s="86" t="n">
        <x:f>COUNT('33_W2_EC'!C38,'33_W2_EC'!E38,'33_W2_EC'!G38,'33_W2_EC'!I38)</x:f>
        <x:v>4</x:v>
      </x:c>
      <x:c r="F1345" s="90" t="n">
        <x:f>IF(E1345=0,"",AVERAGE('33_W2_EC'!C38,'33_W2_EC'!E38,'33_W2_EC'!G38,'33_W2_EC'!I38))</x:f>
        <x:v>961.75</x:v>
      </x:c>
      <x:c r="G1345" s="90" t="n">
        <x:f>IF(E1345&lt;2,"",STDEV.S('33_W2_EC'!C38,'33_W2_EC'!E38,'33_W2_EC'!G38,'33_W2_EC'!I38))</x:f>
        <x:v>105.61683893521273</x:v>
      </x:c>
      <x:c r="H1345" s="90" t="n">
        <x:f>IF(E1345=0,"",MIN('33_W2_EC'!C38,'33_W2_EC'!E38,'33_W2_EC'!G38,'33_W2_EC'!I38))</x:f>
        <x:v>822</x:v>
      </x:c>
      <x:c r="I1345" s="90" t="n">
        <x:f>IF(E1345=0,"",MAX('33_W2_EC'!C38,'33_W2_EC'!E38,'33_W2_EC'!G38,'33_W2_EC'!I38))</x:f>
        <x:v>1057</x:v>
      </x:c>
      <x:c r="J1345" s="32" t="str">
        <x:v>μS/cm</x:v>
      </x:c>
    </x:row>
    <x:row r="1346">
      <x:c r="A1346" s="72" t="n">
        <x:v>46240.920752314814</x:v>
      </x:c>
      <x:c r="B1346" s="32" t="str">
        <x:v>土壤EC</x:v>
      </x:c>
      <x:c r="C1346" s="32" t="str">
        <x:v>W2</x:v>
      </x:c>
      <x:c r="D1346" s="32" t="str">
        <x:v>V1</x:v>
      </x:c>
      <x:c r="E1346" s="86" t="n">
        <x:f>COUNT('33_W2_EC'!B39,'33_W2_EC'!D39,'33_W2_EC'!F39,'33_W2_EC'!H39)</x:f>
        <x:v>4</x:v>
      </x:c>
      <x:c r="F1346" s="90" t="n">
        <x:f>IF(E1346=0,"",AVERAGE('33_W2_EC'!B39,'33_W2_EC'!D39,'33_W2_EC'!F39,'33_W2_EC'!H39))</x:f>
        <x:v>949.25</x:v>
      </x:c>
      <x:c r="G1346" s="90" t="n">
        <x:f>IF(E1346&lt;2,"",STDEV.S('33_W2_EC'!B39,'33_W2_EC'!D39,'33_W2_EC'!F39,'33_W2_EC'!H39))</x:f>
        <x:v>115.25153650458056</x:v>
      </x:c>
      <x:c r="H1346" s="90" t="n">
        <x:f>IF(E1346=0,"",MIN('33_W2_EC'!B39,'33_W2_EC'!D39,'33_W2_EC'!F39,'33_W2_EC'!H39))</x:f>
        <x:v>805</x:v>
      </x:c>
      <x:c r="I1346" s="90" t="n">
        <x:f>IF(E1346=0,"",MAX('33_W2_EC'!B39,'33_W2_EC'!D39,'33_W2_EC'!F39,'33_W2_EC'!H39))</x:f>
        <x:v>1062</x:v>
      </x:c>
      <x:c r="J1346" s="32" t="str">
        <x:v>μS/cm</x:v>
      </x:c>
    </x:row>
    <x:row r="1347">
      <x:c r="A1347" s="72" t="n">
        <x:v>46240.920752314814</x:v>
      </x:c>
      <x:c r="B1347" s="32" t="str">
        <x:v>土壤EC</x:v>
      </x:c>
      <x:c r="C1347" s="32" t="str">
        <x:v>W2</x:v>
      </x:c>
      <x:c r="D1347" s="32" t="str">
        <x:v>V2</x:v>
      </x:c>
      <x:c r="E1347" s="86" t="n">
        <x:f>COUNT('33_W2_EC'!C39,'33_W2_EC'!E39,'33_W2_EC'!G39,'33_W2_EC'!I39)</x:f>
        <x:v>4</x:v>
      </x:c>
      <x:c r="F1347" s="90" t="n">
        <x:f>IF(E1347=0,"",AVERAGE('33_W2_EC'!C39,'33_W2_EC'!E39,'33_W2_EC'!G39,'33_W2_EC'!I39))</x:f>
        <x:v>961.5</x:v>
      </x:c>
      <x:c r="G1347" s="90" t="n">
        <x:f>IF(E1347&lt;2,"",STDEV.S('33_W2_EC'!C39,'33_W2_EC'!E39,'33_W2_EC'!G39,'33_W2_EC'!I39))</x:f>
        <x:v>111.06304515904469</x:v>
      </x:c>
      <x:c r="H1347" s="90" t="n">
        <x:f>IF(E1347=0,"",MIN('33_W2_EC'!C39,'33_W2_EC'!E39,'33_W2_EC'!G39,'33_W2_EC'!I39))</x:f>
        <x:v>818</x:v>
      </x:c>
      <x:c r="I1347" s="90" t="n">
        <x:f>IF(E1347=0,"",MAX('33_W2_EC'!C39,'33_W2_EC'!E39,'33_W2_EC'!G39,'33_W2_EC'!I39))</x:f>
        <x:v>1065</x:v>
      </x:c>
      <x:c r="J1347" s="32" t="str">
        <x:v>μS/cm</x:v>
      </x:c>
    </x:row>
    <x:row r="1348">
      <x:c r="A1348" s="72" t="n">
        <x:v>46240.92422453704</x:v>
      </x:c>
      <x:c r="B1348" s="32" t="str">
        <x:v>土壤EC</x:v>
      </x:c>
      <x:c r="C1348" s="32" t="str">
        <x:v>W2</x:v>
      </x:c>
      <x:c r="D1348" s="32" t="str">
        <x:v>V1</x:v>
      </x:c>
      <x:c r="E1348" s="86" t="n">
        <x:f>COUNT('33_W2_EC'!B40,'33_W2_EC'!D40,'33_W2_EC'!F40,'33_W2_EC'!H40)</x:f>
        <x:v>4</x:v>
      </x:c>
      <x:c r="F1348" s="90" t="n">
        <x:f>IF(E1348=0,"",AVERAGE('33_W2_EC'!B40,'33_W2_EC'!D40,'33_W2_EC'!F40,'33_W2_EC'!H40))</x:f>
        <x:v>948.75</x:v>
      </x:c>
      <x:c r="G1348" s="90" t="n">
        <x:f>IF(E1348&lt;2,"",STDEV.S('33_W2_EC'!B40,'33_W2_EC'!D40,'33_W2_EC'!F40,'33_W2_EC'!H40))</x:f>
        <x:v>118.21273197079915</x:v>
      </x:c>
      <x:c r="H1348" s="90" t="n">
        <x:f>IF(E1348=0,"",MIN('33_W2_EC'!B40,'33_W2_EC'!D40,'33_W2_EC'!F40,'33_W2_EC'!H40))</x:f>
        <x:v>806</x:v>
      </x:c>
      <x:c r="I1348" s="90" t="n">
        <x:f>IF(E1348=0,"",MAX('33_W2_EC'!B40,'33_W2_EC'!D40,'33_W2_EC'!F40,'33_W2_EC'!H40))</x:f>
        <x:v>1070</x:v>
      </x:c>
      <x:c r="J1348" s="32" t="str">
        <x:v>μS/cm</x:v>
      </x:c>
    </x:row>
    <x:row r="1349">
      <x:c r="A1349" s="72" t="n">
        <x:v>46240.92422453704</x:v>
      </x:c>
      <x:c r="B1349" s="32" t="str">
        <x:v>土壤EC</x:v>
      </x:c>
      <x:c r="C1349" s="32" t="str">
        <x:v>W2</x:v>
      </x:c>
      <x:c r="D1349" s="32" t="str">
        <x:v>V2</x:v>
      </x:c>
      <x:c r="E1349" s="86" t="n">
        <x:f>COUNT('33_W2_EC'!C40,'33_W2_EC'!E40,'33_W2_EC'!G40,'33_W2_EC'!I40)</x:f>
        <x:v>4</x:v>
      </x:c>
      <x:c r="F1349" s="90" t="n">
        <x:f>IF(E1349=0,"",AVERAGE('33_W2_EC'!C40,'33_W2_EC'!E40,'33_W2_EC'!G40,'33_W2_EC'!I40))</x:f>
        <x:v>961.25</x:v>
      </x:c>
      <x:c r="G1349" s="90" t="n">
        <x:f>IF(E1349&lt;2,"",STDEV.S('33_W2_EC'!C40,'33_W2_EC'!E40,'33_W2_EC'!G40,'33_W2_EC'!I40))</x:f>
        <x:v>115.25153650458056</x:v>
      </x:c>
      <x:c r="H1349" s="90" t="n">
        <x:f>IF(E1349=0,"",MIN('33_W2_EC'!C40,'33_W2_EC'!E40,'33_W2_EC'!G40,'33_W2_EC'!I40))</x:f>
        <x:v>817</x:v>
      </x:c>
      <x:c r="I1349" s="90" t="n">
        <x:f>IF(E1349=0,"",MAX('33_W2_EC'!C40,'33_W2_EC'!E40,'33_W2_EC'!G40,'33_W2_EC'!I40))</x:f>
        <x:v>1074</x:v>
      </x:c>
      <x:c r="J1349" s="32" t="str">
        <x:v>μS/cm</x:v>
      </x:c>
    </x:row>
    <x:row r="1350">
      <x:c r="A1350" s="72" t="n">
        <x:v>46240.92769675926</x:v>
      </x:c>
      <x:c r="B1350" s="32" t="str">
        <x:v>土壤EC</x:v>
      </x:c>
      <x:c r="C1350" s="32" t="str">
        <x:v>W2</x:v>
      </x:c>
      <x:c r="D1350" s="32" t="str">
        <x:v>V1</x:v>
      </x:c>
      <x:c r="E1350" s="86" t="n">
        <x:f>COUNT('33_W2_EC'!B41,'33_W2_EC'!D41,'33_W2_EC'!F41,'33_W2_EC'!H41)</x:f>
        <x:v>4</x:v>
      </x:c>
      <x:c r="F1350" s="90" t="n">
        <x:f>IF(E1350=0,"",AVERAGE('33_W2_EC'!B41,'33_W2_EC'!D41,'33_W2_EC'!F41,'33_W2_EC'!H41))</x:f>
        <x:v>948.5</x:v>
      </x:c>
      <x:c r="G1350" s="90" t="n">
        <x:f>IF(E1350&lt;2,"",STDEV.S('33_W2_EC'!B41,'33_W2_EC'!D41,'33_W2_EC'!F41,'33_W2_EC'!H41))</x:f>
        <x:v>120.223403157067</x:v>
      </x:c>
      <x:c r="H1350" s="90" t="n">
        <x:f>IF(E1350=0,"",MIN('33_W2_EC'!B41,'33_W2_EC'!D41,'33_W2_EC'!F41,'33_W2_EC'!H41))</x:f>
        <x:v>809</x:v>
      </x:c>
      <x:c r="I1350" s="90" t="n">
        <x:f>IF(E1350=0,"",MAX('33_W2_EC'!B41,'33_W2_EC'!D41,'33_W2_EC'!F41,'33_W2_EC'!H41))</x:f>
        <x:v>1078</x:v>
      </x:c>
      <x:c r="J1350" s="32" t="str">
        <x:v>μS/cm</x:v>
      </x:c>
    </x:row>
    <x:row r="1351">
      <x:c r="A1351" s="72" t="n">
        <x:v>46240.92769675926</x:v>
      </x:c>
      <x:c r="B1351" s="32" t="str">
        <x:v>土壤EC</x:v>
      </x:c>
      <x:c r="C1351" s="32" t="str">
        <x:v>W2</x:v>
      </x:c>
      <x:c r="D1351" s="32" t="str">
        <x:v>V2</x:v>
      </x:c>
      <x:c r="E1351" s="86" t="n">
        <x:f>COUNT('33_W2_EC'!C41,'33_W2_EC'!E41,'33_W2_EC'!G41,'33_W2_EC'!I41)</x:f>
        <x:v>4</x:v>
      </x:c>
      <x:c r="F1351" s="90" t="n">
        <x:f>IF(E1351=0,"",AVERAGE('33_W2_EC'!C41,'33_W2_EC'!E41,'33_W2_EC'!G41,'33_W2_EC'!I41))</x:f>
        <x:v>960.75</x:v>
      </x:c>
      <x:c r="G1351" s="90" t="n">
        <x:f>IF(E1351&lt;2,"",STDEV.S('33_W2_EC'!C41,'33_W2_EC'!E41,'33_W2_EC'!G41,'33_W2_EC'!I41))</x:f>
        <x:v>118.21273197079915</x:v>
      </x:c>
      <x:c r="H1351" s="90" t="n">
        <x:f>IF(E1351=0,"",MIN('33_W2_EC'!C41,'33_W2_EC'!E41,'33_W2_EC'!G41,'33_W2_EC'!I41))</x:f>
        <x:v>818</x:v>
      </x:c>
      <x:c r="I1351" s="90" t="n">
        <x:f>IF(E1351=0,"",MAX('33_W2_EC'!C41,'33_W2_EC'!E41,'33_W2_EC'!G41,'33_W2_EC'!I41))</x:f>
        <x:v>1082</x:v>
      </x:c>
      <x:c r="J1351" s="32" t="str">
        <x:v>μS/cm</x:v>
      </x:c>
    </x:row>
    <x:row r="1352">
      <x:c r="A1352" s="72" t="n">
        <x:v>46240.93116898148</x:v>
      </x:c>
      <x:c r="B1352" s="32" t="str">
        <x:v>土壤EC</x:v>
      </x:c>
      <x:c r="C1352" s="32" t="str">
        <x:v>W2</x:v>
      </x:c>
      <x:c r="D1352" s="32" t="str">
        <x:v>V1</x:v>
      </x:c>
      <x:c r="E1352" s="86" t="n">
        <x:f>COUNT('33_W2_EC'!B42,'33_W2_EC'!D42,'33_W2_EC'!F42,'33_W2_EC'!H42)</x:f>
        <x:v>4</x:v>
      </x:c>
      <x:c r="F1352" s="90" t="n">
        <x:f>IF(E1352=0,"",AVERAGE('33_W2_EC'!B42,'33_W2_EC'!D42,'33_W2_EC'!F42,'33_W2_EC'!H42))</x:f>
        <x:v>948</x:v>
      </x:c>
      <x:c r="G1352" s="90" t="n">
        <x:f>IF(E1352&lt;2,"",STDEV.S('33_W2_EC'!B42,'33_W2_EC'!D42,'33_W2_EC'!F42,'33_W2_EC'!H42))</x:f>
        <x:v>120.62890753601863</x:v>
      </x:c>
      <x:c r="H1352" s="90" t="n">
        <x:f>IF(E1352=0,"",MIN('33_W2_EC'!B42,'33_W2_EC'!D42,'33_W2_EC'!F42,'33_W2_EC'!H42))</x:f>
        <x:v>814</x:v>
      </x:c>
      <x:c r="I1352" s="90" t="n">
        <x:f>IF(E1352=0,"",MAX('33_W2_EC'!B42,'33_W2_EC'!D42,'33_W2_EC'!F42,'33_W2_EC'!H42))</x:f>
        <x:v>1084</x:v>
      </x:c>
      <x:c r="J1352" s="32" t="str">
        <x:v>μS/cm</x:v>
      </x:c>
    </x:row>
    <x:row r="1353">
      <x:c r="A1353" s="72" t="n">
        <x:v>46240.93116898148</x:v>
      </x:c>
      <x:c r="B1353" s="32" t="str">
        <x:v>土壤EC</x:v>
      </x:c>
      <x:c r="C1353" s="32" t="str">
        <x:v>W2</x:v>
      </x:c>
      <x:c r="D1353" s="32" t="str">
        <x:v>V2</x:v>
      </x:c>
      <x:c r="E1353" s="86" t="n">
        <x:f>COUNT('33_W2_EC'!C42,'33_W2_EC'!E42,'33_W2_EC'!G42,'33_W2_EC'!I42)</x:f>
        <x:v>4</x:v>
      </x:c>
      <x:c r="F1353" s="90" t="n">
        <x:f>IF(E1353=0,"",AVERAGE('33_W2_EC'!C42,'33_W2_EC'!E42,'33_W2_EC'!G42,'33_W2_EC'!I42))</x:f>
        <x:v>960.5</x:v>
      </x:c>
      <x:c r="G1353" s="90" t="n">
        <x:f>IF(E1353&lt;2,"",STDEV.S('33_W2_EC'!C42,'33_W2_EC'!E42,'33_W2_EC'!G42,'33_W2_EC'!I42))</x:f>
        <x:v>120.223403157067</x:v>
      </x:c>
      <x:c r="H1353" s="90" t="n">
        <x:f>IF(E1353=0,"",MIN('33_W2_EC'!C42,'33_W2_EC'!E42,'33_W2_EC'!G42,'33_W2_EC'!I42))</x:f>
        <x:v>821</x:v>
      </x:c>
      <x:c r="I1353" s="90" t="n">
        <x:f>IF(E1353=0,"",MAX('33_W2_EC'!C42,'33_W2_EC'!E42,'33_W2_EC'!G42,'33_W2_EC'!I42))</x:f>
        <x:v>1090</x:v>
      </x:c>
      <x:c r="J1353" s="32" t="str">
        <x:v>μS/cm</x:v>
      </x:c>
    </x:row>
    <x:row r="1354">
      <x:c r="A1354" s="72" t="n">
        <x:v>46240.934641203705</x:v>
      </x:c>
      <x:c r="B1354" s="32" t="str">
        <x:v>土壤EC</x:v>
      </x:c>
      <x:c r="C1354" s="32" t="str">
        <x:v>W2</x:v>
      </x:c>
      <x:c r="D1354" s="32" t="str">
        <x:v>V1</x:v>
      </x:c>
      <x:c r="E1354" s="86" t="n">
        <x:f>COUNT('33_W2_EC'!B43,'33_W2_EC'!D43,'33_W2_EC'!F43,'33_W2_EC'!H43)</x:f>
        <x:v>4</x:v>
      </x:c>
      <x:c r="F1354" s="90" t="n">
        <x:f>IF(E1354=0,"",AVERAGE('33_W2_EC'!B43,'33_W2_EC'!D43,'33_W2_EC'!F43,'33_W2_EC'!H43))</x:f>
        <x:v>947.5</x:v>
      </x:c>
      <x:c r="G1354" s="90" t="n">
        <x:f>IF(E1354&lt;2,"",STDEV.S('33_W2_EC'!B43,'33_W2_EC'!D43,'33_W2_EC'!F43,'33_W2_EC'!H43))</x:f>
        <x:v>119.78174596601382</x:v>
      </x:c>
      <x:c r="H1354" s="90" t="n">
        <x:f>IF(E1354=0,"",MIN('33_W2_EC'!B43,'33_W2_EC'!D43,'33_W2_EC'!F43,'33_W2_EC'!H43))</x:f>
        <x:v>820</x:v>
      </x:c>
      <x:c r="I1354" s="90" t="n">
        <x:f>IF(E1354=0,"",MAX('33_W2_EC'!B43,'33_W2_EC'!D43,'33_W2_EC'!F43,'33_W2_EC'!H43))</x:f>
        <x:v>1088</x:v>
      </x:c>
      <x:c r="J1354" s="32" t="str">
        <x:v>μS/cm</x:v>
      </x:c>
    </x:row>
    <x:row r="1355">
      <x:c r="A1355" s="72" t="n">
        <x:v>46240.934641203705</x:v>
      </x:c>
      <x:c r="B1355" s="32" t="str">
        <x:v>土壤EC</x:v>
      </x:c>
      <x:c r="C1355" s="32" t="str">
        <x:v>W2</x:v>
      </x:c>
      <x:c r="D1355" s="32" t="str">
        <x:v>V2</x:v>
      </x:c>
      <x:c r="E1355" s="86" t="n">
        <x:f>COUNT('33_W2_EC'!C43,'33_W2_EC'!E43,'33_W2_EC'!G43,'33_W2_EC'!I43)</x:f>
        <x:v>4</x:v>
      </x:c>
      <x:c r="F1355" s="90" t="n">
        <x:f>IF(E1355=0,"",AVERAGE('33_W2_EC'!C43,'33_W2_EC'!E43,'33_W2_EC'!G43,'33_W2_EC'!I43))</x:f>
        <x:v>960</x:v>
      </x:c>
      <x:c r="G1355" s="90" t="n">
        <x:f>IF(E1355&lt;2,"",STDEV.S('33_W2_EC'!C43,'33_W2_EC'!E43,'33_W2_EC'!G43,'33_W2_EC'!I43))</x:f>
        <x:v>120.62890753601863</x:v>
      </x:c>
      <x:c r="H1355" s="90" t="n">
        <x:f>IF(E1355=0,"",MIN('33_W2_EC'!C43,'33_W2_EC'!E43,'33_W2_EC'!G43,'33_W2_EC'!I43))</x:f>
        <x:v>826</x:v>
      </x:c>
      <x:c r="I1355" s="90" t="n">
        <x:f>IF(E1355=0,"",MAX('33_W2_EC'!C43,'33_W2_EC'!E43,'33_W2_EC'!G43,'33_W2_EC'!I43))</x:f>
        <x:v>1096</x:v>
      </x:c>
      <x:c r="J1355" s="32" t="str">
        <x:v>μS/cm</x:v>
      </x:c>
    </x:row>
    <x:row r="1356">
      <x:c r="A1356" s="72" t="n">
        <x:v>46240.938113425924</x:v>
      </x:c>
      <x:c r="B1356" s="32" t="str">
        <x:v>土壤EC</x:v>
      </x:c>
      <x:c r="C1356" s="32" t="str">
        <x:v>W2</x:v>
      </x:c>
      <x:c r="D1356" s="32" t="str">
        <x:v>V1</x:v>
      </x:c>
      <x:c r="E1356" s="86" t="n">
        <x:f>COUNT('33_W2_EC'!B44,'33_W2_EC'!D44,'33_W2_EC'!F44,'33_W2_EC'!H44)</x:f>
        <x:v>4</x:v>
      </x:c>
      <x:c r="F1356" s="90" t="n">
        <x:f>IF(E1356=0,"",AVERAGE('33_W2_EC'!B44,'33_W2_EC'!D44,'33_W2_EC'!F44,'33_W2_EC'!H44))</x:f>
        <x:v>947.25</x:v>
      </x:c>
      <x:c r="G1356" s="90" t="n">
        <x:f>IF(E1356&lt;2,"",STDEV.S('33_W2_EC'!B44,'33_W2_EC'!D44,'33_W2_EC'!F44,'33_W2_EC'!H44))</x:f>
        <x:v>117.87387327139123</x:v>
      </x:c>
      <x:c r="H1356" s="90" t="n">
        <x:f>IF(E1356=0,"",MIN('33_W2_EC'!B44,'33_W2_EC'!D44,'33_W2_EC'!F44,'33_W2_EC'!H44))</x:f>
        <x:v>828</x:v>
      </x:c>
      <x:c r="I1356" s="90" t="n">
        <x:f>IF(E1356=0,"",MAX('33_W2_EC'!B44,'33_W2_EC'!D44,'33_W2_EC'!F44,'33_W2_EC'!H44))</x:f>
        <x:v>1091</x:v>
      </x:c>
      <x:c r="J1356" s="32" t="str">
        <x:v>μS/cm</x:v>
      </x:c>
    </x:row>
    <x:row r="1357">
      <x:c r="A1357" s="72" t="n">
        <x:v>46240.938113425924</x:v>
      </x:c>
      <x:c r="B1357" s="32" t="str">
        <x:v>土壤EC</x:v>
      </x:c>
      <x:c r="C1357" s="32" t="str">
        <x:v>W2</x:v>
      </x:c>
      <x:c r="D1357" s="32" t="str">
        <x:v>V2</x:v>
      </x:c>
      <x:c r="E1357" s="86" t="n">
        <x:f>COUNT('33_W2_EC'!C44,'33_W2_EC'!E44,'33_W2_EC'!G44,'33_W2_EC'!I44)</x:f>
        <x:v>4</x:v>
      </x:c>
      <x:c r="F1357" s="90" t="n">
        <x:f>IF(E1357=0,"",AVERAGE('33_W2_EC'!C44,'33_W2_EC'!E44,'33_W2_EC'!G44,'33_W2_EC'!I44))</x:f>
        <x:v>959.5</x:v>
      </x:c>
      <x:c r="G1357" s="90" t="n">
        <x:f>IF(E1357&lt;2,"",STDEV.S('33_W2_EC'!C44,'33_W2_EC'!E44,'33_W2_EC'!G44,'33_W2_EC'!I44))</x:f>
        <x:v>119.78174596601382</x:v>
      </x:c>
      <x:c r="H1357" s="90" t="n">
        <x:f>IF(E1357=0,"",MIN('33_W2_EC'!C44,'33_W2_EC'!E44,'33_W2_EC'!G44,'33_W2_EC'!I44))</x:f>
        <x:v>832</x:v>
      </x:c>
      <x:c r="I1357" s="90" t="n">
        <x:f>IF(E1357=0,"",MAX('33_W2_EC'!C44,'33_W2_EC'!E44,'33_W2_EC'!G44,'33_W2_EC'!I44))</x:f>
        <x:v>1100</x:v>
      </x:c>
      <x:c r="J1357" s="32" t="str">
        <x:v>μS/cm</x:v>
      </x:c>
    </x:row>
    <x:row r="1358">
      <x:c r="A1358" s="72" t="n">
        <x:v>46240.94158564815</x:v>
      </x:c>
      <x:c r="B1358" s="32" t="str">
        <x:v>土壤EC</x:v>
      </x:c>
      <x:c r="C1358" s="32" t="str">
        <x:v>W2</x:v>
      </x:c>
      <x:c r="D1358" s="32" t="str">
        <x:v>V1</x:v>
      </x:c>
      <x:c r="E1358" s="86" t="n">
        <x:f>COUNT('33_W2_EC'!B45,'33_W2_EC'!D45,'33_W2_EC'!F45,'33_W2_EC'!H45)</x:f>
        <x:v>4</x:v>
      </x:c>
      <x:c r="F1358" s="90" t="n">
        <x:f>IF(E1358=0,"",AVERAGE('33_W2_EC'!B45,'33_W2_EC'!D45,'33_W2_EC'!F45,'33_W2_EC'!H45))</x:f>
        <x:v>946.75</x:v>
      </x:c>
      <x:c r="G1358" s="90" t="n">
        <x:f>IF(E1358&lt;2,"",STDEV.S('33_W2_EC'!B45,'33_W2_EC'!D45,'33_W2_EC'!F45,'33_W2_EC'!H45))</x:f>
        <x:v>114.38640653504244</x:v>
      </x:c>
      <x:c r="H1358" s="90" t="n">
        <x:f>IF(E1358=0,"",MIN('33_W2_EC'!B45,'33_W2_EC'!D45,'33_W2_EC'!F45,'33_W2_EC'!H45))</x:f>
        <x:v>836</x:v>
      </x:c>
      <x:c r="I1358" s="90" t="n">
        <x:f>IF(E1358=0,"",MAX('33_W2_EC'!B45,'33_W2_EC'!D45,'33_W2_EC'!F45,'33_W2_EC'!H45))</x:f>
        <x:v>1091</x:v>
      </x:c>
      <x:c r="J1358" s="32" t="str">
        <x:v>μS/cm</x:v>
      </x:c>
    </x:row>
    <x:row r="1359">
      <x:c r="A1359" s="72" t="n">
        <x:v>46240.94158564815</x:v>
      </x:c>
      <x:c r="B1359" s="32" t="str">
        <x:v>土壤EC</x:v>
      </x:c>
      <x:c r="C1359" s="32" t="str">
        <x:v>W2</x:v>
      </x:c>
      <x:c r="D1359" s="32" t="str">
        <x:v>V2</x:v>
      </x:c>
      <x:c r="E1359" s="86" t="n">
        <x:f>COUNT('33_W2_EC'!C45,'33_W2_EC'!E45,'33_W2_EC'!G45,'33_W2_EC'!I45)</x:f>
        <x:v>4</x:v>
      </x:c>
      <x:c r="F1359" s="90" t="n">
        <x:f>IF(E1359=0,"",AVERAGE('33_W2_EC'!C45,'33_W2_EC'!E45,'33_W2_EC'!G45,'33_W2_EC'!I45))</x:f>
        <x:v>959.25</x:v>
      </x:c>
      <x:c r="G1359" s="90" t="n">
        <x:f>IF(E1359&lt;2,"",STDEV.S('33_W2_EC'!C45,'33_W2_EC'!E45,'33_W2_EC'!G45,'33_W2_EC'!I45))</x:f>
        <x:v>117.87387327139123</x:v>
      </x:c>
      <x:c r="H1359" s="90" t="n">
        <x:f>IF(E1359=0,"",MIN('33_W2_EC'!C45,'33_W2_EC'!E45,'33_W2_EC'!G45,'33_W2_EC'!I45))</x:f>
        <x:v>840</x:v>
      </x:c>
      <x:c r="I1359" s="90" t="n">
        <x:f>IF(E1359=0,"",MAX('33_W2_EC'!C45,'33_W2_EC'!E45,'33_W2_EC'!G45,'33_W2_EC'!I45))</x:f>
        <x:v>1103</x:v>
      </x:c>
      <x:c r="J1359" s="32" t="str">
        <x:v>μS/cm</x:v>
      </x:c>
    </x:row>
    <x:row r="1360">
      <x:c r="A1360" s="72" t="n">
        <x:v>46240.94505787037</x:v>
      </x:c>
      <x:c r="B1360" s="32" t="str">
        <x:v>土壤EC</x:v>
      </x:c>
      <x:c r="C1360" s="32" t="str">
        <x:v>W2</x:v>
      </x:c>
      <x:c r="D1360" s="32" t="str">
        <x:v>V1</x:v>
      </x:c>
      <x:c r="E1360" s="86" t="n">
        <x:f>COUNT('33_W2_EC'!B46,'33_W2_EC'!D46,'33_W2_EC'!F46,'33_W2_EC'!H46)</x:f>
        <x:v>4</x:v>
      </x:c>
      <x:c r="F1360" s="90" t="n">
        <x:f>IF(E1360=0,"",AVERAGE('33_W2_EC'!B46,'33_W2_EC'!D46,'33_W2_EC'!F46,'33_W2_EC'!H46))</x:f>
        <x:v>946.5</x:v>
      </x:c>
      <x:c r="G1360" s="90" t="n">
        <x:f>IF(E1360&lt;2,"",STDEV.S('33_W2_EC'!B46,'33_W2_EC'!D46,'33_W2_EC'!F46,'33_W2_EC'!H46))</x:f>
        <x:v>109.63119993870357</x:v>
      </x:c>
      <x:c r="H1360" s="90" t="n">
        <x:f>IF(E1360=0,"",MIN('33_W2_EC'!B46,'33_W2_EC'!D46,'33_W2_EC'!F46,'33_W2_EC'!H46))</x:f>
        <x:v>845</x:v>
      </x:c>
      <x:c r="I1360" s="90" t="n">
        <x:f>IF(E1360=0,"",MAX('33_W2_EC'!B46,'33_W2_EC'!D46,'33_W2_EC'!F46,'33_W2_EC'!H46))</x:f>
        <x:v>1089</x:v>
      </x:c>
      <x:c r="J1360" s="32" t="str">
        <x:v>μS/cm</x:v>
      </x:c>
    </x:row>
    <x:row r="1361">
      <x:c r="A1361" s="72" t="n">
        <x:v>46240.94505787037</x:v>
      </x:c>
      <x:c r="B1361" s="32" t="str">
        <x:v>土壤EC</x:v>
      </x:c>
      <x:c r="C1361" s="32" t="str">
        <x:v>W2</x:v>
      </x:c>
      <x:c r="D1361" s="32" t="str">
        <x:v>V2</x:v>
      </x:c>
      <x:c r="E1361" s="86" t="n">
        <x:f>COUNT('33_W2_EC'!C46,'33_W2_EC'!E46,'33_W2_EC'!G46,'33_W2_EC'!I46)</x:f>
        <x:v>4</x:v>
      </x:c>
      <x:c r="F1361" s="90" t="n">
        <x:f>IF(E1361=0,"",AVERAGE('33_W2_EC'!C46,'33_W2_EC'!E46,'33_W2_EC'!G46,'33_W2_EC'!I46))</x:f>
        <x:v>958.75</x:v>
      </x:c>
      <x:c r="G1361" s="90" t="n">
        <x:f>IF(E1361&lt;2,"",STDEV.S('33_W2_EC'!C46,'33_W2_EC'!E46,'33_W2_EC'!G46,'33_W2_EC'!I46))</x:f>
        <x:v>114.38640653504244</x:v>
      </x:c>
      <x:c r="H1361" s="90" t="n">
        <x:f>IF(E1361=0,"",MIN('33_W2_EC'!C46,'33_W2_EC'!E46,'33_W2_EC'!G46,'33_W2_EC'!I46))</x:f>
        <x:v>848</x:v>
      </x:c>
      <x:c r="I1361" s="90" t="n">
        <x:f>IF(E1361=0,"",MAX('33_W2_EC'!C46,'33_W2_EC'!E46,'33_W2_EC'!G46,'33_W2_EC'!I46))</x:f>
        <x:v>1103</x:v>
      </x:c>
      <x:c r="J1361" s="32" t="str">
        <x:v>μS/cm</x:v>
      </x:c>
    </x:row>
    <x:row r="1362">
      <x:c r="A1362" s="72" t="n">
        <x:v>46240.948530092595</x:v>
      </x:c>
      <x:c r="B1362" s="32" t="str">
        <x:v>土壤EC</x:v>
      </x:c>
      <x:c r="C1362" s="32" t="str">
        <x:v>W2</x:v>
      </x:c>
      <x:c r="D1362" s="32" t="str">
        <x:v>V1</x:v>
      </x:c>
      <x:c r="E1362" s="86" t="n">
        <x:f>COUNT('33_W2_EC'!B47,'33_W2_EC'!D47,'33_W2_EC'!F47,'33_W2_EC'!H47)</x:f>
        <x:v>4</x:v>
      </x:c>
      <x:c r="F1362" s="90" t="n">
        <x:f>IF(E1362=0,"",AVERAGE('33_W2_EC'!B47,'33_W2_EC'!D47,'33_W2_EC'!F47,'33_W2_EC'!H47))</x:f>
        <x:v>946.25</x:v>
      </x:c>
      <x:c r="G1362" s="90" t="n">
        <x:f>IF(E1362&lt;2,"",STDEV.S('33_W2_EC'!B47,'33_W2_EC'!D47,'33_W2_EC'!F47,'33_W2_EC'!H47))</x:f>
        <x:v>104.23491097836015</x:v>
      </x:c>
      <x:c r="H1362" s="90" t="n">
        <x:f>IF(E1362=0,"",MIN('33_W2_EC'!B47,'33_W2_EC'!D47,'33_W2_EC'!F47,'33_W2_EC'!H47))</x:f>
        <x:v>853</x:v>
      </x:c>
      <x:c r="I1362" s="90" t="n">
        <x:f>IF(E1362=0,"",MAX('33_W2_EC'!B47,'33_W2_EC'!D47,'33_W2_EC'!F47,'33_W2_EC'!H47))</x:f>
        <x:v>1085</x:v>
      </x:c>
      <x:c r="J1362" s="32" t="str">
        <x:v>μS/cm</x:v>
      </x:c>
    </x:row>
    <x:row r="1363">
      <x:c r="A1363" s="72" t="n">
        <x:v>46240.948530092595</x:v>
      </x:c>
      <x:c r="B1363" s="32" t="str">
        <x:v>土壤EC</x:v>
      </x:c>
      <x:c r="C1363" s="32" t="str">
        <x:v>W2</x:v>
      </x:c>
      <x:c r="D1363" s="32" t="str">
        <x:v>V2</x:v>
      </x:c>
      <x:c r="E1363" s="86" t="n">
        <x:f>COUNT('33_W2_EC'!C47,'33_W2_EC'!E47,'33_W2_EC'!G47,'33_W2_EC'!I47)</x:f>
        <x:v>4</x:v>
      </x:c>
      <x:c r="F1363" s="90" t="n">
        <x:f>IF(E1363=0,"",AVERAGE('33_W2_EC'!C47,'33_W2_EC'!E47,'33_W2_EC'!G47,'33_W2_EC'!I47))</x:f>
        <x:v>958.5</x:v>
      </x:c>
      <x:c r="G1363" s="90" t="n">
        <x:f>IF(E1363&lt;2,"",STDEV.S('33_W2_EC'!C47,'33_W2_EC'!E47,'33_W2_EC'!G47,'33_W2_EC'!I47))</x:f>
        <x:v>109.63119993870357</x:v>
      </x:c>
      <x:c r="H1363" s="90" t="n">
        <x:f>IF(E1363=0,"",MIN('33_W2_EC'!C47,'33_W2_EC'!E47,'33_W2_EC'!G47,'33_W2_EC'!I47))</x:f>
        <x:v>857</x:v>
      </x:c>
      <x:c r="I1363" s="90" t="n">
        <x:f>IF(E1363=0,"",MAX('33_W2_EC'!C47,'33_W2_EC'!E47,'33_W2_EC'!G47,'33_W2_EC'!I47))</x:f>
        <x:v>1101</x:v>
      </x:c>
      <x:c r="J1363" s="32" t="str">
        <x:v>μS/cm</x:v>
      </x:c>
    </x:row>
    <x:row r="1364">
      <x:c r="A1364" s="72" t="n">
        <x:v>46240.952002314814</x:v>
      </x:c>
      <x:c r="B1364" s="32" t="str">
        <x:v>土壤EC</x:v>
      </x:c>
      <x:c r="C1364" s="32" t="str">
        <x:v>W2</x:v>
      </x:c>
      <x:c r="D1364" s="32" t="str">
        <x:v>V1</x:v>
      </x:c>
      <x:c r="E1364" s="86" t="n">
        <x:f>COUNT('33_W2_EC'!B48,'33_W2_EC'!D48,'33_W2_EC'!F48,'33_W2_EC'!H48)</x:f>
        <x:v>4</x:v>
      </x:c>
      <x:c r="F1364" s="90" t="n">
        <x:f>IF(E1364=0,"",AVERAGE('33_W2_EC'!B48,'33_W2_EC'!D48,'33_W2_EC'!F48,'33_W2_EC'!H48))</x:f>
        <x:v>946.25</x:v>
      </x:c>
      <x:c r="G1364" s="90" t="n">
        <x:f>IF(E1364&lt;2,"",STDEV.S('33_W2_EC'!B48,'33_W2_EC'!D48,'33_W2_EC'!F48,'33_W2_EC'!H48))</x:f>
        <x:v>97.7799400013452</x:v>
      </x:c>
      <x:c r="H1364" s="90" t="n">
        <x:f>IF(E1364=0,"",MIN('33_W2_EC'!B48,'33_W2_EC'!D48,'33_W2_EC'!F48,'33_W2_EC'!H48))</x:f>
        <x:v>861</x:v>
      </x:c>
      <x:c r="I1364" s="90" t="n">
        <x:f>IF(E1364=0,"",MAX('33_W2_EC'!B48,'33_W2_EC'!D48,'33_W2_EC'!F48,'33_W2_EC'!H48))</x:f>
        <x:v>1079</x:v>
      </x:c>
      <x:c r="J1364" s="32" t="str">
        <x:v>μS/cm</x:v>
      </x:c>
    </x:row>
    <x:row r="1365">
      <x:c r="A1365" s="72" t="n">
        <x:v>46240.952002314814</x:v>
      </x:c>
      <x:c r="B1365" s="32" t="str">
        <x:v>土壤EC</x:v>
      </x:c>
      <x:c r="C1365" s="32" t="str">
        <x:v>W2</x:v>
      </x:c>
      <x:c r="D1365" s="32" t="str">
        <x:v>V2</x:v>
      </x:c>
      <x:c r="E1365" s="86" t="n">
        <x:f>COUNT('33_W2_EC'!C48,'33_W2_EC'!E48,'33_W2_EC'!G48,'33_W2_EC'!I48)</x:f>
        <x:v>4</x:v>
      </x:c>
      <x:c r="F1365" s="90" t="n">
        <x:f>IF(E1365=0,"",AVERAGE('33_W2_EC'!C48,'33_W2_EC'!E48,'33_W2_EC'!G48,'33_W2_EC'!I48))</x:f>
        <x:v>958.25</x:v>
      </x:c>
      <x:c r="G1365" s="90" t="n">
        <x:f>IF(E1365&lt;2,"",STDEV.S('33_W2_EC'!C48,'33_W2_EC'!E48,'33_W2_EC'!G48,'33_W2_EC'!I48))</x:f>
        <x:v>104.23491097836015</x:v>
      </x:c>
      <x:c r="H1365" s="90" t="n">
        <x:f>IF(E1365=0,"",MIN('33_W2_EC'!C48,'33_W2_EC'!E48,'33_W2_EC'!G48,'33_W2_EC'!I48))</x:f>
        <x:v>865</x:v>
      </x:c>
      <x:c r="I1365" s="90" t="n">
        <x:f>IF(E1365=0,"",MAX('33_W2_EC'!C48,'33_W2_EC'!E48,'33_W2_EC'!G48,'33_W2_EC'!I48))</x:f>
        <x:v>1097</x:v>
      </x:c>
      <x:c r="J1365" s="32" t="str">
        <x:v>μS/cm</x:v>
      </x:c>
    </x:row>
    <x:row r="1366">
      <x:c r="A1366" s="72" t="n">
        <x:v>46240.95547453704</x:v>
      </x:c>
      <x:c r="B1366" s="32" t="str">
        <x:v>土壤EC</x:v>
      </x:c>
      <x:c r="C1366" s="32" t="str">
        <x:v>W2</x:v>
      </x:c>
      <x:c r="D1366" s="32" t="str">
        <x:v>V1</x:v>
      </x:c>
      <x:c r="E1366" s="86" t="n">
        <x:f>COUNT('33_W2_EC'!B49,'33_W2_EC'!D49,'33_W2_EC'!F49,'33_W2_EC'!H49)</x:f>
        <x:v>4</x:v>
      </x:c>
      <x:c r="F1366" s="90" t="n">
        <x:f>IF(E1366=0,"",AVERAGE('33_W2_EC'!B49,'33_W2_EC'!D49,'33_W2_EC'!F49,'33_W2_EC'!H49))</x:f>
        <x:v>946.25</x:v>
      </x:c>
      <x:c r="G1366" s="90" t="n">
        <x:f>IF(E1366&lt;2,"",STDEV.S('33_W2_EC'!B49,'33_W2_EC'!D49,'33_W2_EC'!F49,'33_W2_EC'!H49))</x:f>
        <x:v>91.4635628725086</x:v>
      </x:c>
      <x:c r="H1366" s="90" t="n">
        <x:f>IF(E1366=0,"",MIN('33_W2_EC'!B49,'33_W2_EC'!D49,'33_W2_EC'!F49,'33_W2_EC'!H49))</x:f>
        <x:v>867</x:v>
      </x:c>
      <x:c r="I1366" s="90" t="n">
        <x:f>IF(E1366=0,"",MAX('33_W2_EC'!B49,'33_W2_EC'!D49,'33_W2_EC'!F49,'33_W2_EC'!H49))</x:f>
        <x:v>1072</x:v>
      </x:c>
      <x:c r="J1366" s="32" t="str">
        <x:v>μS/cm</x:v>
      </x:c>
    </x:row>
    <x:row r="1367">
      <x:c r="A1367" s="72" t="n">
        <x:v>46240.95547453704</x:v>
      </x:c>
      <x:c r="B1367" s="32" t="str">
        <x:v>土壤EC</x:v>
      </x:c>
      <x:c r="C1367" s="32" t="str">
        <x:v>W2</x:v>
      </x:c>
      <x:c r="D1367" s="32" t="str">
        <x:v>V2</x:v>
      </x:c>
      <x:c r="E1367" s="86" t="n">
        <x:f>COUNT('33_W2_EC'!C49,'33_W2_EC'!E49,'33_W2_EC'!G49,'33_W2_EC'!I49)</x:f>
        <x:v>4</x:v>
      </x:c>
      <x:c r="F1367" s="90" t="n">
        <x:f>IF(E1367=0,"",AVERAGE('33_W2_EC'!C49,'33_W2_EC'!E49,'33_W2_EC'!G49,'33_W2_EC'!I49))</x:f>
        <x:v>958.25</x:v>
      </x:c>
      <x:c r="G1367" s="90" t="n">
        <x:f>IF(E1367&lt;2,"",STDEV.S('33_W2_EC'!C49,'33_W2_EC'!E49,'33_W2_EC'!G49,'33_W2_EC'!I49))</x:f>
        <x:v>97.7799400013452</x:v>
      </x:c>
      <x:c r="H1367" s="90" t="n">
        <x:f>IF(E1367=0,"",MIN('33_W2_EC'!C49,'33_W2_EC'!E49,'33_W2_EC'!G49,'33_W2_EC'!I49))</x:f>
        <x:v>873</x:v>
      </x:c>
      <x:c r="I1367" s="90" t="n">
        <x:f>IF(E1367=0,"",MAX('33_W2_EC'!C49,'33_W2_EC'!E49,'33_W2_EC'!G49,'33_W2_EC'!I49))</x:f>
        <x:v>1091</x:v>
      </x:c>
      <x:c r="J1367" s="32" t="str">
        <x:v>μS/cm</x:v>
      </x:c>
    </x:row>
    <x:row r="1368">
      <x:c r="A1368" s="72" t="n">
        <x:v>46240.95894675926</x:v>
      </x:c>
      <x:c r="B1368" s="32" t="str">
        <x:v>土壤EC</x:v>
      </x:c>
      <x:c r="C1368" s="32" t="str">
        <x:v>W2</x:v>
      </x:c>
      <x:c r="D1368" s="32" t="str">
        <x:v>V1</x:v>
      </x:c>
      <x:c r="E1368" s="86" t="n">
        <x:f>COUNT('33_W2_EC'!B50,'33_W2_EC'!D50,'33_W2_EC'!F50,'33_W2_EC'!H50)</x:f>
        <x:v>4</x:v>
      </x:c>
      <x:c r="F1368" s="90" t="n">
        <x:f>IF(E1368=0,"",AVERAGE('33_W2_EC'!B50,'33_W2_EC'!D50,'33_W2_EC'!F50,'33_W2_EC'!H50))</x:f>
        <x:v>946.5</x:v>
      </x:c>
      <x:c r="G1368" s="90" t="n">
        <x:f>IF(E1368&lt;2,"",STDEV.S('33_W2_EC'!B50,'33_W2_EC'!D50,'33_W2_EC'!F50,'33_W2_EC'!H50))</x:f>
        <x:v>84.71717653463199</x:v>
      </x:c>
      <x:c r="H1368" s="90" t="n">
        <x:f>IF(E1368=0,"",MIN('33_W2_EC'!B50,'33_W2_EC'!D50,'33_W2_EC'!F50,'33_W2_EC'!H50))</x:f>
        <x:v>872</x:v>
      </x:c>
      <x:c r="I1368" s="90" t="n">
        <x:f>IF(E1368=0,"",MAX('33_W2_EC'!B50,'33_W2_EC'!D50,'33_W2_EC'!F50,'33_W2_EC'!H50))</x:f>
        <x:v>1064</x:v>
      </x:c>
      <x:c r="J1368" s="32" t="str">
        <x:v>μS/cm</x:v>
      </x:c>
    </x:row>
    <x:row r="1369">
      <x:c r="A1369" s="72" t="n">
        <x:v>46240.95894675926</x:v>
      </x:c>
      <x:c r="B1369" s="32" t="str">
        <x:v>土壤EC</x:v>
      </x:c>
      <x:c r="C1369" s="32" t="str">
        <x:v>W2</x:v>
      </x:c>
      <x:c r="D1369" s="32" t="str">
        <x:v>V2</x:v>
      </x:c>
      <x:c r="E1369" s="86" t="n">
        <x:f>COUNT('33_W2_EC'!C50,'33_W2_EC'!E50,'33_W2_EC'!G50,'33_W2_EC'!I50)</x:f>
        <x:v>4</x:v>
      </x:c>
      <x:c r="F1369" s="90" t="n">
        <x:f>IF(E1369=0,"",AVERAGE('33_W2_EC'!C50,'33_W2_EC'!E50,'33_W2_EC'!G50,'33_W2_EC'!I50))</x:f>
        <x:v>958.25</x:v>
      </x:c>
      <x:c r="G1369" s="90" t="n">
        <x:f>IF(E1369&lt;2,"",STDEV.S('33_W2_EC'!C50,'33_W2_EC'!E50,'33_W2_EC'!G50,'33_W2_EC'!I50))</x:f>
        <x:v>91.4635628725086</x:v>
      </x:c>
      <x:c r="H1369" s="90" t="n">
        <x:f>IF(E1369=0,"",MIN('33_W2_EC'!C50,'33_W2_EC'!E50,'33_W2_EC'!G50,'33_W2_EC'!I50))</x:f>
        <x:v>879</x:v>
      </x:c>
      <x:c r="I1369" s="90" t="n">
        <x:f>IF(E1369=0,"",MAX('33_W2_EC'!C50,'33_W2_EC'!E50,'33_W2_EC'!G50,'33_W2_EC'!I50))</x:f>
        <x:v>1084</x:v>
      </x:c>
      <x:c r="J1369" s="32" t="str">
        <x:v>μS/cm</x:v>
      </x:c>
    </x:row>
    <x:row r="1370">
      <x:c r="A1370" s="72" t="n">
        <x:v>46240.96241898148</x:v>
      </x:c>
      <x:c r="B1370" s="32" t="str">
        <x:v>土壤EC</x:v>
      </x:c>
      <x:c r="C1370" s="32" t="str">
        <x:v>W2</x:v>
      </x:c>
      <x:c r="D1370" s="32" t="str">
        <x:v>V1</x:v>
      </x:c>
      <x:c r="E1370" s="86" t="n">
        <x:f>COUNT('33_W2_EC'!B51,'33_W2_EC'!D51,'33_W2_EC'!F51,'33_W2_EC'!H51)</x:f>
        <x:v>4</x:v>
      </x:c>
      <x:c r="F1370" s="90" t="n">
        <x:f>IF(E1370=0,"",AVERAGE('33_W2_EC'!B51,'33_W2_EC'!D51,'33_W2_EC'!F51,'33_W2_EC'!H51))</x:f>
        <x:v>946.5</x:v>
      </x:c>
      <x:c r="G1370" s="90" t="n">
        <x:f>IF(E1370&lt;2,"",STDEV.S('33_W2_EC'!B51,'33_W2_EC'!D51,'33_W2_EC'!F51,'33_W2_EC'!H51))</x:f>
        <x:v>78.56419880157458</x:v>
      </x:c>
      <x:c r="H1370" s="90" t="n">
        <x:f>IF(E1370=0,"",MIN('33_W2_EC'!B51,'33_W2_EC'!D51,'33_W2_EC'!F51,'33_W2_EC'!H51))</x:f>
        <x:v>874</x:v>
      </x:c>
      <x:c r="I1370" s="90" t="n">
        <x:f>IF(E1370=0,"",MAX('33_W2_EC'!B51,'33_W2_EC'!D51,'33_W2_EC'!F51,'33_W2_EC'!H51))</x:f>
        <x:v>1055</x:v>
      </x:c>
      <x:c r="J1370" s="32" t="str">
        <x:v>μS/cm</x:v>
      </x:c>
    </x:row>
    <x:row r="1371">
      <x:c r="A1371" s="72" t="n">
        <x:v>46240.96241898148</x:v>
      </x:c>
      <x:c r="B1371" s="32" t="str">
        <x:v>土壤EC</x:v>
      </x:c>
      <x:c r="C1371" s="32" t="str">
        <x:v>W2</x:v>
      </x:c>
      <x:c r="D1371" s="32" t="str">
        <x:v>V2</x:v>
      </x:c>
      <x:c r="E1371" s="86" t="n">
        <x:f>COUNT('33_W2_EC'!C51,'33_W2_EC'!E51,'33_W2_EC'!G51,'33_W2_EC'!I51)</x:f>
        <x:v>4</x:v>
      </x:c>
      <x:c r="F1371" s="90" t="n">
        <x:f>IF(E1371=0,"",AVERAGE('33_W2_EC'!C51,'33_W2_EC'!E51,'33_W2_EC'!G51,'33_W2_EC'!I51))</x:f>
        <x:v>958.5</x:v>
      </x:c>
      <x:c r="G1371" s="90" t="n">
        <x:f>IF(E1371&lt;2,"",STDEV.S('33_W2_EC'!C51,'33_W2_EC'!E51,'33_W2_EC'!G51,'33_W2_EC'!I51))</x:f>
        <x:v>84.71717653463199</x:v>
      </x:c>
      <x:c r="H1371" s="90" t="n">
        <x:f>IF(E1371=0,"",MIN('33_W2_EC'!C51,'33_W2_EC'!E51,'33_W2_EC'!G51,'33_W2_EC'!I51))</x:f>
        <x:v>884</x:v>
      </x:c>
      <x:c r="I1371" s="90" t="n">
        <x:f>IF(E1371=0,"",MAX('33_W2_EC'!C51,'33_W2_EC'!E51,'33_W2_EC'!G51,'33_W2_EC'!I51))</x:f>
        <x:v>1076</x:v>
      </x:c>
      <x:c r="J1371" s="32" t="str">
        <x:v>μS/cm</x:v>
      </x:c>
    </x:row>
    <x:row r="1372">
      <x:c r="A1372" s="72" t="n">
        <x:v>46240.965891203705</x:v>
      </x:c>
      <x:c r="B1372" s="32" t="str">
        <x:v>土壤EC</x:v>
      </x:c>
      <x:c r="C1372" s="32" t="str">
        <x:v>W2</x:v>
      </x:c>
      <x:c r="D1372" s="32" t="str">
        <x:v>V1</x:v>
      </x:c>
      <x:c r="E1372" s="86" t="n">
        <x:f>COUNT('33_W2_EC'!B52,'33_W2_EC'!D52,'33_W2_EC'!F52,'33_W2_EC'!H52)</x:f>
        <x:v>4</x:v>
      </x:c>
      <x:c r="F1372" s="90" t="n">
        <x:f>IF(E1372=0,"",AVERAGE('33_W2_EC'!B52,'33_W2_EC'!D52,'33_W2_EC'!F52,'33_W2_EC'!H52))</x:f>
        <x:v>947</x:v>
      </x:c>
      <x:c r="G1372" s="90" t="n">
        <x:f>IF(E1372&lt;2,"",STDEV.S('33_W2_EC'!B52,'33_W2_EC'!D52,'33_W2_EC'!F52,'33_W2_EC'!H52))</x:f>
        <x:v>72.78736154031138</x:v>
      </x:c>
      <x:c r="H1372" s="90" t="n">
        <x:f>IF(E1372=0,"",MIN('33_W2_EC'!B52,'33_W2_EC'!D52,'33_W2_EC'!F52,'33_W2_EC'!H52))</x:f>
        <x:v>875</x:v>
      </x:c>
      <x:c r="I1372" s="90" t="n">
        <x:f>IF(E1372=0,"",MAX('33_W2_EC'!B52,'33_W2_EC'!D52,'33_W2_EC'!F52,'33_W2_EC'!H52))</x:f>
        <x:v>1046</x:v>
      </x:c>
      <x:c r="J1372" s="32" t="str">
        <x:v>μS/cm</x:v>
      </x:c>
    </x:row>
    <x:row r="1373">
      <x:c r="A1373" s="72" t="n">
        <x:v>46240.965891203705</x:v>
      </x:c>
      <x:c r="B1373" s="32" t="str">
        <x:v>土壤EC</x:v>
      </x:c>
      <x:c r="C1373" s="32" t="str">
        <x:v>W2</x:v>
      </x:c>
      <x:c r="D1373" s="32" t="str">
        <x:v>V2</x:v>
      </x:c>
      <x:c r="E1373" s="86" t="n">
        <x:f>COUNT('33_W2_EC'!C52,'33_W2_EC'!E52,'33_W2_EC'!G52,'33_W2_EC'!I52)</x:f>
        <x:v>4</x:v>
      </x:c>
      <x:c r="F1373" s="90" t="n">
        <x:f>IF(E1373=0,"",AVERAGE('33_W2_EC'!C52,'33_W2_EC'!E52,'33_W2_EC'!G52,'33_W2_EC'!I52))</x:f>
        <x:v>958.5</x:v>
      </x:c>
      <x:c r="G1373" s="90" t="n">
        <x:f>IF(E1373&lt;2,"",STDEV.S('33_W2_EC'!C52,'33_W2_EC'!E52,'33_W2_EC'!G52,'33_W2_EC'!I52))</x:f>
        <x:v>78.56419880157458</x:v>
      </x:c>
      <x:c r="H1373" s="90" t="n">
        <x:f>IF(E1373=0,"",MIN('33_W2_EC'!C52,'33_W2_EC'!E52,'33_W2_EC'!G52,'33_W2_EC'!I52))</x:f>
        <x:v>886</x:v>
      </x:c>
      <x:c r="I1373" s="90" t="n">
        <x:f>IF(E1373=0,"",MAX('33_W2_EC'!C52,'33_W2_EC'!E52,'33_W2_EC'!G52,'33_W2_EC'!I52))</x:f>
        <x:v>1067</x:v>
      </x:c>
      <x:c r="J1373" s="32" t="str">
        <x:v>μS/cm</x:v>
      </x:c>
    </x:row>
    <x:row r="1374">
      <x:c r="A1374" s="72" t="n">
        <x:v>46240.969363425924</x:v>
      </x:c>
      <x:c r="B1374" s="32" t="str">
        <x:v>土壤EC</x:v>
      </x:c>
      <x:c r="C1374" s="32" t="str">
        <x:v>W2</x:v>
      </x:c>
      <x:c r="D1374" s="32" t="str">
        <x:v>V1</x:v>
      </x:c>
      <x:c r="E1374" s="86" t="n">
        <x:f>COUNT('33_W2_EC'!B53,'33_W2_EC'!D53,'33_W2_EC'!F53,'33_W2_EC'!H53)</x:f>
        <x:v>4</x:v>
      </x:c>
      <x:c r="F1374" s="90" t="n">
        <x:f>IF(E1374=0,"",AVERAGE('33_W2_EC'!B53,'33_W2_EC'!D53,'33_W2_EC'!F53,'33_W2_EC'!H53))</x:f>
        <x:v>947.25</x:v>
      </x:c>
      <x:c r="G1374" s="90" t="n">
        <x:f>IF(E1374&lt;2,"",STDEV.S('33_W2_EC'!B53,'33_W2_EC'!D53,'33_W2_EC'!F53,'33_W2_EC'!H53))</x:f>
        <x:v>68.98490172977466</x:v>
      </x:c>
      <x:c r="H1374" s="90" t="n">
        <x:f>IF(E1374=0,"",MIN('33_W2_EC'!B53,'33_W2_EC'!D53,'33_W2_EC'!F53,'33_W2_EC'!H53))</x:f>
        <x:v>873</x:v>
      </x:c>
      <x:c r="I1374" s="90" t="n">
        <x:f>IF(E1374=0,"",MAX('33_W2_EC'!B53,'33_W2_EC'!D53,'33_W2_EC'!F53,'33_W2_EC'!H53))</x:f>
        <x:v>1038</x:v>
      </x:c>
      <x:c r="J1374" s="32" t="str">
        <x:v>μS/cm</x:v>
      </x:c>
    </x:row>
    <x:row r="1375">
      <x:c r="A1375" s="72" t="n">
        <x:v>46240.969363425924</x:v>
      </x:c>
      <x:c r="B1375" s="32" t="str">
        <x:v>土壤EC</x:v>
      </x:c>
      <x:c r="C1375" s="32" t="str">
        <x:v>W2</x:v>
      </x:c>
      <x:c r="D1375" s="32" t="str">
        <x:v>V2</x:v>
      </x:c>
      <x:c r="E1375" s="86" t="n">
        <x:f>COUNT('33_W2_EC'!C53,'33_W2_EC'!E53,'33_W2_EC'!G53,'33_W2_EC'!I53)</x:f>
        <x:v>4</x:v>
      </x:c>
      <x:c r="F1375" s="90" t="n">
        <x:f>IF(E1375=0,"",AVERAGE('33_W2_EC'!C53,'33_W2_EC'!E53,'33_W2_EC'!G53,'33_W2_EC'!I53))</x:f>
        <x:v>959</x:v>
      </x:c>
      <x:c r="G1375" s="90" t="n">
        <x:f>IF(E1375&lt;2,"",STDEV.S('33_W2_EC'!C53,'33_W2_EC'!E53,'33_W2_EC'!G53,'33_W2_EC'!I53))</x:f>
        <x:v>72.78736154031138</x:v>
      </x:c>
      <x:c r="H1375" s="90" t="n">
        <x:f>IF(E1375=0,"",MIN('33_W2_EC'!C53,'33_W2_EC'!E53,'33_W2_EC'!G53,'33_W2_EC'!I53))</x:f>
        <x:v>887</x:v>
      </x:c>
      <x:c r="I1375" s="90" t="n">
        <x:f>IF(E1375=0,"",MAX('33_W2_EC'!C53,'33_W2_EC'!E53,'33_W2_EC'!G53,'33_W2_EC'!I53))</x:f>
        <x:v>1058</x:v>
      </x:c>
      <x:c r="J1375" s="32" t="str">
        <x:v>μS/cm</x:v>
      </x:c>
    </x:row>
    <x:row r="1376">
      <x:c r="A1376" s="72" t="n">
        <x:v>46240.80269675926</x:v>
      </x:c>
      <x:c r="B1376" s="32" t="str">
        <x:v>土壤pH</x:v>
      </x:c>
      <x:c r="C1376" s="32" t="str">
        <x:v>W2</x:v>
      </x:c>
      <x:c r="D1376" s="32" t="str">
        <x:v>V1</x:v>
      </x:c>
      <x:c r="E1376" s="86" t="n">
        <x:f>COUNT('34_W2_pH'!B5,'34_W2_pH'!D5,'34_W2_pH'!F5,'34_W2_pH'!H5)</x:f>
        <x:v>4</x:v>
      </x:c>
      <x:c r="F1376" s="90" t="n">
        <x:f>IF(E1376=0,"",AVERAGE('34_W2_pH'!B5,'34_W2_pH'!D5,'34_W2_pH'!F5,'34_W2_pH'!H5))</x:f>
        <x:v>6.3725000000000005</x:v>
      </x:c>
      <x:c r="G1376" s="90" t="n">
        <x:f>IF(E1376&lt;2,"",STDEV.S('34_W2_pH'!B5,'34_W2_pH'!D5,'34_W2_pH'!F5,'34_W2_pH'!H5))</x:f>
        <x:v>0.041129875597510065</x:v>
      </x:c>
      <x:c r="H1376" s="90" t="n">
        <x:f>IF(E1376=0,"",MIN('34_W2_pH'!B5,'34_W2_pH'!D5,'34_W2_pH'!F5,'34_W2_pH'!H5))</x:f>
        <x:v>6.32</x:v>
      </x:c>
      <x:c r="I1376" s="90" t="n">
        <x:f>IF(E1376=0,"",MAX('34_W2_pH'!B5,'34_W2_pH'!D5,'34_W2_pH'!F5,'34_W2_pH'!H5))</x:f>
        <x:v>6.42</x:v>
      </x:c>
      <x:c r="J1376" s="32" t="str"/>
    </x:row>
    <x:row r="1377">
      <x:c r="A1377" s="72" t="n">
        <x:v>46240.80269675926</x:v>
      </x:c>
      <x:c r="B1377" s="32" t="str">
        <x:v>土壤pH</x:v>
      </x:c>
      <x:c r="C1377" s="32" t="str">
        <x:v>W2</x:v>
      </x:c>
      <x:c r="D1377" s="32" t="str">
        <x:v>V2</x:v>
      </x:c>
      <x:c r="E1377" s="86" t="n">
        <x:f>COUNT('34_W2_pH'!C5,'34_W2_pH'!E5,'34_W2_pH'!G5,'34_W2_pH'!I5)</x:f>
        <x:v>4</x:v>
      </x:c>
      <x:c r="F1377" s="90" t="n">
        <x:f>IF(E1377=0,"",AVERAGE('34_W2_pH'!C5,'34_W2_pH'!E5,'34_W2_pH'!G5,'34_W2_pH'!I5))</x:f>
        <x:v>6.425</x:v>
      </x:c>
      <x:c r="G1377" s="90" t="n">
        <x:f>IF(E1377&lt;2,"",STDEV.S('34_W2_pH'!C5,'34_W2_pH'!E5,'34_W2_pH'!G5,'34_W2_pH'!I5))</x:f>
        <x:v>0.04509249752822906</x:v>
      </x:c>
      <x:c r="H1377" s="90" t="n">
        <x:f>IF(E1377=0,"",MIN('34_W2_pH'!C5,'34_W2_pH'!E5,'34_W2_pH'!G5,'34_W2_pH'!I5))</x:f>
        <x:v>6.37</x:v>
      </x:c>
      <x:c r="I1377" s="90" t="n">
        <x:f>IF(E1377=0,"",MAX('34_W2_pH'!C5,'34_W2_pH'!E5,'34_W2_pH'!G5,'34_W2_pH'!I5))</x:f>
        <x:v>6.48</x:v>
      </x:c>
      <x:c r="J1377" s="32" t="str"/>
    </x:row>
    <x:row r="1378">
      <x:c r="A1378" s="72" t="n">
        <x:v>46240.80616898148</x:v>
      </x:c>
      <x:c r="B1378" s="32" t="str">
        <x:v>土壤pH</x:v>
      </x:c>
      <x:c r="C1378" s="32" t="str">
        <x:v>W2</x:v>
      </x:c>
      <x:c r="D1378" s="32" t="str">
        <x:v>V1</x:v>
      </x:c>
      <x:c r="E1378" s="86" t="n">
        <x:f>COUNT('34_W2_pH'!B6,'34_W2_pH'!D6,'34_W2_pH'!F6,'34_W2_pH'!H6)</x:f>
        <x:v>4</x:v>
      </x:c>
      <x:c r="F1378" s="90" t="n">
        <x:f>IF(E1378=0,"",AVERAGE('34_W2_pH'!B6,'34_W2_pH'!D6,'34_W2_pH'!F6,'34_W2_pH'!H6))</x:f>
        <x:v>6.375</x:v>
      </x:c>
      <x:c r="G1378" s="90" t="n">
        <x:f>IF(E1378&lt;2,"",STDEV.S('34_W2_pH'!B6,'34_W2_pH'!D6,'34_W2_pH'!F6,'34_W2_pH'!H6))</x:f>
        <x:v>0.046547466812563255</x:v>
      </x:c>
      <x:c r="H1378" s="90" t="n">
        <x:f>IF(E1378=0,"",MIN('34_W2_pH'!B6,'34_W2_pH'!D6,'34_W2_pH'!F6,'34_W2_pH'!H6))</x:f>
        <x:v>6.31</x:v>
      </x:c>
      <x:c r="I1378" s="90" t="n">
        <x:f>IF(E1378=0,"",MAX('34_W2_pH'!B6,'34_W2_pH'!D6,'34_W2_pH'!F6,'34_W2_pH'!H6))</x:f>
        <x:v>6.42</x:v>
      </x:c>
      <x:c r="J1378" s="32" t="str"/>
    </x:row>
    <x:row r="1379">
      <x:c r="A1379" s="72" t="n">
        <x:v>46240.80616898148</x:v>
      </x:c>
      <x:c r="B1379" s="32" t="str">
        <x:v>土壤pH</x:v>
      </x:c>
      <x:c r="C1379" s="32" t="str">
        <x:v>W2</x:v>
      </x:c>
      <x:c r="D1379" s="32" t="str">
        <x:v>V2</x:v>
      </x:c>
      <x:c r="E1379" s="86" t="n">
        <x:f>COUNT('34_W2_pH'!C6,'34_W2_pH'!E6,'34_W2_pH'!G6,'34_W2_pH'!I6)</x:f>
        <x:v>4</x:v>
      </x:c>
      <x:c r="F1379" s="90" t="n">
        <x:f>IF(E1379=0,"",AVERAGE('34_W2_pH'!C6,'34_W2_pH'!E6,'34_W2_pH'!G6,'34_W2_pH'!I6))</x:f>
        <x:v>6.422499999999999</x:v>
      </x:c>
      <x:c r="G1379" s="90" t="n">
        <x:f>IF(E1379&lt;2,"",STDEV.S('34_W2_pH'!C6,'34_W2_pH'!E6,'34_W2_pH'!G6,'34_W2_pH'!I6))</x:f>
        <x:v>0.041129875597510065</x:v>
      </x:c>
      <x:c r="H1379" s="90" t="n">
        <x:f>IF(E1379=0,"",MIN('34_W2_pH'!C6,'34_W2_pH'!E6,'34_W2_pH'!G6,'34_W2_pH'!I6))</x:f>
        <x:v>6.37</x:v>
      </x:c>
      <x:c r="I1379" s="90" t="n">
        <x:f>IF(E1379=0,"",MAX('34_W2_pH'!C6,'34_W2_pH'!E6,'34_W2_pH'!G6,'34_W2_pH'!I6))</x:f>
        <x:v>6.47</x:v>
      </x:c>
      <x:c r="J1379" s="32" t="str"/>
    </x:row>
    <x:row r="1380">
      <x:c r="A1380" s="72" t="n">
        <x:v>46240.809641203705</x:v>
      </x:c>
      <x:c r="B1380" s="32" t="str">
        <x:v>土壤pH</x:v>
      </x:c>
      <x:c r="C1380" s="32" t="str">
        <x:v>W2</x:v>
      </x:c>
      <x:c r="D1380" s="32" t="str">
        <x:v>V1</x:v>
      </x:c>
      <x:c r="E1380" s="86" t="n">
        <x:f>COUNT('34_W2_pH'!B7,'34_W2_pH'!D7,'34_W2_pH'!F7,'34_W2_pH'!H7)</x:f>
        <x:v>4</x:v>
      </x:c>
      <x:c r="F1380" s="90" t="n">
        <x:f>IF(E1380=0,"",AVERAGE('34_W2_pH'!B7,'34_W2_pH'!D7,'34_W2_pH'!F7,'34_W2_pH'!H7))</x:f>
        <x:v>6.3774999999999995</x:v>
      </x:c>
      <x:c r="G1380" s="90" t="n">
        <x:f>IF(E1380&lt;2,"",STDEV.S('34_W2_pH'!B7,'34_W2_pH'!D7,'34_W2_pH'!F7,'34_W2_pH'!H7))</x:f>
        <x:v>0.04787135538781712</x:v>
      </x:c>
      <x:c r="H1380" s="90" t="n">
        <x:f>IF(E1380=0,"",MIN('34_W2_pH'!B7,'34_W2_pH'!D7,'34_W2_pH'!F7,'34_W2_pH'!H7))</x:f>
        <x:v>6.31</x:v>
      </x:c>
      <x:c r="I1380" s="90" t="n">
        <x:f>IF(E1380=0,"",MAX('34_W2_pH'!B7,'34_W2_pH'!D7,'34_W2_pH'!F7,'34_W2_pH'!H7))</x:f>
        <x:v>6.42</x:v>
      </x:c>
      <x:c r="J1380" s="32" t="str"/>
    </x:row>
    <x:row r="1381">
      <x:c r="A1381" s="72" t="n">
        <x:v>46240.809641203705</x:v>
      </x:c>
      <x:c r="B1381" s="32" t="str">
        <x:v>土壤pH</x:v>
      </x:c>
      <x:c r="C1381" s="32" t="str">
        <x:v>W2</x:v>
      </x:c>
      <x:c r="D1381" s="32" t="str">
        <x:v>V2</x:v>
      </x:c>
      <x:c r="E1381" s="86" t="n">
        <x:f>COUNT('34_W2_pH'!C7,'34_W2_pH'!E7,'34_W2_pH'!G7,'34_W2_pH'!I7)</x:f>
        <x:v>4</x:v>
      </x:c>
      <x:c r="F1381" s="90" t="n">
        <x:f>IF(E1381=0,"",AVERAGE('34_W2_pH'!C7,'34_W2_pH'!E7,'34_W2_pH'!G7,'34_W2_pH'!I7))</x:f>
        <x:v>6.425</x:v>
      </x:c>
      <x:c r="G1381" s="90" t="n">
        <x:f>IF(E1381&lt;2,"",STDEV.S('34_W2_pH'!C7,'34_W2_pH'!E7,'34_W2_pH'!G7,'34_W2_pH'!I7))</x:f>
        <x:v>0.04654746681256294</x:v>
      </x:c>
      <x:c r="H1381" s="90" t="n">
        <x:f>IF(E1381=0,"",MIN('34_W2_pH'!C7,'34_W2_pH'!E7,'34_W2_pH'!G7,'34_W2_pH'!I7))</x:f>
        <x:v>6.36</x:v>
      </x:c>
      <x:c r="I1381" s="90" t="n">
        <x:f>IF(E1381=0,"",MAX('34_W2_pH'!C7,'34_W2_pH'!E7,'34_W2_pH'!G7,'34_W2_pH'!I7))</x:f>
        <x:v>6.47</x:v>
      </x:c>
      <x:c r="J1381" s="32" t="str"/>
    </x:row>
    <x:row r="1382">
      <x:c r="A1382" s="72" t="n">
        <x:v>46240.813113425924</x:v>
      </x:c>
      <x:c r="B1382" s="32" t="str">
        <x:v>土壤pH</x:v>
      </x:c>
      <x:c r="C1382" s="32" t="str">
        <x:v>W2</x:v>
      </x:c>
      <x:c r="D1382" s="32" t="str">
        <x:v>V1</x:v>
      </x:c>
      <x:c r="E1382" s="86" t="n">
        <x:f>COUNT('34_W2_pH'!B8,'34_W2_pH'!D8,'34_W2_pH'!F8,'34_W2_pH'!H8)</x:f>
        <x:v>4</x:v>
      </x:c>
      <x:c r="F1382" s="90" t="n">
        <x:f>IF(E1382=0,"",AVERAGE('34_W2_pH'!B8,'34_W2_pH'!D8,'34_W2_pH'!F8,'34_W2_pH'!H8))</x:f>
        <x:v>6.3774999999999995</x:v>
      </x:c>
      <x:c r="G1382" s="90" t="n">
        <x:f>IF(E1382&lt;2,"",STDEV.S('34_W2_pH'!B8,'34_W2_pH'!D8,'34_W2_pH'!F8,'34_W2_pH'!H8))</x:f>
        <x:v>0.05439056290693583</x:v>
      </x:c>
      <x:c r="H1382" s="90" t="n">
        <x:f>IF(E1382=0,"",MIN('34_W2_pH'!B8,'34_W2_pH'!D8,'34_W2_pH'!F8,'34_W2_pH'!H8))</x:f>
        <x:v>6.3</x:v>
      </x:c>
      <x:c r="I1382" s="90" t="n">
        <x:f>IF(E1382=0,"",MAX('34_W2_pH'!B8,'34_W2_pH'!D8,'34_W2_pH'!F8,'34_W2_pH'!H8))</x:f>
        <x:v>6.42</x:v>
      </x:c>
      <x:c r="J1382" s="32" t="str"/>
    </x:row>
    <x:row r="1383">
      <x:c r="A1383" s="72" t="n">
        <x:v>46240.813113425924</x:v>
      </x:c>
      <x:c r="B1383" s="32" t="str">
        <x:v>土壤pH</x:v>
      </x:c>
      <x:c r="C1383" s="32" t="str">
        <x:v>W2</x:v>
      </x:c>
      <x:c r="D1383" s="32" t="str">
        <x:v>V2</x:v>
      </x:c>
      <x:c r="E1383" s="86" t="n">
        <x:f>COUNT('34_W2_pH'!C8,'34_W2_pH'!E8,'34_W2_pH'!G8,'34_W2_pH'!I8)</x:f>
        <x:v>4</x:v>
      </x:c>
      <x:c r="F1383" s="90" t="n">
        <x:f>IF(E1383=0,"",AVERAGE('34_W2_pH'!C8,'34_W2_pH'!E8,'34_W2_pH'!G8,'34_W2_pH'!I8))</x:f>
        <x:v>6.427499999999999</x:v>
      </x:c>
      <x:c r="G1383" s="90" t="n">
        <x:f>IF(E1383&lt;2,"",STDEV.S('34_W2_pH'!C8,'34_W2_pH'!E8,'34_W2_pH'!G8,'34_W2_pH'!I8))</x:f>
        <x:v>0.04787135538781671</x:v>
      </x:c>
      <x:c r="H1383" s="90" t="n">
        <x:f>IF(E1383=0,"",MIN('34_W2_pH'!C8,'34_W2_pH'!E8,'34_W2_pH'!G8,'34_W2_pH'!I8))</x:f>
        <x:v>6.36</x:v>
      </x:c>
      <x:c r="I1383" s="90" t="n">
        <x:f>IF(E1383=0,"",MAX('34_W2_pH'!C8,'34_W2_pH'!E8,'34_W2_pH'!G8,'34_W2_pH'!I8))</x:f>
        <x:v>6.47</x:v>
      </x:c>
      <x:c r="J1383" s="32" t="str"/>
    </x:row>
    <x:row r="1384">
      <x:c r="A1384" s="72" t="n">
        <x:v>46240.81658564815</x:v>
      </x:c>
      <x:c r="B1384" s="32" t="str">
        <x:v>土壤pH</x:v>
      </x:c>
      <x:c r="C1384" s="32" t="str">
        <x:v>W2</x:v>
      </x:c>
      <x:c r="D1384" s="32" t="str">
        <x:v>V1</x:v>
      </x:c>
      <x:c r="E1384" s="86" t="n">
        <x:f>COUNT('34_W2_pH'!B9,'34_W2_pH'!D9,'34_W2_pH'!F9,'34_W2_pH'!H9)</x:f>
        <x:v>4</x:v>
      </x:c>
      <x:c r="F1384" s="90" t="n">
        <x:f>IF(E1384=0,"",AVERAGE('34_W2_pH'!B9,'34_W2_pH'!D9,'34_W2_pH'!F9,'34_W2_pH'!H9))</x:f>
        <x:v>6.375</x:v>
      </x:c>
      <x:c r="G1384" s="90" t="n">
        <x:f>IF(E1384&lt;2,"",STDEV.S('34_W2_pH'!B9,'34_W2_pH'!D9,'34_W2_pH'!F9,'34_W2_pH'!H9))</x:f>
        <x:v>0.059160797830996155</x:v>
      </x:c>
      <x:c r="H1384" s="90" t="n">
        <x:f>IF(E1384=0,"",MIN('34_W2_pH'!B9,'34_W2_pH'!D9,'34_W2_pH'!F9,'34_W2_pH'!H9))</x:f>
        <x:v>6.29</x:v>
      </x:c>
      <x:c r="I1384" s="90" t="n">
        <x:f>IF(E1384=0,"",MAX('34_W2_pH'!B9,'34_W2_pH'!D9,'34_W2_pH'!F9,'34_W2_pH'!H9))</x:f>
        <x:v>6.42</x:v>
      </x:c>
      <x:c r="J1384" s="32" t="str"/>
    </x:row>
    <x:row r="1385">
      <x:c r="A1385" s="72" t="n">
        <x:v>46240.81658564815</x:v>
      </x:c>
      <x:c r="B1385" s="32" t="str">
        <x:v>土壤pH</x:v>
      </x:c>
      <x:c r="C1385" s="32" t="str">
        <x:v>W2</x:v>
      </x:c>
      <x:c r="D1385" s="32" t="str">
        <x:v>V2</x:v>
      </x:c>
      <x:c r="E1385" s="86" t="n">
        <x:f>COUNT('34_W2_pH'!C9,'34_W2_pH'!E9,'34_W2_pH'!G9,'34_W2_pH'!I9)</x:f>
        <x:v>4</x:v>
      </x:c>
      <x:c r="F1385" s="90" t="n">
        <x:f>IF(E1385=0,"",AVERAGE('34_W2_pH'!C9,'34_W2_pH'!E9,'34_W2_pH'!G9,'34_W2_pH'!I9))</x:f>
        <x:v>6.427499999999999</x:v>
      </x:c>
      <x:c r="G1385" s="90" t="n">
        <x:f>IF(E1385&lt;2,"",STDEV.S('34_W2_pH'!C9,'34_W2_pH'!E9,'34_W2_pH'!G9,'34_W2_pH'!I9))</x:f>
        <x:v>0.05439056290693583</x:v>
      </x:c>
      <x:c r="H1385" s="90" t="n">
        <x:f>IF(E1385=0,"",MIN('34_W2_pH'!C9,'34_W2_pH'!E9,'34_W2_pH'!G9,'34_W2_pH'!I9))</x:f>
        <x:v>6.35</x:v>
      </x:c>
      <x:c r="I1385" s="90" t="n">
        <x:f>IF(E1385=0,"",MAX('34_W2_pH'!C9,'34_W2_pH'!E9,'34_W2_pH'!G9,'34_W2_pH'!I9))</x:f>
        <x:v>6.47</x:v>
      </x:c>
      <x:c r="J1385" s="32" t="str"/>
    </x:row>
    <x:row r="1386">
      <x:c r="A1386" s="72" t="n">
        <x:v>46240.82005787037</x:v>
      </x:c>
      <x:c r="B1386" s="32" t="str">
        <x:v>土壤pH</x:v>
      </x:c>
      <x:c r="C1386" s="32" t="str">
        <x:v>W2</x:v>
      </x:c>
      <x:c r="D1386" s="32" t="str">
        <x:v>V1</x:v>
      </x:c>
      <x:c r="E1386" s="86" t="n">
        <x:f>COUNT('34_W2_pH'!B10,'34_W2_pH'!D10,'34_W2_pH'!F10,'34_W2_pH'!H10)</x:f>
        <x:v>4</x:v>
      </x:c>
      <x:c r="F1386" s="90" t="n">
        <x:f>IF(E1386=0,"",AVERAGE('34_W2_pH'!B10,'34_W2_pH'!D10,'34_W2_pH'!F10,'34_W2_pH'!H10))</x:f>
        <x:v>6.375</x:v>
      </x:c>
      <x:c r="G1386" s="90" t="n">
        <x:f>IF(E1386&lt;2,"",STDEV.S('34_W2_pH'!B10,'34_W2_pH'!D10,'34_W2_pH'!F10,'34_W2_pH'!H10))</x:f>
        <x:v>0.06855654600401023</x:v>
      </x:c>
      <x:c r="H1386" s="90" t="n">
        <x:f>IF(E1386=0,"",MIN('34_W2_pH'!B10,'34_W2_pH'!D10,'34_W2_pH'!F10,'34_W2_pH'!H10))</x:f>
        <x:v>6.28</x:v>
      </x:c>
      <x:c r="I1386" s="90" t="n">
        <x:f>IF(E1386=0,"",MAX('34_W2_pH'!B10,'34_W2_pH'!D10,'34_W2_pH'!F10,'34_W2_pH'!H10))</x:f>
        <x:v>6.43</x:v>
      </x:c>
      <x:c r="J1386" s="32" t="str"/>
    </x:row>
    <x:row r="1387">
      <x:c r="A1387" s="72" t="n">
        <x:v>46240.82005787037</x:v>
      </x:c>
      <x:c r="B1387" s="32" t="str">
        <x:v>土壤pH</x:v>
      </x:c>
      <x:c r="C1387" s="32" t="str">
        <x:v>W2</x:v>
      </x:c>
      <x:c r="D1387" s="32" t="str">
        <x:v>V2</x:v>
      </x:c>
      <x:c r="E1387" s="86" t="n">
        <x:f>COUNT('34_W2_pH'!C10,'34_W2_pH'!E10,'34_W2_pH'!G10,'34_W2_pH'!I10)</x:f>
        <x:v>4</x:v>
      </x:c>
      <x:c r="F1387" s="90" t="n">
        <x:f>IF(E1387=0,"",AVERAGE('34_W2_pH'!C10,'34_W2_pH'!E10,'34_W2_pH'!G10,'34_W2_pH'!I10))</x:f>
        <x:v>6.425</x:v>
      </x:c>
      <x:c r="G1387" s="90" t="n">
        <x:f>IF(E1387&lt;2,"",STDEV.S('34_W2_pH'!C10,'34_W2_pH'!E10,'34_W2_pH'!G10,'34_W2_pH'!I10))</x:f>
        <x:v>0.059160797830996155</x:v>
      </x:c>
      <x:c r="H1387" s="90" t="n">
        <x:f>IF(E1387=0,"",MIN('34_W2_pH'!C10,'34_W2_pH'!E10,'34_W2_pH'!G10,'34_W2_pH'!I10))</x:f>
        <x:v>6.34</x:v>
      </x:c>
      <x:c r="I1387" s="90" t="n">
        <x:f>IF(E1387=0,"",MAX('34_W2_pH'!C10,'34_W2_pH'!E10,'34_W2_pH'!G10,'34_W2_pH'!I10))</x:f>
        <x:v>6.47</x:v>
      </x:c>
      <x:c r="J1387" s="32" t="str"/>
    </x:row>
    <x:row r="1388">
      <x:c r="A1388" s="72" t="n">
        <x:v>46240.823530092595</x:v>
      </x:c>
      <x:c r="B1388" s="32" t="str">
        <x:v>土壤pH</x:v>
      </x:c>
      <x:c r="C1388" s="32" t="str">
        <x:v>W2</x:v>
      </x:c>
      <x:c r="D1388" s="32" t="str">
        <x:v>V1</x:v>
      </x:c>
      <x:c r="E1388" s="86" t="n">
        <x:f>COUNT('34_W2_pH'!B11,'34_W2_pH'!D11,'34_W2_pH'!F11,'34_W2_pH'!H11)</x:f>
        <x:v>4</x:v>
      </x:c>
      <x:c r="F1388" s="90" t="n">
        <x:f>IF(E1388=0,"",AVERAGE('34_W2_pH'!B11,'34_W2_pH'!D11,'34_W2_pH'!F11,'34_W2_pH'!H11))</x:f>
        <x:v>6.375</x:v>
      </x:c>
      <x:c r="G1388" s="90" t="n">
        <x:f>IF(E1388&lt;2,"",STDEV.S('34_W2_pH'!B11,'34_W2_pH'!D11,'34_W2_pH'!F11,'34_W2_pH'!H11))</x:f>
        <x:v>0.06855654600401023</x:v>
      </x:c>
      <x:c r="H1388" s="90" t="n">
        <x:f>IF(E1388=0,"",MIN('34_W2_pH'!B11,'34_W2_pH'!D11,'34_W2_pH'!F11,'34_W2_pH'!H11))</x:f>
        <x:v>6.28</x:v>
      </x:c>
      <x:c r="I1388" s="90" t="n">
        <x:f>IF(E1388=0,"",MAX('34_W2_pH'!B11,'34_W2_pH'!D11,'34_W2_pH'!F11,'34_W2_pH'!H11))</x:f>
        <x:v>6.43</x:v>
      </x:c>
      <x:c r="J1388" s="32" t="str"/>
    </x:row>
    <x:row r="1389">
      <x:c r="A1389" s="72" t="n">
        <x:v>46240.823530092595</x:v>
      </x:c>
      <x:c r="B1389" s="32" t="str">
        <x:v>土壤pH</x:v>
      </x:c>
      <x:c r="C1389" s="32" t="str">
        <x:v>W2</x:v>
      </x:c>
      <x:c r="D1389" s="32" t="str">
        <x:v>V2</x:v>
      </x:c>
      <x:c r="E1389" s="86" t="n">
        <x:f>COUNT('34_W2_pH'!C11,'34_W2_pH'!E11,'34_W2_pH'!G11,'34_W2_pH'!I11)</x:f>
        <x:v>4</x:v>
      </x:c>
      <x:c r="F1389" s="90" t="n">
        <x:f>IF(E1389=0,"",AVERAGE('34_W2_pH'!C11,'34_W2_pH'!E11,'34_W2_pH'!G11,'34_W2_pH'!I11))</x:f>
        <x:v>6.425</x:v>
      </x:c>
      <x:c r="G1389" s="90" t="n">
        <x:f>IF(E1389&lt;2,"",STDEV.S('34_W2_pH'!C11,'34_W2_pH'!E11,'34_W2_pH'!G11,'34_W2_pH'!I11))</x:f>
        <x:v>0.06855654600401047</x:v>
      </x:c>
      <x:c r="H1389" s="90" t="n">
        <x:f>IF(E1389=0,"",MIN('34_W2_pH'!C11,'34_W2_pH'!E11,'34_W2_pH'!G11,'34_W2_pH'!I11))</x:f>
        <x:v>6.33</x:v>
      </x:c>
      <x:c r="I1389" s="90" t="n">
        <x:f>IF(E1389=0,"",MAX('34_W2_pH'!C11,'34_W2_pH'!E11,'34_W2_pH'!G11,'34_W2_pH'!I11))</x:f>
        <x:v>6.48</x:v>
      </x:c>
      <x:c r="J1389" s="32" t="str"/>
    </x:row>
    <x:row r="1390">
      <x:c r="A1390" s="72" t="n">
        <x:v>46240.827002314814</x:v>
      </x:c>
      <x:c r="B1390" s="32" t="str">
        <x:v>土壤pH</x:v>
      </x:c>
      <x:c r="C1390" s="32" t="str">
        <x:v>W2</x:v>
      </x:c>
      <x:c r="D1390" s="32" t="str">
        <x:v>V1</x:v>
      </x:c>
      <x:c r="E1390" s="86" t="n">
        <x:f>COUNT('34_W2_pH'!B12,'34_W2_pH'!D12,'34_W2_pH'!F12,'34_W2_pH'!H12)</x:f>
        <x:v>4</x:v>
      </x:c>
      <x:c r="F1390" s="90" t="n">
        <x:f>IF(E1390=0,"",AVERAGE('34_W2_pH'!B12,'34_W2_pH'!D12,'34_W2_pH'!F12,'34_W2_pH'!H12))</x:f>
        <x:v>6.375</x:v>
      </x:c>
      <x:c r="G1390" s="90" t="n">
        <x:f>IF(E1390&lt;2,"",STDEV.S('34_W2_pH'!B12,'34_W2_pH'!D12,'34_W2_pH'!F12,'34_W2_pH'!H12))</x:f>
        <x:v>0.07852812659593185</x:v>
      </x:c>
      <x:c r="H1390" s="90" t="n">
        <x:f>IF(E1390=0,"",MIN('34_W2_pH'!B12,'34_W2_pH'!D12,'34_W2_pH'!F12,'34_W2_pH'!H12))</x:f>
        <x:v>6.27</x:v>
      </x:c>
      <x:c r="I1390" s="90" t="n">
        <x:f>IF(E1390=0,"",MAX('34_W2_pH'!B12,'34_W2_pH'!D12,'34_W2_pH'!F12,'34_W2_pH'!H12))</x:f>
        <x:v>6.44</x:v>
      </x:c>
      <x:c r="J1390" s="32" t="str"/>
    </x:row>
    <x:row r="1391">
      <x:c r="A1391" s="72" t="n">
        <x:v>46240.827002314814</x:v>
      </x:c>
      <x:c r="B1391" s="32" t="str">
        <x:v>土壤pH</x:v>
      </x:c>
      <x:c r="C1391" s="32" t="str">
        <x:v>W2</x:v>
      </x:c>
      <x:c r="D1391" s="32" t="str">
        <x:v>V2</x:v>
      </x:c>
      <x:c r="E1391" s="86" t="n">
        <x:f>COUNT('34_W2_pH'!C12,'34_W2_pH'!E12,'34_W2_pH'!G12,'34_W2_pH'!I12)</x:f>
        <x:v>4</x:v>
      </x:c>
      <x:c r="F1391" s="90" t="n">
        <x:f>IF(E1391=0,"",AVERAGE('34_W2_pH'!C12,'34_W2_pH'!E12,'34_W2_pH'!G12,'34_W2_pH'!I12))</x:f>
        <x:v>6.425</x:v>
      </x:c>
      <x:c r="G1391" s="90" t="n">
        <x:f>IF(E1391&lt;2,"",STDEV.S('34_W2_pH'!C12,'34_W2_pH'!E12,'34_W2_pH'!G12,'34_W2_pH'!I12))</x:f>
        <x:v>0.06855654600401047</x:v>
      </x:c>
      <x:c r="H1391" s="90" t="n">
        <x:f>IF(E1391=0,"",MIN('34_W2_pH'!C12,'34_W2_pH'!E12,'34_W2_pH'!G12,'34_W2_pH'!I12))</x:f>
        <x:v>6.33</x:v>
      </x:c>
      <x:c r="I1391" s="90" t="n">
        <x:f>IF(E1391=0,"",MAX('34_W2_pH'!C12,'34_W2_pH'!E12,'34_W2_pH'!G12,'34_W2_pH'!I12))</x:f>
        <x:v>6.48</x:v>
      </x:c>
      <x:c r="J1391" s="32" t="str"/>
    </x:row>
    <x:row r="1392">
      <x:c r="A1392" s="72" t="n">
        <x:v>46240.83047453704</x:v>
      </x:c>
      <x:c r="B1392" s="32" t="str">
        <x:v>土壤pH</x:v>
      </x:c>
      <x:c r="C1392" s="32" t="str">
        <x:v>W2</x:v>
      </x:c>
      <x:c r="D1392" s="32" t="str">
        <x:v>V1</x:v>
      </x:c>
      <x:c r="E1392" s="86" t="n">
        <x:f>COUNT('34_W2_pH'!B13,'34_W2_pH'!D13,'34_W2_pH'!F13,'34_W2_pH'!H13)</x:f>
        <x:v>4</x:v>
      </x:c>
      <x:c r="F1392" s="90" t="n">
        <x:f>IF(E1392=0,"",AVERAGE('34_W2_pH'!B13,'34_W2_pH'!D13,'34_W2_pH'!F13,'34_W2_pH'!H13))</x:f>
        <x:v>6.3774999999999995</x:v>
      </x:c>
      <x:c r="G1392" s="90" t="n">
        <x:f>IF(E1392&lt;2,"",STDEV.S('34_W2_pH'!B13,'34_W2_pH'!D13,'34_W2_pH'!F13,'34_W2_pH'!H13))</x:f>
        <x:v>0.08139410298049869</x:v>
      </x:c>
      <x:c r="H1392" s="90" t="n">
        <x:f>IF(E1392=0,"",MIN('34_W2_pH'!B13,'34_W2_pH'!D13,'34_W2_pH'!F13,'34_W2_pH'!H13))</x:f>
        <x:v>6.27</x:v>
      </x:c>
      <x:c r="I1392" s="90" t="n">
        <x:f>IF(E1392=0,"",MAX('34_W2_pH'!B13,'34_W2_pH'!D13,'34_W2_pH'!F13,'34_W2_pH'!H13))</x:f>
        <x:v>6.45</x:v>
      </x:c>
      <x:c r="J1392" s="32" t="str"/>
    </x:row>
    <x:row r="1393">
      <x:c r="A1393" s="72" t="n">
        <x:v>46240.83047453704</x:v>
      </x:c>
      <x:c r="B1393" s="32" t="str">
        <x:v>土壤pH</x:v>
      </x:c>
      <x:c r="C1393" s="32" t="str">
        <x:v>W2</x:v>
      </x:c>
      <x:c r="D1393" s="32" t="str">
        <x:v>V2</x:v>
      </x:c>
      <x:c r="E1393" s="86" t="n">
        <x:f>COUNT('34_W2_pH'!C13,'34_W2_pH'!E13,'34_W2_pH'!G13,'34_W2_pH'!I13)</x:f>
        <x:v>4</x:v>
      </x:c>
      <x:c r="F1393" s="90" t="n">
        <x:f>IF(E1393=0,"",AVERAGE('34_W2_pH'!C13,'34_W2_pH'!E13,'34_W2_pH'!G13,'34_W2_pH'!I13))</x:f>
        <x:v>6.425000000000001</x:v>
      </x:c>
      <x:c r="G1393" s="90" t="n">
        <x:f>IF(E1393&lt;2,"",STDEV.S('34_W2_pH'!C13,'34_W2_pH'!E13,'34_W2_pH'!G13,'34_W2_pH'!I13))</x:f>
        <x:v>0.07852812659593167</x:v>
      </x:c>
      <x:c r="H1393" s="90" t="n">
        <x:f>IF(E1393=0,"",MIN('34_W2_pH'!C13,'34_W2_pH'!E13,'34_W2_pH'!G13,'34_W2_pH'!I13))</x:f>
        <x:v>6.32</x:v>
      </x:c>
      <x:c r="I1393" s="90" t="n">
        <x:f>IF(E1393=0,"",MAX('34_W2_pH'!C13,'34_W2_pH'!E13,'34_W2_pH'!G13,'34_W2_pH'!I13))</x:f>
        <x:v>6.49</x:v>
      </x:c>
      <x:c r="J1393" s="32" t="str"/>
    </x:row>
    <x:row r="1394">
      <x:c r="A1394" s="72" t="n">
        <x:v>46240.83394675926</x:v>
      </x:c>
      <x:c r="B1394" s="32" t="str">
        <x:v>土壤pH</x:v>
      </x:c>
      <x:c r="C1394" s="32" t="str">
        <x:v>W2</x:v>
      </x:c>
      <x:c r="D1394" s="32" t="str">
        <x:v>V1</x:v>
      </x:c>
      <x:c r="E1394" s="86" t="n">
        <x:f>COUNT('34_W2_pH'!B14,'34_W2_pH'!D14,'34_W2_pH'!F14,'34_W2_pH'!H14)</x:f>
        <x:v>4</x:v>
      </x:c>
      <x:c r="F1394" s="90" t="n">
        <x:f>IF(E1394=0,"",AVERAGE('34_W2_pH'!B14,'34_W2_pH'!D14,'34_W2_pH'!F14,'34_W2_pH'!H14))</x:f>
        <x:v>6.3774999999999995</x:v>
      </x:c>
      <x:c r="G1394" s="90" t="n">
        <x:f>IF(E1394&lt;2,"",STDEV.S('34_W2_pH'!B14,'34_W2_pH'!D14,'34_W2_pH'!F14,'34_W2_pH'!H14))</x:f>
        <x:v>0.0853912563829968</x:v>
      </x:c>
      <x:c r="H1394" s="90" t="n">
        <x:f>IF(E1394=0,"",MIN('34_W2_pH'!B14,'34_W2_pH'!D14,'34_W2_pH'!F14,'34_W2_pH'!H14))</x:f>
        <x:v>6.27</x:v>
      </x:c>
      <x:c r="I1394" s="90" t="n">
        <x:f>IF(E1394=0,"",MAX('34_W2_pH'!B14,'34_W2_pH'!D14,'34_W2_pH'!F14,'34_W2_pH'!H14))</x:f>
        <x:v>6.46</x:v>
      </x:c>
      <x:c r="J1394" s="32" t="str"/>
    </x:row>
    <x:row r="1395">
      <x:c r="A1395" s="72" t="n">
        <x:v>46240.83394675926</x:v>
      </x:c>
      <x:c r="B1395" s="32" t="str">
        <x:v>土壤pH</x:v>
      </x:c>
      <x:c r="C1395" s="32" t="str">
        <x:v>W2</x:v>
      </x:c>
      <x:c r="D1395" s="32" t="str">
        <x:v>V2</x:v>
      </x:c>
      <x:c r="E1395" s="86" t="n">
        <x:f>COUNT('34_W2_pH'!C14,'34_W2_pH'!E14,'34_W2_pH'!G14,'34_W2_pH'!I14)</x:f>
        <x:v>4</x:v>
      </x:c>
      <x:c r="F1395" s="90" t="n">
        <x:f>IF(E1395=0,"",AVERAGE('34_W2_pH'!C14,'34_W2_pH'!E14,'34_W2_pH'!G14,'34_W2_pH'!I14))</x:f>
        <x:v>6.4275</x:v>
      </x:c>
      <x:c r="G1395" s="90" t="n">
        <x:f>IF(E1395&lt;2,"",STDEV.S('34_W2_pH'!C14,'34_W2_pH'!E14,'34_W2_pH'!G14,'34_W2_pH'!I14))</x:f>
        <x:v>0.08139410298049848</x:v>
      </x:c>
      <x:c r="H1395" s="90" t="n">
        <x:f>IF(E1395=0,"",MIN('34_W2_pH'!C14,'34_W2_pH'!E14,'34_W2_pH'!G14,'34_W2_pH'!I14))</x:f>
        <x:v>6.32</x:v>
      </x:c>
      <x:c r="I1395" s="90" t="n">
        <x:f>IF(E1395=0,"",MAX('34_W2_pH'!C14,'34_W2_pH'!E14,'34_W2_pH'!G14,'34_W2_pH'!I14))</x:f>
        <x:v>6.5</x:v>
      </x:c>
      <x:c r="J1395" s="32" t="str"/>
    </x:row>
    <x:row r="1396">
      <x:c r="A1396" s="72" t="n">
        <x:v>46240.83741898148</x:v>
      </x:c>
      <x:c r="B1396" s="32" t="str">
        <x:v>土壤pH</x:v>
      </x:c>
      <x:c r="C1396" s="32" t="str">
        <x:v>W2</x:v>
      </x:c>
      <x:c r="D1396" s="32" t="str">
        <x:v>V1</x:v>
      </x:c>
      <x:c r="E1396" s="86" t="n">
        <x:f>COUNT('34_W2_pH'!B15,'34_W2_pH'!D15,'34_W2_pH'!F15,'34_W2_pH'!H15)</x:f>
        <x:v>4</x:v>
      </x:c>
      <x:c r="F1396" s="90" t="n">
        <x:f>IF(E1396=0,"",AVERAGE('34_W2_pH'!B15,'34_W2_pH'!D15,'34_W2_pH'!F15,'34_W2_pH'!H15))</x:f>
        <x:v>6.375</x:v>
      </x:c>
      <x:c r="G1396" s="90" t="n">
        <x:f>IF(E1396&lt;2,"",STDEV.S('34_W2_pH'!B15,'34_W2_pH'!D15,'34_W2_pH'!F15,'34_W2_pH'!H15))</x:f>
        <x:v>0.08660254037844399</x:v>
      </x:c>
      <x:c r="H1396" s="90" t="n">
        <x:f>IF(E1396=0,"",MIN('34_W2_pH'!B15,'34_W2_pH'!D15,'34_W2_pH'!F15,'34_W2_pH'!H15))</x:f>
        <x:v>6.27</x:v>
      </x:c>
      <x:c r="I1396" s="90" t="n">
        <x:f>IF(E1396=0,"",MAX('34_W2_pH'!B15,'34_W2_pH'!D15,'34_W2_pH'!F15,'34_W2_pH'!H15))</x:f>
        <x:v>6.46</x:v>
      </x:c>
      <x:c r="J1396" s="32" t="str"/>
    </x:row>
    <x:row r="1397">
      <x:c r="A1397" s="72" t="n">
        <x:v>46240.83741898148</x:v>
      </x:c>
      <x:c r="B1397" s="32" t="str">
        <x:v>土壤pH</x:v>
      </x:c>
      <x:c r="C1397" s="32" t="str">
        <x:v>W2</x:v>
      </x:c>
      <x:c r="D1397" s="32" t="str">
        <x:v>V2</x:v>
      </x:c>
      <x:c r="E1397" s="86" t="n">
        <x:f>COUNT('34_W2_pH'!C15,'34_W2_pH'!E15,'34_W2_pH'!G15,'34_W2_pH'!I15)</x:f>
        <x:v>4</x:v>
      </x:c>
      <x:c r="F1397" s="90" t="n">
        <x:f>IF(E1397=0,"",AVERAGE('34_W2_pH'!C15,'34_W2_pH'!E15,'34_W2_pH'!G15,'34_W2_pH'!I15))</x:f>
        <x:v>6.4275</x:v>
      </x:c>
      <x:c r="G1397" s="90" t="n">
        <x:f>IF(E1397&lt;2,"",STDEV.S('34_W2_pH'!C15,'34_W2_pH'!E15,'34_W2_pH'!G15,'34_W2_pH'!I15))</x:f>
        <x:v>0.08539125638299652</x:v>
      </x:c>
      <x:c r="H1397" s="90" t="n">
        <x:f>IF(E1397=0,"",MIN('34_W2_pH'!C15,'34_W2_pH'!E15,'34_W2_pH'!G15,'34_W2_pH'!I15))</x:f>
        <x:v>6.32</x:v>
      </x:c>
      <x:c r="I1397" s="90" t="n">
        <x:f>IF(E1397=0,"",MAX('34_W2_pH'!C15,'34_W2_pH'!E15,'34_W2_pH'!G15,'34_W2_pH'!I15))</x:f>
        <x:v>6.51</x:v>
      </x:c>
      <x:c r="J1397" s="32" t="str"/>
    </x:row>
    <x:row r="1398">
      <x:c r="A1398" s="72" t="n">
        <x:v>46240.840891203705</x:v>
      </x:c>
      <x:c r="B1398" s="32" t="str">
        <x:v>土壤pH</x:v>
      </x:c>
      <x:c r="C1398" s="32" t="str">
        <x:v>W2</x:v>
      </x:c>
      <x:c r="D1398" s="32" t="str">
        <x:v>V1</x:v>
      </x:c>
      <x:c r="E1398" s="86" t="n">
        <x:f>COUNT('34_W2_pH'!B16,'34_W2_pH'!D16,'34_W2_pH'!F16,'34_W2_pH'!H16)</x:f>
        <x:v>4</x:v>
      </x:c>
      <x:c r="F1398" s="90" t="n">
        <x:f>IF(E1398=0,"",AVERAGE('34_W2_pH'!B16,'34_W2_pH'!D16,'34_W2_pH'!F16,'34_W2_pH'!H16))</x:f>
        <x:v>6.3725</x:v>
      </x:c>
      <x:c r="G1398" s="90" t="n">
        <x:f>IF(E1398&lt;2,"",STDEV.S('34_W2_pH'!B16,'34_W2_pH'!D16,'34_W2_pH'!F16,'34_W2_pH'!H16))</x:f>
        <x:v>0.08958236433584464</x:v>
      </x:c>
      <x:c r="H1398" s="90" t="n">
        <x:f>IF(E1398=0,"",MIN('34_W2_pH'!B16,'34_W2_pH'!D16,'34_W2_pH'!F16,'34_W2_pH'!H16))</x:f>
        <x:v>6.27</x:v>
      </x:c>
      <x:c r="I1398" s="90" t="n">
        <x:f>IF(E1398=0,"",MAX('34_W2_pH'!B16,'34_W2_pH'!D16,'34_W2_pH'!F16,'34_W2_pH'!H16))</x:f>
        <x:v>6.47</x:v>
      </x:c>
      <x:c r="J1398" s="32" t="str"/>
    </x:row>
    <x:row r="1399">
      <x:c r="A1399" s="72" t="n">
        <x:v>46240.840891203705</x:v>
      </x:c>
      <x:c r="B1399" s="32" t="str">
        <x:v>土壤pH</x:v>
      </x:c>
      <x:c r="C1399" s="32" t="str">
        <x:v>W2</x:v>
      </x:c>
      <x:c r="D1399" s="32" t="str">
        <x:v>V2</x:v>
      </x:c>
      <x:c r="E1399" s="86" t="n">
        <x:f>COUNT('34_W2_pH'!C16,'34_W2_pH'!E16,'34_W2_pH'!G16,'34_W2_pH'!I16)</x:f>
        <x:v>4</x:v>
      </x:c>
      <x:c r="F1399" s="90" t="n">
        <x:f>IF(E1399=0,"",AVERAGE('34_W2_pH'!C16,'34_W2_pH'!E16,'34_W2_pH'!G16,'34_W2_pH'!I16))</x:f>
        <x:v>6.425000000000001</x:v>
      </x:c>
      <x:c r="G1399" s="90" t="n">
        <x:f>IF(E1399&lt;2,"",STDEV.S('34_W2_pH'!C16,'34_W2_pH'!E16,'34_W2_pH'!G16,'34_W2_pH'!I16))</x:f>
        <x:v>0.08660254037844381</x:v>
      </x:c>
      <x:c r="H1399" s="90" t="n">
        <x:f>IF(E1399=0,"",MIN('34_W2_pH'!C16,'34_W2_pH'!E16,'34_W2_pH'!G16,'34_W2_pH'!I16))</x:f>
        <x:v>6.32</x:v>
      </x:c>
      <x:c r="I1399" s="90" t="n">
        <x:f>IF(E1399=0,"",MAX('34_W2_pH'!C16,'34_W2_pH'!E16,'34_W2_pH'!G16,'34_W2_pH'!I16))</x:f>
        <x:v>6.51</x:v>
      </x:c>
      <x:c r="J1399" s="32" t="str"/>
    </x:row>
    <x:row r="1400">
      <x:c r="A1400" s="72" t="n">
        <x:v>46240.844363425924</x:v>
      </x:c>
      <x:c r="B1400" s="32" t="str">
        <x:v>土壤pH</x:v>
      </x:c>
      <x:c r="C1400" s="32" t="str">
        <x:v>W2</x:v>
      </x:c>
      <x:c r="D1400" s="32" t="str">
        <x:v>V1</x:v>
      </x:c>
      <x:c r="E1400" s="86" t="n">
        <x:f>COUNT('34_W2_pH'!B17,'34_W2_pH'!D17,'34_W2_pH'!F17,'34_W2_pH'!H17)</x:f>
        <x:v>4</x:v>
      </x:c>
      <x:c r="F1400" s="90" t="n">
        <x:f>IF(E1400=0,"",AVERAGE('34_W2_pH'!B17,'34_W2_pH'!D17,'34_W2_pH'!F17,'34_W2_pH'!H17))</x:f>
        <x:v>6.375</x:v>
      </x:c>
      <x:c r="G1400" s="90" t="n">
        <x:f>IF(E1400&lt;2,"",STDEV.S('34_W2_pH'!B17,'34_W2_pH'!D17,'34_W2_pH'!F17,'34_W2_pH'!H17))</x:f>
        <x:v>0.08582928793055801</x:v>
      </x:c>
      <x:c r="H1400" s="90" t="n">
        <x:f>IF(E1400=0,"",MIN('34_W2_pH'!B17,'34_W2_pH'!D17,'34_W2_pH'!F17,'34_W2_pH'!H17))</x:f>
        <x:v>6.28</x:v>
      </x:c>
      <x:c r="I1400" s="90" t="n">
        <x:f>IF(E1400=0,"",MAX('34_W2_pH'!B17,'34_W2_pH'!D17,'34_W2_pH'!F17,'34_W2_pH'!H17))</x:f>
        <x:v>6.47</x:v>
      </x:c>
      <x:c r="J1400" s="32" t="str"/>
    </x:row>
    <x:row r="1401">
      <x:c r="A1401" s="72" t="n">
        <x:v>46240.844363425924</x:v>
      </x:c>
      <x:c r="B1401" s="32" t="str">
        <x:v>土壤pH</x:v>
      </x:c>
      <x:c r="C1401" s="32" t="str">
        <x:v>W2</x:v>
      </x:c>
      <x:c r="D1401" s="32" t="str">
        <x:v>V2</x:v>
      </x:c>
      <x:c r="E1401" s="86" t="n">
        <x:f>COUNT('34_W2_pH'!C17,'34_W2_pH'!E17,'34_W2_pH'!G17,'34_W2_pH'!I17)</x:f>
        <x:v>4</x:v>
      </x:c>
      <x:c r="F1401" s="90" t="n">
        <x:f>IF(E1401=0,"",AVERAGE('34_W2_pH'!C17,'34_W2_pH'!E17,'34_W2_pH'!G17,'34_W2_pH'!I17))</x:f>
        <x:v>6.422499999999999</x:v>
      </x:c>
      <x:c r="G1401" s="90" t="n">
        <x:f>IF(E1401&lt;2,"",STDEV.S('34_W2_pH'!C17,'34_W2_pH'!E17,'34_W2_pH'!G17,'34_W2_pH'!I17))</x:f>
        <x:v>0.0895823643358443</x:v>
      </x:c>
      <x:c r="H1401" s="90" t="n">
        <x:f>IF(E1401=0,"",MIN('34_W2_pH'!C17,'34_W2_pH'!E17,'34_W2_pH'!G17,'34_W2_pH'!I17))</x:f>
        <x:v>6.32</x:v>
      </x:c>
      <x:c r="I1401" s="90" t="n">
        <x:f>IF(E1401=0,"",MAX('34_W2_pH'!C17,'34_W2_pH'!E17,'34_W2_pH'!G17,'34_W2_pH'!I17))</x:f>
        <x:v>6.52</x:v>
      </x:c>
      <x:c r="J1401" s="32" t="str"/>
    </x:row>
    <x:row r="1402">
      <x:c r="A1402" s="72" t="n">
        <x:v>46240.84783564815</x:v>
      </x:c>
      <x:c r="B1402" s="32" t="str">
        <x:v>土壤pH</x:v>
      </x:c>
      <x:c r="C1402" s="32" t="str">
        <x:v>W2</x:v>
      </x:c>
      <x:c r="D1402" s="32" t="str">
        <x:v>V1</x:v>
      </x:c>
      <x:c r="E1402" s="86" t="n">
        <x:f>COUNT('34_W2_pH'!B18,'34_W2_pH'!D18,'34_W2_pH'!F18,'34_W2_pH'!H18)</x:f>
        <x:v>4</x:v>
      </x:c>
      <x:c r="F1402" s="90" t="n">
        <x:f>IF(E1402=0,"",AVERAGE('34_W2_pH'!B18,'34_W2_pH'!D18,'34_W2_pH'!F18,'34_W2_pH'!H18))</x:f>
        <x:v>6.3725000000000005</x:v>
      </x:c>
      <x:c r="G1402" s="90" t="n">
        <x:f>IF(E1402&lt;2,"",STDEV.S('34_W2_pH'!B18,'34_W2_pH'!D18,'34_W2_pH'!F18,'34_W2_pH'!H18))</x:f>
        <x:v>0.08995369179009095</x:v>
      </x:c>
      <x:c r="H1402" s="90" t="n">
        <x:f>IF(E1402=0,"",MIN('34_W2_pH'!B18,'34_W2_pH'!D18,'34_W2_pH'!F18,'34_W2_pH'!H18))</x:f>
        <x:v>6.28</x:v>
      </x:c>
      <x:c r="I1402" s="90" t="n">
        <x:f>IF(E1402=0,"",MAX('34_W2_pH'!B18,'34_W2_pH'!D18,'34_W2_pH'!F18,'34_W2_pH'!H18))</x:f>
        <x:v>6.48</x:v>
      </x:c>
      <x:c r="J1402" s="32" t="str"/>
    </x:row>
    <x:row r="1403">
      <x:c r="A1403" s="72" t="n">
        <x:v>46240.84783564815</x:v>
      </x:c>
      <x:c r="B1403" s="32" t="str">
        <x:v>土壤pH</x:v>
      </x:c>
      <x:c r="C1403" s="32" t="str">
        <x:v>W2</x:v>
      </x:c>
      <x:c r="D1403" s="32" t="str">
        <x:v>V2</x:v>
      </x:c>
      <x:c r="E1403" s="86" t="n">
        <x:f>COUNT('34_W2_pH'!C18,'34_W2_pH'!E18,'34_W2_pH'!G18,'34_W2_pH'!I18)</x:f>
        <x:v>4</x:v>
      </x:c>
      <x:c r="F1403" s="90" t="n">
        <x:f>IF(E1403=0,"",AVERAGE('34_W2_pH'!C18,'34_W2_pH'!E18,'34_W2_pH'!G18,'34_W2_pH'!I18))</x:f>
        <x:v>6.425</x:v>
      </x:c>
      <x:c r="G1403" s="90" t="n">
        <x:f>IF(E1403&lt;2,"",STDEV.S('34_W2_pH'!C18,'34_W2_pH'!E18,'34_W2_pH'!G18,'34_W2_pH'!I18))</x:f>
        <x:v>0.08582928793055801</x:v>
      </x:c>
      <x:c r="H1403" s="90" t="n">
        <x:f>IF(E1403=0,"",MIN('34_W2_pH'!C18,'34_W2_pH'!E18,'34_W2_pH'!G18,'34_W2_pH'!I18))</x:f>
        <x:v>6.33</x:v>
      </x:c>
      <x:c r="I1403" s="90" t="n">
        <x:f>IF(E1403=0,"",MAX('34_W2_pH'!C18,'34_W2_pH'!E18,'34_W2_pH'!G18,'34_W2_pH'!I18))</x:f>
        <x:v>6.52</x:v>
      </x:c>
      <x:c r="J1403" s="32" t="str"/>
    </x:row>
    <x:row r="1404">
      <x:c r="A1404" s="72" t="n">
        <x:v>46240.85130787037</x:v>
      </x:c>
      <x:c r="B1404" s="32" t="str">
        <x:v>土壤pH</x:v>
      </x:c>
      <x:c r="C1404" s="32" t="str">
        <x:v>W2</x:v>
      </x:c>
      <x:c r="D1404" s="32" t="str">
        <x:v>V1</x:v>
      </x:c>
      <x:c r="E1404" s="86" t="n">
        <x:f>COUNT('34_W2_pH'!B19,'34_W2_pH'!D19,'34_W2_pH'!F19,'34_W2_pH'!H19)</x:f>
        <x:v>4</x:v>
      </x:c>
      <x:c r="F1404" s="90" t="n">
        <x:f>IF(E1404=0,"",AVERAGE('34_W2_pH'!B19,'34_W2_pH'!D19,'34_W2_pH'!F19,'34_W2_pH'!H19))</x:f>
        <x:v>6.375</x:v>
      </x:c>
      <x:c r="G1404" s="90" t="n">
        <x:f>IF(E1404&lt;2,"",STDEV.S('34_W2_pH'!B19,'34_W2_pH'!D19,'34_W2_pH'!F19,'34_W2_pH'!H19))</x:f>
        <x:v>0.08660254037844399</x:v>
      </x:c>
      <x:c r="H1404" s="90" t="n">
        <x:f>IF(E1404=0,"",MIN('34_W2_pH'!B19,'34_W2_pH'!D19,'34_W2_pH'!F19,'34_W2_pH'!H19))</x:f>
        <x:v>6.29</x:v>
      </x:c>
      <x:c r="I1404" s="90" t="n">
        <x:f>IF(E1404=0,"",MAX('34_W2_pH'!B19,'34_W2_pH'!D19,'34_W2_pH'!F19,'34_W2_pH'!H19))</x:f>
        <x:v>6.48</x:v>
      </x:c>
      <x:c r="J1404" s="32" t="str"/>
    </x:row>
    <x:row r="1405">
      <x:c r="A1405" s="72" t="n">
        <x:v>46240.85130787037</x:v>
      </x:c>
      <x:c r="B1405" s="32" t="str">
        <x:v>土壤pH</x:v>
      </x:c>
      <x:c r="C1405" s="32" t="str">
        <x:v>W2</x:v>
      </x:c>
      <x:c r="D1405" s="32" t="str">
        <x:v>V2</x:v>
      </x:c>
      <x:c r="E1405" s="86" t="n">
        <x:f>COUNT('34_W2_pH'!C19,'34_W2_pH'!E19,'34_W2_pH'!G19,'34_W2_pH'!I19)</x:f>
        <x:v>4</x:v>
      </x:c>
      <x:c r="F1405" s="90" t="n">
        <x:f>IF(E1405=0,"",AVERAGE('34_W2_pH'!C19,'34_W2_pH'!E19,'34_W2_pH'!G19,'34_W2_pH'!I19))</x:f>
        <x:v>6.4225</x:v>
      </x:c>
      <x:c r="G1405" s="90" t="n">
        <x:f>IF(E1405&lt;2,"",STDEV.S('34_W2_pH'!C19,'34_W2_pH'!E19,'34_W2_pH'!G19,'34_W2_pH'!I19))</x:f>
        <x:v>0.08995369179009095</x:v>
      </x:c>
      <x:c r="H1405" s="90" t="n">
        <x:f>IF(E1405=0,"",MIN('34_W2_pH'!C19,'34_W2_pH'!E19,'34_W2_pH'!G19,'34_W2_pH'!I19))</x:f>
        <x:v>6.33</x:v>
      </x:c>
      <x:c r="I1405" s="90" t="n">
        <x:f>IF(E1405=0,"",MAX('34_W2_pH'!C19,'34_W2_pH'!E19,'34_W2_pH'!G19,'34_W2_pH'!I19))</x:f>
        <x:v>6.53</x:v>
      </x:c>
      <x:c r="J1405" s="32" t="str"/>
    </x:row>
    <x:row r="1406">
      <x:c r="A1406" s="72" t="n">
        <x:v>46240.854780092595</x:v>
      </x:c>
      <x:c r="B1406" s="32" t="str">
        <x:v>土壤pH</x:v>
      </x:c>
      <x:c r="C1406" s="32" t="str">
        <x:v>W2</x:v>
      </x:c>
      <x:c r="D1406" s="32" t="str">
        <x:v>V1</x:v>
      </x:c>
      <x:c r="E1406" s="86" t="n">
        <x:f>COUNT('34_W2_pH'!B20,'34_W2_pH'!D20,'34_W2_pH'!F20,'34_W2_pH'!H20)</x:f>
        <x:v>4</x:v>
      </x:c>
      <x:c r="F1406" s="90" t="n">
        <x:f>IF(E1406=0,"",AVERAGE('34_W2_pH'!B20,'34_W2_pH'!D20,'34_W2_pH'!F20,'34_W2_pH'!H20))</x:f>
        <x:v>6.375000000000001</x:v>
      </x:c>
      <x:c r="G1406" s="90" t="n">
        <x:f>IF(E1406&lt;2,"",STDEV.S('34_W2_pH'!B20,'34_W2_pH'!D20,'34_W2_pH'!F20,'34_W2_pH'!H20))</x:f>
        <x:v>0.08225975119502064</x:v>
      </x:c>
      <x:c r="H1406" s="90" t="n">
        <x:f>IF(E1406=0,"",MIN('34_W2_pH'!B20,'34_W2_pH'!D20,'34_W2_pH'!F20,'34_W2_pH'!H20))</x:f>
        <x:v>6.3</x:v>
      </x:c>
      <x:c r="I1406" s="90" t="n">
        <x:f>IF(E1406=0,"",MAX('34_W2_pH'!B20,'34_W2_pH'!D20,'34_W2_pH'!F20,'34_W2_pH'!H20))</x:f>
        <x:v>6.48</x:v>
      </x:c>
      <x:c r="J1406" s="32" t="str"/>
    </x:row>
    <x:row r="1407">
      <x:c r="A1407" s="72" t="n">
        <x:v>46240.854780092595</x:v>
      </x:c>
      <x:c r="B1407" s="32" t="str">
        <x:v>土壤pH</x:v>
      </x:c>
      <x:c r="C1407" s="32" t="str">
        <x:v>W2</x:v>
      </x:c>
      <x:c r="D1407" s="32" t="str">
        <x:v>V2</x:v>
      </x:c>
      <x:c r="E1407" s="86" t="n">
        <x:f>COUNT('34_W2_pH'!C20,'34_W2_pH'!E20,'34_W2_pH'!G20,'34_W2_pH'!I20)</x:f>
        <x:v>4</x:v>
      </x:c>
      <x:c r="F1407" s="90" t="n">
        <x:f>IF(E1407=0,"",AVERAGE('34_W2_pH'!C20,'34_W2_pH'!E20,'34_W2_pH'!G20,'34_W2_pH'!I20))</x:f>
        <x:v>6.425000000000001</x:v>
      </x:c>
      <x:c r="G1407" s="90" t="n">
        <x:f>IF(E1407&lt;2,"",STDEV.S('34_W2_pH'!C20,'34_W2_pH'!E20,'34_W2_pH'!G20,'34_W2_pH'!I20))</x:f>
        <x:v>0.08660254037844399</x:v>
      </x:c>
      <x:c r="H1407" s="90" t="n">
        <x:f>IF(E1407=0,"",MIN('34_W2_pH'!C20,'34_W2_pH'!E20,'34_W2_pH'!G20,'34_W2_pH'!I20))</x:f>
        <x:v>6.34</x:v>
      </x:c>
      <x:c r="I1407" s="90" t="n">
        <x:f>IF(E1407=0,"",MAX('34_W2_pH'!C20,'34_W2_pH'!E20,'34_W2_pH'!G20,'34_W2_pH'!I20))</x:f>
        <x:v>6.53</x:v>
      </x:c>
      <x:c r="J1407" s="32" t="str"/>
    </x:row>
    <x:row r="1408">
      <x:c r="A1408" s="72" t="n">
        <x:v>46240.858252314814</x:v>
      </x:c>
      <x:c r="B1408" s="32" t="str">
        <x:v>土壤pH</x:v>
      </x:c>
      <x:c r="C1408" s="32" t="str">
        <x:v>W2</x:v>
      </x:c>
      <x:c r="D1408" s="32" t="str">
        <x:v>V1</x:v>
      </x:c>
      <x:c r="E1408" s="86" t="n">
        <x:f>COUNT('34_W2_pH'!B21,'34_W2_pH'!D21,'34_W2_pH'!F21,'34_W2_pH'!H21)</x:f>
        <x:v>4</x:v>
      </x:c>
      <x:c r="F1408" s="90" t="n">
        <x:f>IF(E1408=0,"",AVERAGE('34_W2_pH'!B21,'34_W2_pH'!D21,'34_W2_pH'!F21,'34_W2_pH'!H21))</x:f>
        <x:v>6.375</x:v>
      </x:c>
      <x:c r="G1408" s="90" t="n">
        <x:f>IF(E1408&lt;2,"",STDEV.S('34_W2_pH'!B21,'34_W2_pH'!D21,'34_W2_pH'!F21,'34_W2_pH'!H21))</x:f>
        <x:v>0.07852812659593185</x:v>
      </x:c>
      <x:c r="H1408" s="90" t="n">
        <x:f>IF(E1408=0,"",MIN('34_W2_pH'!B21,'34_W2_pH'!D21,'34_W2_pH'!F21,'34_W2_pH'!H21))</x:f>
        <x:v>6.31</x:v>
      </x:c>
      <x:c r="I1408" s="90" t="n">
        <x:f>IF(E1408=0,"",MAX('34_W2_pH'!B21,'34_W2_pH'!D21,'34_W2_pH'!F21,'34_W2_pH'!H21))</x:f>
        <x:v>6.48</x:v>
      </x:c>
      <x:c r="J1408" s="32" t="str"/>
    </x:row>
    <x:row r="1409">
      <x:c r="A1409" s="72" t="n">
        <x:v>46240.858252314814</x:v>
      </x:c>
      <x:c r="B1409" s="32" t="str">
        <x:v>土壤pH</x:v>
      </x:c>
      <x:c r="C1409" s="32" t="str">
        <x:v>W2</x:v>
      </x:c>
      <x:c r="D1409" s="32" t="str">
        <x:v>V2</x:v>
      </x:c>
      <x:c r="E1409" s="86" t="n">
        <x:f>COUNT('34_W2_pH'!C21,'34_W2_pH'!E21,'34_W2_pH'!G21,'34_W2_pH'!I21)</x:f>
        <x:v>4</x:v>
      </x:c>
      <x:c r="F1409" s="90" t="n">
        <x:f>IF(E1409=0,"",AVERAGE('34_W2_pH'!C21,'34_W2_pH'!E21,'34_W2_pH'!G21,'34_W2_pH'!I21))</x:f>
        <x:v>6.425</x:v>
      </x:c>
      <x:c r="G1409" s="90" t="n">
        <x:f>IF(E1409&lt;2,"",STDEV.S('34_W2_pH'!C21,'34_W2_pH'!E21,'34_W2_pH'!G21,'34_W2_pH'!I21))</x:f>
        <x:v>0.08225975119502064</x:v>
      </x:c>
      <x:c r="H1409" s="90" t="n">
        <x:f>IF(E1409=0,"",MIN('34_W2_pH'!C21,'34_W2_pH'!E21,'34_W2_pH'!G21,'34_W2_pH'!I21))</x:f>
        <x:v>6.35</x:v>
      </x:c>
      <x:c r="I1409" s="90" t="n">
        <x:f>IF(E1409=0,"",MAX('34_W2_pH'!C21,'34_W2_pH'!E21,'34_W2_pH'!G21,'34_W2_pH'!I21))</x:f>
        <x:v>6.53</x:v>
      </x:c>
      <x:c r="J1409" s="32" t="str"/>
    </x:row>
    <x:row r="1410">
      <x:c r="A1410" s="72" t="n">
        <x:v>46240.86172453704</x:v>
      </x:c>
      <x:c r="B1410" s="32" t="str">
        <x:v>土壤pH</x:v>
      </x:c>
      <x:c r="C1410" s="32" t="str">
        <x:v>W2</x:v>
      </x:c>
      <x:c r="D1410" s="32" t="str">
        <x:v>V1</x:v>
      </x:c>
      <x:c r="E1410" s="86" t="n">
        <x:f>COUNT('34_W2_pH'!B22,'34_W2_pH'!D22,'34_W2_pH'!F22,'34_W2_pH'!H22)</x:f>
        <x:v>4</x:v>
      </x:c>
      <x:c r="F1410" s="90" t="n">
        <x:f>IF(E1410=0,"",AVERAGE('34_W2_pH'!B22,'34_W2_pH'!D22,'34_W2_pH'!F22,'34_W2_pH'!H22))</x:f>
        <x:v>6.369999999999999</x:v>
      </x:c>
      <x:c r="G1410" s="90" t="n">
        <x:f>IF(E1410&lt;2,"",STDEV.S('34_W2_pH'!B22,'34_W2_pH'!D22,'34_W2_pH'!F22,'34_W2_pH'!H22))</x:f>
        <x:v>0.07348469228349526</x:v>
      </x:c>
      <x:c r="H1410" s="90" t="n">
        <x:f>IF(E1410=0,"",MIN('34_W2_pH'!B22,'34_W2_pH'!D22,'34_W2_pH'!F22,'34_W2_pH'!H22))</x:f>
        <x:v>6.31</x:v>
      </x:c>
      <x:c r="I1410" s="90" t="n">
        <x:f>IF(E1410=0,"",MAX('34_W2_pH'!B22,'34_W2_pH'!D22,'34_W2_pH'!F22,'34_W2_pH'!H22))</x:f>
        <x:v>6.47</x:v>
      </x:c>
      <x:c r="J1410" s="32" t="str"/>
    </x:row>
    <x:row r="1411">
      <x:c r="A1411" s="72" t="n">
        <x:v>46240.86172453704</x:v>
      </x:c>
      <x:c r="B1411" s="32" t="str">
        <x:v>土壤pH</x:v>
      </x:c>
      <x:c r="C1411" s="32" t="str">
        <x:v>W2</x:v>
      </x:c>
      <x:c r="D1411" s="32" t="str">
        <x:v>V2</x:v>
      </x:c>
      <x:c r="E1411" s="86" t="n">
        <x:f>COUNT('34_W2_pH'!C22,'34_W2_pH'!E22,'34_W2_pH'!G22,'34_W2_pH'!I22)</x:f>
        <x:v>4</x:v>
      </x:c>
      <x:c r="F1411" s="90" t="n">
        <x:f>IF(E1411=0,"",AVERAGE('34_W2_pH'!C22,'34_W2_pH'!E22,'34_W2_pH'!G22,'34_W2_pH'!I22))</x:f>
        <x:v>6.425000000000001</x:v>
      </x:c>
      <x:c r="G1411" s="90" t="n">
        <x:f>IF(E1411&lt;2,"",STDEV.S('34_W2_pH'!C22,'34_W2_pH'!E22,'34_W2_pH'!G22,'34_W2_pH'!I22))</x:f>
        <x:v>0.07852812659593167</x:v>
      </x:c>
      <x:c r="H1411" s="90" t="n">
        <x:f>IF(E1411=0,"",MIN('34_W2_pH'!C22,'34_W2_pH'!E22,'34_W2_pH'!G22,'34_W2_pH'!I22))</x:f>
        <x:v>6.36</x:v>
      </x:c>
      <x:c r="I1411" s="90" t="n">
        <x:f>IF(E1411=0,"",MAX('34_W2_pH'!C22,'34_W2_pH'!E22,'34_W2_pH'!G22,'34_W2_pH'!I22))</x:f>
        <x:v>6.53</x:v>
      </x:c>
      <x:c r="J1411" s="32" t="str"/>
    </x:row>
    <x:row r="1412">
      <x:c r="A1412" s="72" t="n">
        <x:v>46240.86519675926</x:v>
      </x:c>
      <x:c r="B1412" s="32" t="str">
        <x:v>土壤pH</x:v>
      </x:c>
      <x:c r="C1412" s="32" t="str">
        <x:v>W2</x:v>
      </x:c>
      <x:c r="D1412" s="32" t="str">
        <x:v>V1</x:v>
      </x:c>
      <x:c r="E1412" s="86" t="n">
        <x:f>COUNT('34_W2_pH'!B23,'34_W2_pH'!D23,'34_W2_pH'!F23,'34_W2_pH'!H23)</x:f>
        <x:v>4</x:v>
      </x:c>
      <x:c r="F1412" s="90" t="n">
        <x:f>IF(E1412=0,"",AVERAGE('34_W2_pH'!B23,'34_W2_pH'!D23,'34_W2_pH'!F23,'34_W2_pH'!H23))</x:f>
        <x:v>6.375</x:v>
      </x:c>
      <x:c r="G1412" s="90" t="n">
        <x:f>IF(E1412&lt;2,"",STDEV.S('34_W2_pH'!B23,'34_W2_pH'!D23,'34_W2_pH'!F23,'34_W2_pH'!H23))</x:f>
        <x:v>0.06855654600401023</x:v>
      </x:c>
      <x:c r="H1412" s="90" t="n">
        <x:f>IF(E1412=0,"",MIN('34_W2_pH'!B23,'34_W2_pH'!D23,'34_W2_pH'!F23,'34_W2_pH'!H23))</x:f>
        <x:v>6.32</x:v>
      </x:c>
      <x:c r="I1412" s="90" t="n">
        <x:f>IF(E1412=0,"",MAX('34_W2_pH'!B23,'34_W2_pH'!D23,'34_W2_pH'!F23,'34_W2_pH'!H23))</x:f>
        <x:v>6.47</x:v>
      </x:c>
      <x:c r="J1412" s="32" t="str"/>
    </x:row>
    <x:row r="1413">
      <x:c r="A1413" s="72" t="n">
        <x:v>46240.86519675926</x:v>
      </x:c>
      <x:c r="B1413" s="32" t="str">
        <x:v>土壤pH</x:v>
      </x:c>
      <x:c r="C1413" s="32" t="str">
        <x:v>W2</x:v>
      </x:c>
      <x:c r="D1413" s="32" t="str">
        <x:v>V2</x:v>
      </x:c>
      <x:c r="E1413" s="86" t="n">
        <x:f>COUNT('34_W2_pH'!C23,'34_W2_pH'!E23,'34_W2_pH'!G23,'34_W2_pH'!I23)</x:f>
        <x:v>4</x:v>
      </x:c>
      <x:c r="F1413" s="90" t="n">
        <x:f>IF(E1413=0,"",AVERAGE('34_W2_pH'!C23,'34_W2_pH'!E23,'34_W2_pH'!G23,'34_W2_pH'!I23))</x:f>
        <x:v>6.42</x:v>
      </x:c>
      <x:c r="G1413" s="90" t="n">
        <x:f>IF(E1413&lt;2,"",STDEV.S('34_W2_pH'!C23,'34_W2_pH'!E23,'34_W2_pH'!G23,'34_W2_pH'!I23))</x:f>
        <x:v>0.07348469228349502</x:v>
      </x:c>
      <x:c r="H1413" s="90" t="n">
        <x:f>IF(E1413=0,"",MIN('34_W2_pH'!C23,'34_W2_pH'!E23,'34_W2_pH'!G23,'34_W2_pH'!I23))</x:f>
        <x:v>6.36</x:v>
      </x:c>
      <x:c r="I1413" s="90" t="n">
        <x:f>IF(E1413=0,"",MAX('34_W2_pH'!C23,'34_W2_pH'!E23,'34_W2_pH'!G23,'34_W2_pH'!I23))</x:f>
        <x:v>6.52</x:v>
      </x:c>
      <x:c r="J1413" s="32" t="str"/>
    </x:row>
    <x:row r="1414">
      <x:c r="A1414" s="72" t="n">
        <x:v>46240.86866898148</x:v>
      </x:c>
      <x:c r="B1414" s="32" t="str">
        <x:v>土壤pH</x:v>
      </x:c>
      <x:c r="C1414" s="32" t="str">
        <x:v>W2</x:v>
      </x:c>
      <x:c r="D1414" s="32" t="str">
        <x:v>V1</x:v>
      </x:c>
      <x:c r="E1414" s="86" t="n">
        <x:f>COUNT('34_W2_pH'!B24,'34_W2_pH'!D24,'34_W2_pH'!F24,'34_W2_pH'!H24)</x:f>
        <x:v>4</x:v>
      </x:c>
      <x:c r="F1414" s="90" t="n">
        <x:f>IF(E1414=0,"",AVERAGE('34_W2_pH'!B24,'34_W2_pH'!D24,'34_W2_pH'!F24,'34_W2_pH'!H24))</x:f>
        <x:v>6.37</x:v>
      </x:c>
      <x:c r="G1414" s="90" t="n">
        <x:f>IF(E1414&lt;2,"",STDEV.S('34_W2_pH'!B24,'34_W2_pH'!D24,'34_W2_pH'!F24,'34_W2_pH'!H24))</x:f>
        <x:v>0.06377042156569654</x:v>
      </x:c>
      <x:c r="H1414" s="90" t="n">
        <x:f>IF(E1414=0,"",MIN('34_W2_pH'!B24,'34_W2_pH'!D24,'34_W2_pH'!F24,'34_W2_pH'!H24))</x:f>
        <x:v>6.32</x:v>
      </x:c>
      <x:c r="I1414" s="90" t="n">
        <x:f>IF(E1414=0,"",MAX('34_W2_pH'!B24,'34_W2_pH'!D24,'34_W2_pH'!F24,'34_W2_pH'!H24))</x:f>
        <x:v>6.46</x:v>
      </x:c>
      <x:c r="J1414" s="32" t="str"/>
    </x:row>
    <x:row r="1415">
      <x:c r="A1415" s="72" t="n">
        <x:v>46240.86866898148</x:v>
      </x:c>
      <x:c r="B1415" s="32" t="str">
        <x:v>土壤pH</x:v>
      </x:c>
      <x:c r="C1415" s="32" t="str">
        <x:v>W2</x:v>
      </x:c>
      <x:c r="D1415" s="32" t="str">
        <x:v>V2</x:v>
      </x:c>
      <x:c r="E1415" s="86" t="n">
        <x:f>COUNT('34_W2_pH'!C24,'34_W2_pH'!E24,'34_W2_pH'!G24,'34_W2_pH'!I24)</x:f>
        <x:v>4</x:v>
      </x:c>
      <x:c r="F1415" s="90" t="n">
        <x:f>IF(E1415=0,"",AVERAGE('34_W2_pH'!C24,'34_W2_pH'!E24,'34_W2_pH'!G24,'34_W2_pH'!I24))</x:f>
        <x:v>6.425</x:v>
      </x:c>
      <x:c r="G1415" s="90" t="n">
        <x:f>IF(E1415&lt;2,"",STDEV.S('34_W2_pH'!C24,'34_W2_pH'!E24,'34_W2_pH'!G24,'34_W2_pH'!I24))</x:f>
        <x:v>0.06855654600401023</x:v>
      </x:c>
      <x:c r="H1415" s="90" t="n">
        <x:f>IF(E1415=0,"",MIN('34_W2_pH'!C24,'34_W2_pH'!E24,'34_W2_pH'!G24,'34_W2_pH'!I24))</x:f>
        <x:v>6.37</x:v>
      </x:c>
      <x:c r="I1415" s="90" t="n">
        <x:f>IF(E1415=0,"",MAX('34_W2_pH'!C24,'34_W2_pH'!E24,'34_W2_pH'!G24,'34_W2_pH'!I24))</x:f>
        <x:v>6.52</x:v>
      </x:c>
      <x:c r="J1415" s="32" t="str"/>
    </x:row>
    <x:row r="1416">
      <x:c r="A1416" s="72" t="n">
        <x:v>46240.872141203705</x:v>
      </x:c>
      <x:c r="B1416" s="32" t="str">
        <x:v>土壤pH</x:v>
      </x:c>
      <x:c r="C1416" s="32" t="str">
        <x:v>W2</x:v>
      </x:c>
      <x:c r="D1416" s="32" t="str">
        <x:v>V1</x:v>
      </x:c>
      <x:c r="E1416" s="86" t="n">
        <x:f>COUNT('34_W2_pH'!B25,'34_W2_pH'!D25,'34_W2_pH'!F25,'34_W2_pH'!H25)</x:f>
        <x:v>4</x:v>
      </x:c>
      <x:c r="F1416" s="90" t="n">
        <x:f>IF(E1416=0,"",AVERAGE('34_W2_pH'!B25,'34_W2_pH'!D25,'34_W2_pH'!F25,'34_W2_pH'!H25))</x:f>
        <x:v>6.375</x:v>
      </x:c>
      <x:c r="G1416" s="90" t="n">
        <x:f>IF(E1416&lt;2,"",STDEV.S('34_W2_pH'!B25,'34_W2_pH'!D25,'34_W2_pH'!F25,'34_W2_pH'!H25))</x:f>
        <x:v>0.05916079783099615</x:v>
      </x:c>
      <x:c r="H1416" s="90" t="n">
        <x:f>IF(E1416=0,"",MIN('34_W2_pH'!B25,'34_W2_pH'!D25,'34_W2_pH'!F25,'34_W2_pH'!H25))</x:f>
        <x:v>6.33</x:v>
      </x:c>
      <x:c r="I1416" s="90" t="n">
        <x:f>IF(E1416=0,"",MAX('34_W2_pH'!B25,'34_W2_pH'!D25,'34_W2_pH'!F25,'34_W2_pH'!H25))</x:f>
        <x:v>6.46</x:v>
      </x:c>
      <x:c r="J1416" s="32" t="str"/>
    </x:row>
    <x:row r="1417">
      <x:c r="A1417" s="72" t="n">
        <x:v>46240.872141203705</x:v>
      </x:c>
      <x:c r="B1417" s="32" t="str">
        <x:v>土壤pH</x:v>
      </x:c>
      <x:c r="C1417" s="32" t="str">
        <x:v>W2</x:v>
      </x:c>
      <x:c r="D1417" s="32" t="str">
        <x:v>V2</x:v>
      </x:c>
      <x:c r="E1417" s="86" t="n">
        <x:f>COUNT('34_W2_pH'!C25,'34_W2_pH'!E25,'34_W2_pH'!G25,'34_W2_pH'!I25)</x:f>
        <x:v>4</x:v>
      </x:c>
      <x:c r="F1417" s="90" t="n">
        <x:f>IF(E1417=0,"",AVERAGE('34_W2_pH'!C25,'34_W2_pH'!E25,'34_W2_pH'!G25,'34_W2_pH'!I25))</x:f>
        <x:v>6.42</x:v>
      </x:c>
      <x:c r="G1417" s="90" t="n">
        <x:f>IF(E1417&lt;2,"",STDEV.S('34_W2_pH'!C25,'34_W2_pH'!E25,'34_W2_pH'!G25,'34_W2_pH'!I25))</x:f>
        <x:v>0.06377042156569654</x:v>
      </x:c>
      <x:c r="H1417" s="90" t="n">
        <x:f>IF(E1417=0,"",MIN('34_W2_pH'!C25,'34_W2_pH'!E25,'34_W2_pH'!G25,'34_W2_pH'!I25))</x:f>
        <x:v>6.37</x:v>
      </x:c>
      <x:c r="I1417" s="90" t="n">
        <x:f>IF(E1417=0,"",MAX('34_W2_pH'!C25,'34_W2_pH'!E25,'34_W2_pH'!G25,'34_W2_pH'!I25))</x:f>
        <x:v>6.51</x:v>
      </x:c>
      <x:c r="J1417" s="32" t="str"/>
    </x:row>
    <x:row r="1418">
      <x:c r="A1418" s="72" t="n">
        <x:v>46240.875613425924</x:v>
      </x:c>
      <x:c r="B1418" s="32" t="str">
        <x:v>土壤pH</x:v>
      </x:c>
      <x:c r="C1418" s="32" t="str">
        <x:v>W2</x:v>
      </x:c>
      <x:c r="D1418" s="32" t="str">
        <x:v>V1</x:v>
      </x:c>
      <x:c r="E1418" s="86" t="n">
        <x:f>COUNT('34_W2_pH'!B26,'34_W2_pH'!D26,'34_W2_pH'!F26,'34_W2_pH'!H26)</x:f>
        <x:v>4</x:v>
      </x:c>
      <x:c r="F1418" s="90" t="n">
        <x:f>IF(E1418=0,"",AVERAGE('34_W2_pH'!B26,'34_W2_pH'!D26,'34_W2_pH'!F26,'34_W2_pH'!H26))</x:f>
        <x:v>6.375</x:v>
      </x:c>
      <x:c r="G1418" s="90" t="n">
        <x:f>IF(E1418&lt;2,"",STDEV.S('34_W2_pH'!B26,'34_W2_pH'!D26,'34_W2_pH'!F26,'34_W2_pH'!H26))</x:f>
        <x:v>0.052599112793531785</x:v>
      </x:c>
      <x:c r="H1418" s="90" t="n">
        <x:f>IF(E1418=0,"",MIN('34_W2_pH'!B26,'34_W2_pH'!D26,'34_W2_pH'!F26,'34_W2_pH'!H26))</x:f>
        <x:v>6.33</x:v>
      </x:c>
      <x:c r="I1418" s="90" t="n">
        <x:f>IF(E1418=0,"",MAX('34_W2_pH'!B26,'34_W2_pH'!D26,'34_W2_pH'!F26,'34_W2_pH'!H26))</x:f>
        <x:v>6.45</x:v>
      </x:c>
      <x:c r="J1418" s="32" t="str"/>
    </x:row>
    <x:row r="1419">
      <x:c r="A1419" s="72" t="n">
        <x:v>46240.875613425924</x:v>
      </x:c>
      <x:c r="B1419" s="32" t="str">
        <x:v>土壤pH</x:v>
      </x:c>
      <x:c r="C1419" s="32" t="str">
        <x:v>W2</x:v>
      </x:c>
      <x:c r="D1419" s="32" t="str">
        <x:v>V2</x:v>
      </x:c>
      <x:c r="E1419" s="86" t="n">
        <x:f>COUNT('34_W2_pH'!C26,'34_W2_pH'!E26,'34_W2_pH'!G26,'34_W2_pH'!I26)</x:f>
        <x:v>4</x:v>
      </x:c>
      <x:c r="F1419" s="90" t="n">
        <x:f>IF(E1419=0,"",AVERAGE('34_W2_pH'!C26,'34_W2_pH'!E26,'34_W2_pH'!G26,'34_W2_pH'!I26))</x:f>
        <x:v>6.424999999999999</x:v>
      </x:c>
      <x:c r="G1419" s="90" t="n">
        <x:f>IF(E1419&lt;2,"",STDEV.S('34_W2_pH'!C26,'34_W2_pH'!E26,'34_W2_pH'!G26,'34_W2_pH'!I26))</x:f>
        <x:v>0.059160797830996155</x:v>
      </x:c>
      <x:c r="H1419" s="90" t="n">
        <x:f>IF(E1419=0,"",MIN('34_W2_pH'!C26,'34_W2_pH'!E26,'34_W2_pH'!G26,'34_W2_pH'!I26))</x:f>
        <x:v>6.38</x:v>
      </x:c>
      <x:c r="I1419" s="90" t="n">
        <x:f>IF(E1419=0,"",MAX('34_W2_pH'!C26,'34_W2_pH'!E26,'34_W2_pH'!G26,'34_W2_pH'!I26))</x:f>
        <x:v>6.51</x:v>
      </x:c>
      <x:c r="J1419" s="32" t="str"/>
    </x:row>
    <x:row r="1420">
      <x:c r="A1420" s="72" t="n">
        <x:v>46240.87908564815</x:v>
      </x:c>
      <x:c r="B1420" s="32" t="str">
        <x:v>土壤pH</x:v>
      </x:c>
      <x:c r="C1420" s="32" t="str">
        <x:v>W2</x:v>
      </x:c>
      <x:c r="D1420" s="32" t="str">
        <x:v>V1</x:v>
      </x:c>
      <x:c r="E1420" s="86" t="n">
        <x:f>COUNT('34_W2_pH'!B27,'34_W2_pH'!D27,'34_W2_pH'!F27,'34_W2_pH'!H27)</x:f>
        <x:v>4</x:v>
      </x:c>
      <x:c r="F1420" s="90" t="n">
        <x:f>IF(E1420=0,"",AVERAGE('34_W2_pH'!B27,'34_W2_pH'!D27,'34_W2_pH'!F27,'34_W2_pH'!H27))</x:f>
        <x:v>6.375000000000001</x:v>
      </x:c>
      <x:c r="G1420" s="90" t="n">
        <x:f>IF(E1420&lt;2,"",STDEV.S('34_W2_pH'!B27,'34_W2_pH'!D27,'34_W2_pH'!F27,'34_W2_pH'!H27))</x:f>
        <x:v>0.046547466812563255</x:v>
      </x:c>
      <x:c r="H1420" s="90" t="n">
        <x:f>IF(E1420=0,"",MIN('34_W2_pH'!B27,'34_W2_pH'!D27,'34_W2_pH'!F27,'34_W2_pH'!H27))</x:f>
        <x:v>6.33</x:v>
      </x:c>
      <x:c r="I1420" s="90" t="n">
        <x:f>IF(E1420=0,"",MAX('34_W2_pH'!B27,'34_W2_pH'!D27,'34_W2_pH'!F27,'34_W2_pH'!H27))</x:f>
        <x:v>6.44</x:v>
      </x:c>
      <x:c r="J1420" s="32" t="str"/>
    </x:row>
    <x:row r="1421">
      <x:c r="A1421" s="72" t="n">
        <x:v>46240.87908564815</x:v>
      </x:c>
      <x:c r="B1421" s="32" t="str">
        <x:v>土壤pH</x:v>
      </x:c>
      <x:c r="C1421" s="32" t="str">
        <x:v>W2</x:v>
      </x:c>
      <x:c r="D1421" s="32" t="str">
        <x:v>V2</x:v>
      </x:c>
      <x:c r="E1421" s="86" t="n">
        <x:f>COUNT('34_W2_pH'!C27,'34_W2_pH'!E27,'34_W2_pH'!G27,'34_W2_pH'!I27)</x:f>
        <x:v>4</x:v>
      </x:c>
      <x:c r="F1421" s="90" t="n">
        <x:f>IF(E1421=0,"",AVERAGE('34_W2_pH'!C27,'34_W2_pH'!E27,'34_W2_pH'!G27,'34_W2_pH'!I27))</x:f>
        <x:v>6.425000000000001</x:v>
      </x:c>
      <x:c r="G1421" s="90" t="n">
        <x:f>IF(E1421&lt;2,"",STDEV.S('34_W2_pH'!C27,'34_W2_pH'!E27,'34_W2_pH'!G27,'34_W2_pH'!I27))</x:f>
        <x:v>0.05259911279353164</x:v>
      </x:c>
      <x:c r="H1421" s="90" t="n">
        <x:f>IF(E1421=0,"",MIN('34_W2_pH'!C27,'34_W2_pH'!E27,'34_W2_pH'!G27,'34_W2_pH'!I27))</x:f>
        <x:v>6.38</x:v>
      </x:c>
      <x:c r="I1421" s="90" t="n">
        <x:f>IF(E1421=0,"",MAX('34_W2_pH'!C27,'34_W2_pH'!E27,'34_W2_pH'!G27,'34_W2_pH'!I27))</x:f>
        <x:v>6.5</x:v>
      </x:c>
      <x:c r="J1421" s="32" t="str"/>
    </x:row>
    <x:row r="1422">
      <x:c r="A1422" s="72" t="n">
        <x:v>46240.88255787037</x:v>
      </x:c>
      <x:c r="B1422" s="32" t="str">
        <x:v>土壤pH</x:v>
      </x:c>
      <x:c r="C1422" s="32" t="str">
        <x:v>W2</x:v>
      </x:c>
      <x:c r="D1422" s="32" t="str">
        <x:v>V1</x:v>
      </x:c>
      <x:c r="E1422" s="86" t="n">
        <x:f>COUNT('34_W2_pH'!B28,'34_W2_pH'!D28,'34_W2_pH'!F28,'34_W2_pH'!H28)</x:f>
        <x:v>4</x:v>
      </x:c>
      <x:c r="F1422" s="90" t="n">
        <x:f>IF(E1422=0,"",AVERAGE('34_W2_pH'!B28,'34_W2_pH'!D28,'34_W2_pH'!F28,'34_W2_pH'!H28))</x:f>
        <x:v>6.3725000000000005</x:v>
      </x:c>
      <x:c r="G1422" s="90" t="n">
        <x:f>IF(E1422&lt;2,"",STDEV.S('34_W2_pH'!B28,'34_W2_pH'!D28,'34_W2_pH'!F28,'34_W2_pH'!H28))</x:f>
        <x:v>0.04193248541803023</x:v>
      </x:c>
      <x:c r="H1422" s="90" t="n">
        <x:f>IF(E1422=0,"",MIN('34_W2_pH'!B28,'34_W2_pH'!D28,'34_W2_pH'!F28,'34_W2_pH'!H28))</x:f>
        <x:v>6.33</x:v>
      </x:c>
      <x:c r="I1422" s="90" t="n">
        <x:f>IF(E1422=0,"",MAX('34_W2_pH'!B28,'34_W2_pH'!D28,'34_W2_pH'!F28,'34_W2_pH'!H28))</x:f>
        <x:v>6.43</x:v>
      </x:c>
      <x:c r="J1422" s="32" t="str"/>
    </x:row>
    <x:row r="1423">
      <x:c r="A1423" s="72" t="n">
        <x:v>46240.88255787037</x:v>
      </x:c>
      <x:c r="B1423" s="32" t="str">
        <x:v>土壤pH</x:v>
      </x:c>
      <x:c r="C1423" s="32" t="str">
        <x:v>W2</x:v>
      </x:c>
      <x:c r="D1423" s="32" t="str">
        <x:v>V2</x:v>
      </x:c>
      <x:c r="E1423" s="86" t="n">
        <x:f>COUNT('34_W2_pH'!C28,'34_W2_pH'!E28,'34_W2_pH'!G28,'34_W2_pH'!I28)</x:f>
        <x:v>4</x:v>
      </x:c>
      <x:c r="F1423" s="90" t="n">
        <x:f>IF(E1423=0,"",AVERAGE('34_W2_pH'!C28,'34_W2_pH'!E28,'34_W2_pH'!G28,'34_W2_pH'!I28))</x:f>
        <x:v>6.425000000000001</x:v>
      </x:c>
      <x:c r="G1423" s="90" t="n">
        <x:f>IF(E1423&lt;2,"",STDEV.S('34_W2_pH'!C28,'34_W2_pH'!E28,'34_W2_pH'!G28,'34_W2_pH'!I28))</x:f>
        <x:v>0.046547466812563255</x:v>
      </x:c>
      <x:c r="H1423" s="90" t="n">
        <x:f>IF(E1423=0,"",MIN('34_W2_pH'!C28,'34_W2_pH'!E28,'34_W2_pH'!G28,'34_W2_pH'!I28))</x:f>
        <x:v>6.38</x:v>
      </x:c>
      <x:c r="I1423" s="90" t="n">
        <x:f>IF(E1423=0,"",MAX('34_W2_pH'!C28,'34_W2_pH'!E28,'34_W2_pH'!G28,'34_W2_pH'!I28))</x:f>
        <x:v>6.49</x:v>
      </x:c>
      <x:c r="J1423" s="32" t="str"/>
    </x:row>
    <x:row r="1424">
      <x:c r="A1424" s="72" t="n">
        <x:v>46240.886030092595</x:v>
      </x:c>
      <x:c r="B1424" s="32" t="str">
        <x:v>土壤pH</x:v>
      </x:c>
      <x:c r="C1424" s="32" t="str">
        <x:v>W2</x:v>
      </x:c>
      <x:c r="D1424" s="32" t="str">
        <x:v>V1</x:v>
      </x:c>
      <x:c r="E1424" s="86" t="n">
        <x:f>COUNT('34_W2_pH'!B29,'34_W2_pH'!D29,'34_W2_pH'!F29,'34_W2_pH'!H29)</x:f>
        <x:v>4</x:v>
      </x:c>
      <x:c r="F1424" s="90" t="n">
        <x:f>IF(E1424=0,"",AVERAGE('34_W2_pH'!B29,'34_W2_pH'!D29,'34_W2_pH'!F29,'34_W2_pH'!H29))</x:f>
        <x:v>6.375</x:v>
      </x:c>
      <x:c r="G1424" s="90" t="n">
        <x:f>IF(E1424&lt;2,"",STDEV.S('34_W2_pH'!B29,'34_W2_pH'!D29,'34_W2_pH'!F29,'34_W2_pH'!H29))</x:f>
        <x:v>0.045092497528228706</x:v>
      </x:c>
      <x:c r="H1424" s="90" t="n">
        <x:f>IF(E1424=0,"",MIN('34_W2_pH'!B29,'34_W2_pH'!D29,'34_W2_pH'!F29,'34_W2_pH'!H29))</x:f>
        <x:v>6.32</x:v>
      </x:c>
      <x:c r="I1424" s="90" t="n">
        <x:f>IF(E1424=0,"",MAX('34_W2_pH'!B29,'34_W2_pH'!D29,'34_W2_pH'!F29,'34_W2_pH'!H29))</x:f>
        <x:v>6.43</x:v>
      </x:c>
      <x:c r="J1424" s="32" t="str"/>
    </x:row>
    <x:row r="1425">
      <x:c r="A1425" s="72" t="n">
        <x:v>46240.886030092595</x:v>
      </x:c>
      <x:c r="B1425" s="32" t="str">
        <x:v>土壤pH</x:v>
      </x:c>
      <x:c r="C1425" s="32" t="str">
        <x:v>W2</x:v>
      </x:c>
      <x:c r="D1425" s="32" t="str">
        <x:v>V2</x:v>
      </x:c>
      <x:c r="E1425" s="86" t="n">
        <x:f>COUNT('34_W2_pH'!C29,'34_W2_pH'!E29,'34_W2_pH'!G29,'34_W2_pH'!I29)</x:f>
        <x:v>4</x:v>
      </x:c>
      <x:c r="F1425" s="90" t="n">
        <x:f>IF(E1425=0,"",AVERAGE('34_W2_pH'!C29,'34_W2_pH'!E29,'34_W2_pH'!G29,'34_W2_pH'!I29))</x:f>
        <x:v>6.4225</x:v>
      </x:c>
      <x:c r="G1425" s="90" t="n">
        <x:f>IF(E1425&lt;2,"",STDEV.S('34_W2_pH'!C29,'34_W2_pH'!E29,'34_W2_pH'!G29,'34_W2_pH'!I29))</x:f>
        <x:v>0.04193248541803063</x:v>
      </x:c>
      <x:c r="H1425" s="90" t="n">
        <x:f>IF(E1425=0,"",MIN('34_W2_pH'!C29,'34_W2_pH'!E29,'34_W2_pH'!G29,'34_W2_pH'!I29))</x:f>
        <x:v>6.38</x:v>
      </x:c>
      <x:c r="I1425" s="90" t="n">
        <x:f>IF(E1425=0,"",MAX('34_W2_pH'!C29,'34_W2_pH'!E29,'34_W2_pH'!G29,'34_W2_pH'!I29))</x:f>
        <x:v>6.48</x:v>
      </x:c>
      <x:c r="J1425" s="32" t="str"/>
    </x:row>
    <x:row r="1426">
      <x:c r="A1426" s="72" t="n">
        <x:v>46240.889502314814</x:v>
      </x:c>
      <x:c r="B1426" s="32" t="str">
        <x:v>土壤pH</x:v>
      </x:c>
      <x:c r="C1426" s="32" t="str">
        <x:v>W2</x:v>
      </x:c>
      <x:c r="D1426" s="32" t="str">
        <x:v>V1</x:v>
      </x:c>
      <x:c r="E1426" s="86" t="n">
        <x:f>COUNT('34_W2_pH'!B30,'34_W2_pH'!D30,'34_W2_pH'!F30,'34_W2_pH'!H30)</x:f>
        <x:v>4</x:v>
      </x:c>
      <x:c r="F1426" s="90" t="n">
        <x:f>IF(E1426=0,"",AVERAGE('34_W2_pH'!B30,'34_W2_pH'!D30,'34_W2_pH'!F30,'34_W2_pH'!H30))</x:f>
        <x:v>6.3725000000000005</x:v>
      </x:c>
      <x:c r="G1426" s="90" t="n">
        <x:f>IF(E1426&lt;2,"",STDEV.S('34_W2_pH'!B30,'34_W2_pH'!D30,'34_W2_pH'!F30,'34_W2_pH'!H30))</x:f>
        <x:v>0.041129875597510065</x:v>
      </x:c>
      <x:c r="H1426" s="90" t="n">
        <x:f>IF(E1426=0,"",MIN('34_W2_pH'!B30,'34_W2_pH'!D30,'34_W2_pH'!F30,'34_W2_pH'!H30))</x:f>
        <x:v>6.32</x:v>
      </x:c>
      <x:c r="I1426" s="90" t="n">
        <x:f>IF(E1426=0,"",MAX('34_W2_pH'!B30,'34_W2_pH'!D30,'34_W2_pH'!F30,'34_W2_pH'!H30))</x:f>
        <x:v>6.42</x:v>
      </x:c>
      <x:c r="J1426" s="32" t="str"/>
    </x:row>
    <x:row r="1427">
      <x:c r="A1427" s="72" t="n">
        <x:v>46240.889502314814</x:v>
      </x:c>
      <x:c r="B1427" s="32" t="str">
        <x:v>土壤pH</x:v>
      </x:c>
      <x:c r="C1427" s="32" t="str">
        <x:v>W2</x:v>
      </x:c>
      <x:c r="D1427" s="32" t="str">
        <x:v>V2</x:v>
      </x:c>
      <x:c r="E1427" s="86" t="n">
        <x:f>COUNT('34_W2_pH'!C30,'34_W2_pH'!E30,'34_W2_pH'!G30,'34_W2_pH'!I30)</x:f>
        <x:v>4</x:v>
      </x:c>
      <x:c r="F1427" s="90" t="n">
        <x:f>IF(E1427=0,"",AVERAGE('34_W2_pH'!C30,'34_W2_pH'!E30,'34_W2_pH'!G30,'34_W2_pH'!I30))</x:f>
        <x:v>6.425</x:v>
      </x:c>
      <x:c r="G1427" s="90" t="n">
        <x:f>IF(E1427&lt;2,"",STDEV.S('34_W2_pH'!C30,'34_W2_pH'!E30,'34_W2_pH'!G30,'34_W2_pH'!I30))</x:f>
        <x:v>0.04509249752822906</x:v>
      </x:c>
      <x:c r="H1427" s="90" t="n">
        <x:f>IF(E1427=0,"",MIN('34_W2_pH'!C30,'34_W2_pH'!E30,'34_W2_pH'!G30,'34_W2_pH'!I30))</x:f>
        <x:v>6.37</x:v>
      </x:c>
      <x:c r="I1427" s="90" t="n">
        <x:f>IF(E1427=0,"",MAX('34_W2_pH'!C30,'34_W2_pH'!E30,'34_W2_pH'!G30,'34_W2_pH'!I30))</x:f>
        <x:v>6.48</x:v>
      </x:c>
      <x:c r="J1427" s="32" t="str"/>
    </x:row>
    <x:row r="1428">
      <x:c r="A1428" s="72" t="n">
        <x:v>46240.89297453704</x:v>
      </x:c>
      <x:c r="B1428" s="32" t="str">
        <x:v>土壤pH</x:v>
      </x:c>
      <x:c r="C1428" s="32" t="str">
        <x:v>W2</x:v>
      </x:c>
      <x:c r="D1428" s="32" t="str">
        <x:v>V1</x:v>
      </x:c>
      <x:c r="E1428" s="86" t="n">
        <x:f>COUNT('34_W2_pH'!B31,'34_W2_pH'!D31,'34_W2_pH'!F31,'34_W2_pH'!H31)</x:f>
        <x:v>4</x:v>
      </x:c>
      <x:c r="F1428" s="90" t="n">
        <x:f>IF(E1428=0,"",AVERAGE('34_W2_pH'!B31,'34_W2_pH'!D31,'34_W2_pH'!F31,'34_W2_pH'!H31))</x:f>
        <x:v>6.375</x:v>
      </x:c>
      <x:c r="G1428" s="90" t="n">
        <x:f>IF(E1428&lt;2,"",STDEV.S('34_W2_pH'!B31,'34_W2_pH'!D31,'34_W2_pH'!F31,'34_W2_pH'!H31))</x:f>
        <x:v>0.046547466812563255</x:v>
      </x:c>
      <x:c r="H1428" s="90" t="n">
        <x:f>IF(E1428=0,"",MIN('34_W2_pH'!B31,'34_W2_pH'!D31,'34_W2_pH'!F31,'34_W2_pH'!H31))</x:f>
        <x:v>6.31</x:v>
      </x:c>
      <x:c r="I1428" s="90" t="n">
        <x:f>IF(E1428=0,"",MAX('34_W2_pH'!B31,'34_W2_pH'!D31,'34_W2_pH'!F31,'34_W2_pH'!H31))</x:f>
        <x:v>6.42</x:v>
      </x:c>
      <x:c r="J1428" s="32" t="str"/>
    </x:row>
    <x:row r="1429">
      <x:c r="A1429" s="72" t="n">
        <x:v>46240.89297453704</x:v>
      </x:c>
      <x:c r="B1429" s="32" t="str">
        <x:v>土壤pH</x:v>
      </x:c>
      <x:c r="C1429" s="32" t="str">
        <x:v>W2</x:v>
      </x:c>
      <x:c r="D1429" s="32" t="str">
        <x:v>V2</x:v>
      </x:c>
      <x:c r="E1429" s="86" t="n">
        <x:f>COUNT('34_W2_pH'!C31,'34_W2_pH'!E31,'34_W2_pH'!G31,'34_W2_pH'!I31)</x:f>
        <x:v>4</x:v>
      </x:c>
      <x:c r="F1429" s="90" t="n">
        <x:f>IF(E1429=0,"",AVERAGE('34_W2_pH'!C31,'34_W2_pH'!E31,'34_W2_pH'!G31,'34_W2_pH'!I31))</x:f>
        <x:v>6.422499999999999</x:v>
      </x:c>
      <x:c r="G1429" s="90" t="n">
        <x:f>IF(E1429&lt;2,"",STDEV.S('34_W2_pH'!C31,'34_W2_pH'!E31,'34_W2_pH'!G31,'34_W2_pH'!I31))</x:f>
        <x:v>0.041129875597510065</x:v>
      </x:c>
      <x:c r="H1429" s="90" t="n">
        <x:f>IF(E1429=0,"",MIN('34_W2_pH'!C31,'34_W2_pH'!E31,'34_W2_pH'!G31,'34_W2_pH'!I31))</x:f>
        <x:v>6.37</x:v>
      </x:c>
      <x:c r="I1429" s="90" t="n">
        <x:f>IF(E1429=0,"",MAX('34_W2_pH'!C31,'34_W2_pH'!E31,'34_W2_pH'!G31,'34_W2_pH'!I31))</x:f>
        <x:v>6.47</x:v>
      </x:c>
      <x:c r="J1429" s="32" t="str"/>
    </x:row>
    <x:row r="1430">
      <x:c r="A1430" s="72" t="n">
        <x:v>46240.89644675926</x:v>
      </x:c>
      <x:c r="B1430" s="32" t="str">
        <x:v>土壤pH</x:v>
      </x:c>
      <x:c r="C1430" s="32" t="str">
        <x:v>W2</x:v>
      </x:c>
      <x:c r="D1430" s="32" t="str">
        <x:v>V1</x:v>
      </x:c>
      <x:c r="E1430" s="86" t="n">
        <x:f>COUNT('34_W2_pH'!B32,'34_W2_pH'!D32,'34_W2_pH'!F32,'34_W2_pH'!H32)</x:f>
        <x:v>4</x:v>
      </x:c>
      <x:c r="F1430" s="90" t="n">
        <x:f>IF(E1430=0,"",AVERAGE('34_W2_pH'!B32,'34_W2_pH'!D32,'34_W2_pH'!F32,'34_W2_pH'!H32))</x:f>
        <x:v>6.3774999999999995</x:v>
      </x:c>
      <x:c r="G1430" s="90" t="n">
        <x:f>IF(E1430&lt;2,"",STDEV.S('34_W2_pH'!B32,'34_W2_pH'!D32,'34_W2_pH'!F32,'34_W2_pH'!H32))</x:f>
        <x:v>0.04787135538781712</x:v>
      </x:c>
      <x:c r="H1430" s="90" t="n">
        <x:f>IF(E1430=0,"",MIN('34_W2_pH'!B32,'34_W2_pH'!D32,'34_W2_pH'!F32,'34_W2_pH'!H32))</x:f>
        <x:v>6.31</x:v>
      </x:c>
      <x:c r="I1430" s="90" t="n">
        <x:f>IF(E1430=0,"",MAX('34_W2_pH'!B32,'34_W2_pH'!D32,'34_W2_pH'!F32,'34_W2_pH'!H32))</x:f>
        <x:v>6.42</x:v>
      </x:c>
      <x:c r="J1430" s="32" t="str"/>
    </x:row>
    <x:row r="1431">
      <x:c r="A1431" s="72" t="n">
        <x:v>46240.89644675926</x:v>
      </x:c>
      <x:c r="B1431" s="32" t="str">
        <x:v>土壤pH</x:v>
      </x:c>
      <x:c r="C1431" s="32" t="str">
        <x:v>W2</x:v>
      </x:c>
      <x:c r="D1431" s="32" t="str">
        <x:v>V2</x:v>
      </x:c>
      <x:c r="E1431" s="86" t="n">
        <x:f>COUNT('34_W2_pH'!C32,'34_W2_pH'!E32,'34_W2_pH'!G32,'34_W2_pH'!I32)</x:f>
        <x:v>4</x:v>
      </x:c>
      <x:c r="F1431" s="90" t="n">
        <x:f>IF(E1431=0,"",AVERAGE('34_W2_pH'!C32,'34_W2_pH'!E32,'34_W2_pH'!G32,'34_W2_pH'!I32))</x:f>
        <x:v>6.425</x:v>
      </x:c>
      <x:c r="G1431" s="90" t="n">
        <x:f>IF(E1431&lt;2,"",STDEV.S('34_W2_pH'!C32,'34_W2_pH'!E32,'34_W2_pH'!G32,'34_W2_pH'!I32))</x:f>
        <x:v>0.04654746681256294</x:v>
      </x:c>
      <x:c r="H1431" s="90" t="n">
        <x:f>IF(E1431=0,"",MIN('34_W2_pH'!C32,'34_W2_pH'!E32,'34_W2_pH'!G32,'34_W2_pH'!I32))</x:f>
        <x:v>6.36</x:v>
      </x:c>
      <x:c r="I1431" s="90" t="n">
        <x:f>IF(E1431=0,"",MAX('34_W2_pH'!C32,'34_W2_pH'!E32,'34_W2_pH'!G32,'34_W2_pH'!I32))</x:f>
        <x:v>6.47</x:v>
      </x:c>
      <x:c r="J1431" s="32" t="str"/>
    </x:row>
    <x:row r="1432">
      <x:c r="A1432" s="72" t="n">
        <x:v>46240.89991898148</x:v>
      </x:c>
      <x:c r="B1432" s="32" t="str">
        <x:v>土壤pH</x:v>
      </x:c>
      <x:c r="C1432" s="32" t="str">
        <x:v>W2</x:v>
      </x:c>
      <x:c r="D1432" s="32" t="str">
        <x:v>V1</x:v>
      </x:c>
      <x:c r="E1432" s="86" t="n">
        <x:f>COUNT('34_W2_pH'!B33,'34_W2_pH'!D33,'34_W2_pH'!F33,'34_W2_pH'!H33)</x:f>
        <x:v>4</x:v>
      </x:c>
      <x:c r="F1432" s="90" t="n">
        <x:f>IF(E1432=0,"",AVERAGE('34_W2_pH'!B33,'34_W2_pH'!D33,'34_W2_pH'!F33,'34_W2_pH'!H33))</x:f>
        <x:v>6.3774999999999995</x:v>
      </x:c>
      <x:c r="G1432" s="90" t="n">
        <x:f>IF(E1432&lt;2,"",STDEV.S('34_W2_pH'!B33,'34_W2_pH'!D33,'34_W2_pH'!F33,'34_W2_pH'!H33))</x:f>
        <x:v>0.05439056290693583</x:v>
      </x:c>
      <x:c r="H1432" s="90" t="n">
        <x:f>IF(E1432=0,"",MIN('34_W2_pH'!B33,'34_W2_pH'!D33,'34_W2_pH'!F33,'34_W2_pH'!H33))</x:f>
        <x:v>6.3</x:v>
      </x:c>
      <x:c r="I1432" s="90" t="n">
        <x:f>IF(E1432=0,"",MAX('34_W2_pH'!B33,'34_W2_pH'!D33,'34_W2_pH'!F33,'34_W2_pH'!H33))</x:f>
        <x:v>6.42</x:v>
      </x:c>
      <x:c r="J1432" s="32" t="str"/>
    </x:row>
    <x:row r="1433">
      <x:c r="A1433" s="72" t="n">
        <x:v>46240.89991898148</x:v>
      </x:c>
      <x:c r="B1433" s="32" t="str">
        <x:v>土壤pH</x:v>
      </x:c>
      <x:c r="C1433" s="32" t="str">
        <x:v>W2</x:v>
      </x:c>
      <x:c r="D1433" s="32" t="str">
        <x:v>V2</x:v>
      </x:c>
      <x:c r="E1433" s="86" t="n">
        <x:f>COUNT('34_W2_pH'!C33,'34_W2_pH'!E33,'34_W2_pH'!G33,'34_W2_pH'!I33)</x:f>
        <x:v>4</x:v>
      </x:c>
      <x:c r="F1433" s="90" t="n">
        <x:f>IF(E1433=0,"",AVERAGE('34_W2_pH'!C33,'34_W2_pH'!E33,'34_W2_pH'!G33,'34_W2_pH'!I33))</x:f>
        <x:v>6.427499999999999</x:v>
      </x:c>
      <x:c r="G1433" s="90" t="n">
        <x:f>IF(E1433&lt;2,"",STDEV.S('34_W2_pH'!C33,'34_W2_pH'!E33,'34_W2_pH'!G33,'34_W2_pH'!I33))</x:f>
        <x:v>0.04787135538781671</x:v>
      </x:c>
      <x:c r="H1433" s="90" t="n">
        <x:f>IF(E1433=0,"",MIN('34_W2_pH'!C33,'34_W2_pH'!E33,'34_W2_pH'!G33,'34_W2_pH'!I33))</x:f>
        <x:v>6.36</x:v>
      </x:c>
      <x:c r="I1433" s="90" t="n">
        <x:f>IF(E1433=0,"",MAX('34_W2_pH'!C33,'34_W2_pH'!E33,'34_W2_pH'!G33,'34_W2_pH'!I33))</x:f>
        <x:v>6.47</x:v>
      </x:c>
      <x:c r="J1433" s="32" t="str"/>
    </x:row>
    <x:row r="1434">
      <x:c r="A1434" s="72" t="n">
        <x:v>46240.903391203705</x:v>
      </x:c>
      <x:c r="B1434" s="32" t="str">
        <x:v>土壤pH</x:v>
      </x:c>
      <x:c r="C1434" s="32" t="str">
        <x:v>W2</x:v>
      </x:c>
      <x:c r="D1434" s="32" t="str">
        <x:v>V1</x:v>
      </x:c>
      <x:c r="E1434" s="86" t="n">
        <x:f>COUNT('34_W2_pH'!B34,'34_W2_pH'!D34,'34_W2_pH'!F34,'34_W2_pH'!H34)</x:f>
        <x:v>4</x:v>
      </x:c>
      <x:c r="F1434" s="90" t="n">
        <x:f>IF(E1434=0,"",AVERAGE('34_W2_pH'!B34,'34_W2_pH'!D34,'34_W2_pH'!F34,'34_W2_pH'!H34))</x:f>
        <x:v>6.375</x:v>
      </x:c>
      <x:c r="G1434" s="90" t="n">
        <x:f>IF(E1434&lt;2,"",STDEV.S('34_W2_pH'!B34,'34_W2_pH'!D34,'34_W2_pH'!F34,'34_W2_pH'!H34))</x:f>
        <x:v>0.059160797830996155</x:v>
      </x:c>
      <x:c r="H1434" s="90" t="n">
        <x:f>IF(E1434=0,"",MIN('34_W2_pH'!B34,'34_W2_pH'!D34,'34_W2_pH'!F34,'34_W2_pH'!H34))</x:f>
        <x:v>6.29</x:v>
      </x:c>
      <x:c r="I1434" s="90" t="n">
        <x:f>IF(E1434=0,"",MAX('34_W2_pH'!B34,'34_W2_pH'!D34,'34_W2_pH'!F34,'34_W2_pH'!H34))</x:f>
        <x:v>6.42</x:v>
      </x:c>
      <x:c r="J1434" s="32" t="str"/>
    </x:row>
    <x:row r="1435">
      <x:c r="A1435" s="72" t="n">
        <x:v>46240.903391203705</x:v>
      </x:c>
      <x:c r="B1435" s="32" t="str">
        <x:v>土壤pH</x:v>
      </x:c>
      <x:c r="C1435" s="32" t="str">
        <x:v>W2</x:v>
      </x:c>
      <x:c r="D1435" s="32" t="str">
        <x:v>V2</x:v>
      </x:c>
      <x:c r="E1435" s="86" t="n">
        <x:f>COUNT('34_W2_pH'!C34,'34_W2_pH'!E34,'34_W2_pH'!G34,'34_W2_pH'!I34)</x:f>
        <x:v>4</x:v>
      </x:c>
      <x:c r="F1435" s="90" t="n">
        <x:f>IF(E1435=0,"",AVERAGE('34_W2_pH'!C34,'34_W2_pH'!E34,'34_W2_pH'!G34,'34_W2_pH'!I34))</x:f>
        <x:v>6.427499999999999</x:v>
      </x:c>
      <x:c r="G1435" s="90" t="n">
        <x:f>IF(E1435&lt;2,"",STDEV.S('34_W2_pH'!C34,'34_W2_pH'!E34,'34_W2_pH'!G34,'34_W2_pH'!I34))</x:f>
        <x:v>0.05439056290693583</x:v>
      </x:c>
      <x:c r="H1435" s="90" t="n">
        <x:f>IF(E1435=0,"",MIN('34_W2_pH'!C34,'34_W2_pH'!E34,'34_W2_pH'!G34,'34_W2_pH'!I34))</x:f>
        <x:v>6.35</x:v>
      </x:c>
      <x:c r="I1435" s="90" t="n">
        <x:f>IF(E1435=0,"",MAX('34_W2_pH'!C34,'34_W2_pH'!E34,'34_W2_pH'!G34,'34_W2_pH'!I34))</x:f>
        <x:v>6.47</x:v>
      </x:c>
      <x:c r="J1435" s="32" t="str"/>
    </x:row>
    <x:row r="1436">
      <x:c r="A1436" s="72" t="n">
        <x:v>46240.906863425924</x:v>
      </x:c>
      <x:c r="B1436" s="32" t="str">
        <x:v>土壤pH</x:v>
      </x:c>
      <x:c r="C1436" s="32" t="str">
        <x:v>W2</x:v>
      </x:c>
      <x:c r="D1436" s="32" t="str">
        <x:v>V1</x:v>
      </x:c>
      <x:c r="E1436" s="86" t="n">
        <x:f>COUNT('34_W2_pH'!B35,'34_W2_pH'!D35,'34_W2_pH'!F35,'34_W2_pH'!H35)</x:f>
        <x:v>4</x:v>
      </x:c>
      <x:c r="F1436" s="90" t="n">
        <x:f>IF(E1436=0,"",AVERAGE('34_W2_pH'!B35,'34_W2_pH'!D35,'34_W2_pH'!F35,'34_W2_pH'!H35))</x:f>
        <x:v>6.375</x:v>
      </x:c>
      <x:c r="G1436" s="90" t="n">
        <x:f>IF(E1436&lt;2,"",STDEV.S('34_W2_pH'!B35,'34_W2_pH'!D35,'34_W2_pH'!F35,'34_W2_pH'!H35))</x:f>
        <x:v>0.06855654600401023</x:v>
      </x:c>
      <x:c r="H1436" s="90" t="n">
        <x:f>IF(E1436=0,"",MIN('34_W2_pH'!B35,'34_W2_pH'!D35,'34_W2_pH'!F35,'34_W2_pH'!H35))</x:f>
        <x:v>6.28</x:v>
      </x:c>
      <x:c r="I1436" s="90" t="n">
        <x:f>IF(E1436=0,"",MAX('34_W2_pH'!B35,'34_W2_pH'!D35,'34_W2_pH'!F35,'34_W2_pH'!H35))</x:f>
        <x:v>6.43</x:v>
      </x:c>
      <x:c r="J1436" s="32" t="str"/>
    </x:row>
    <x:row r="1437">
      <x:c r="A1437" s="72" t="n">
        <x:v>46240.906863425924</x:v>
      </x:c>
      <x:c r="B1437" s="32" t="str">
        <x:v>土壤pH</x:v>
      </x:c>
      <x:c r="C1437" s="32" t="str">
        <x:v>W2</x:v>
      </x:c>
      <x:c r="D1437" s="32" t="str">
        <x:v>V2</x:v>
      </x:c>
      <x:c r="E1437" s="86" t="n">
        <x:f>COUNT('34_W2_pH'!C35,'34_W2_pH'!E35,'34_W2_pH'!G35,'34_W2_pH'!I35)</x:f>
        <x:v>4</x:v>
      </x:c>
      <x:c r="F1437" s="90" t="n">
        <x:f>IF(E1437=0,"",AVERAGE('34_W2_pH'!C35,'34_W2_pH'!E35,'34_W2_pH'!G35,'34_W2_pH'!I35))</x:f>
        <x:v>6.425</x:v>
      </x:c>
      <x:c r="G1437" s="90" t="n">
        <x:f>IF(E1437&lt;2,"",STDEV.S('34_W2_pH'!C35,'34_W2_pH'!E35,'34_W2_pH'!G35,'34_W2_pH'!I35))</x:f>
        <x:v>0.059160797830996155</x:v>
      </x:c>
      <x:c r="H1437" s="90" t="n">
        <x:f>IF(E1437=0,"",MIN('34_W2_pH'!C35,'34_W2_pH'!E35,'34_W2_pH'!G35,'34_W2_pH'!I35))</x:f>
        <x:v>6.34</x:v>
      </x:c>
      <x:c r="I1437" s="90" t="n">
        <x:f>IF(E1437=0,"",MAX('34_W2_pH'!C35,'34_W2_pH'!E35,'34_W2_pH'!G35,'34_W2_pH'!I35))</x:f>
        <x:v>6.47</x:v>
      </x:c>
      <x:c r="J1437" s="32" t="str"/>
    </x:row>
    <x:row r="1438">
      <x:c r="A1438" s="72" t="n">
        <x:v>46240.91033564815</x:v>
      </x:c>
      <x:c r="B1438" s="32" t="str">
        <x:v>土壤pH</x:v>
      </x:c>
      <x:c r="C1438" s="32" t="str">
        <x:v>W2</x:v>
      </x:c>
      <x:c r="D1438" s="32" t="str">
        <x:v>V1</x:v>
      </x:c>
      <x:c r="E1438" s="86" t="n">
        <x:f>COUNT('34_W2_pH'!B36,'34_W2_pH'!D36,'34_W2_pH'!F36,'34_W2_pH'!H36)</x:f>
        <x:v>4</x:v>
      </x:c>
      <x:c r="F1438" s="90" t="n">
        <x:f>IF(E1438=0,"",AVERAGE('34_W2_pH'!B36,'34_W2_pH'!D36,'34_W2_pH'!F36,'34_W2_pH'!H36))</x:f>
        <x:v>6.375</x:v>
      </x:c>
      <x:c r="G1438" s="90" t="n">
        <x:f>IF(E1438&lt;2,"",STDEV.S('34_W2_pH'!B36,'34_W2_pH'!D36,'34_W2_pH'!F36,'34_W2_pH'!H36))</x:f>
        <x:v>0.06855654600401023</x:v>
      </x:c>
      <x:c r="H1438" s="90" t="n">
        <x:f>IF(E1438=0,"",MIN('34_W2_pH'!B36,'34_W2_pH'!D36,'34_W2_pH'!F36,'34_W2_pH'!H36))</x:f>
        <x:v>6.28</x:v>
      </x:c>
      <x:c r="I1438" s="90" t="n">
        <x:f>IF(E1438=0,"",MAX('34_W2_pH'!B36,'34_W2_pH'!D36,'34_W2_pH'!F36,'34_W2_pH'!H36))</x:f>
        <x:v>6.43</x:v>
      </x:c>
      <x:c r="J1438" s="32" t="str"/>
    </x:row>
    <x:row r="1439">
      <x:c r="A1439" s="72" t="n">
        <x:v>46240.91033564815</x:v>
      </x:c>
      <x:c r="B1439" s="32" t="str">
        <x:v>土壤pH</x:v>
      </x:c>
      <x:c r="C1439" s="32" t="str">
        <x:v>W2</x:v>
      </x:c>
      <x:c r="D1439" s="32" t="str">
        <x:v>V2</x:v>
      </x:c>
      <x:c r="E1439" s="86" t="n">
        <x:f>COUNT('34_W2_pH'!C36,'34_W2_pH'!E36,'34_W2_pH'!G36,'34_W2_pH'!I36)</x:f>
        <x:v>4</x:v>
      </x:c>
      <x:c r="F1439" s="90" t="n">
        <x:f>IF(E1439=0,"",AVERAGE('34_W2_pH'!C36,'34_W2_pH'!E36,'34_W2_pH'!G36,'34_W2_pH'!I36))</x:f>
        <x:v>6.425</x:v>
      </x:c>
      <x:c r="G1439" s="90" t="n">
        <x:f>IF(E1439&lt;2,"",STDEV.S('34_W2_pH'!C36,'34_W2_pH'!E36,'34_W2_pH'!G36,'34_W2_pH'!I36))</x:f>
        <x:v>0.06855654600401047</x:v>
      </x:c>
      <x:c r="H1439" s="90" t="n">
        <x:f>IF(E1439=0,"",MIN('34_W2_pH'!C36,'34_W2_pH'!E36,'34_W2_pH'!G36,'34_W2_pH'!I36))</x:f>
        <x:v>6.33</x:v>
      </x:c>
      <x:c r="I1439" s="90" t="n">
        <x:f>IF(E1439=0,"",MAX('34_W2_pH'!C36,'34_W2_pH'!E36,'34_W2_pH'!G36,'34_W2_pH'!I36))</x:f>
        <x:v>6.48</x:v>
      </x:c>
      <x:c r="J1439" s="32" t="str"/>
    </x:row>
    <x:row r="1440">
      <x:c r="A1440" s="72" t="n">
        <x:v>46240.91380787037</x:v>
      </x:c>
      <x:c r="B1440" s="32" t="str">
        <x:v>土壤pH</x:v>
      </x:c>
      <x:c r="C1440" s="32" t="str">
        <x:v>W2</x:v>
      </x:c>
      <x:c r="D1440" s="32" t="str">
        <x:v>V1</x:v>
      </x:c>
      <x:c r="E1440" s="86" t="n">
        <x:f>COUNT('34_W2_pH'!B37,'34_W2_pH'!D37,'34_W2_pH'!F37,'34_W2_pH'!H37)</x:f>
        <x:v>4</x:v>
      </x:c>
      <x:c r="F1440" s="90" t="n">
        <x:f>IF(E1440=0,"",AVERAGE('34_W2_pH'!B37,'34_W2_pH'!D37,'34_W2_pH'!F37,'34_W2_pH'!H37))</x:f>
        <x:v>6.375</x:v>
      </x:c>
      <x:c r="G1440" s="90" t="n">
        <x:f>IF(E1440&lt;2,"",STDEV.S('34_W2_pH'!B37,'34_W2_pH'!D37,'34_W2_pH'!F37,'34_W2_pH'!H37))</x:f>
        <x:v>0.07852812659593185</x:v>
      </x:c>
      <x:c r="H1440" s="90" t="n">
        <x:f>IF(E1440=0,"",MIN('34_W2_pH'!B37,'34_W2_pH'!D37,'34_W2_pH'!F37,'34_W2_pH'!H37))</x:f>
        <x:v>6.27</x:v>
      </x:c>
      <x:c r="I1440" s="90" t="n">
        <x:f>IF(E1440=0,"",MAX('34_W2_pH'!B37,'34_W2_pH'!D37,'34_W2_pH'!F37,'34_W2_pH'!H37))</x:f>
        <x:v>6.44</x:v>
      </x:c>
      <x:c r="J1440" s="32" t="str"/>
    </x:row>
    <x:row r="1441">
      <x:c r="A1441" s="72" t="n">
        <x:v>46240.91380787037</x:v>
      </x:c>
      <x:c r="B1441" s="32" t="str">
        <x:v>土壤pH</x:v>
      </x:c>
      <x:c r="C1441" s="32" t="str">
        <x:v>W2</x:v>
      </x:c>
      <x:c r="D1441" s="32" t="str">
        <x:v>V2</x:v>
      </x:c>
      <x:c r="E1441" s="86" t="n">
        <x:f>COUNT('34_W2_pH'!C37,'34_W2_pH'!E37,'34_W2_pH'!G37,'34_W2_pH'!I37)</x:f>
        <x:v>4</x:v>
      </x:c>
      <x:c r="F1441" s="90" t="n">
        <x:f>IF(E1441=0,"",AVERAGE('34_W2_pH'!C37,'34_W2_pH'!E37,'34_W2_pH'!G37,'34_W2_pH'!I37))</x:f>
        <x:v>6.425</x:v>
      </x:c>
      <x:c r="G1441" s="90" t="n">
        <x:f>IF(E1441&lt;2,"",STDEV.S('34_W2_pH'!C37,'34_W2_pH'!E37,'34_W2_pH'!G37,'34_W2_pH'!I37))</x:f>
        <x:v>0.06855654600401047</x:v>
      </x:c>
      <x:c r="H1441" s="90" t="n">
        <x:f>IF(E1441=0,"",MIN('34_W2_pH'!C37,'34_W2_pH'!E37,'34_W2_pH'!G37,'34_W2_pH'!I37))</x:f>
        <x:v>6.33</x:v>
      </x:c>
      <x:c r="I1441" s="90" t="n">
        <x:f>IF(E1441=0,"",MAX('34_W2_pH'!C37,'34_W2_pH'!E37,'34_W2_pH'!G37,'34_W2_pH'!I37))</x:f>
        <x:v>6.48</x:v>
      </x:c>
      <x:c r="J1441" s="32" t="str"/>
    </x:row>
    <x:row r="1442">
      <x:c r="A1442" s="72" t="n">
        <x:v>46240.917280092595</x:v>
      </x:c>
      <x:c r="B1442" s="32" t="str">
        <x:v>土壤pH</x:v>
      </x:c>
      <x:c r="C1442" s="32" t="str">
        <x:v>W2</x:v>
      </x:c>
      <x:c r="D1442" s="32" t="str">
        <x:v>V1</x:v>
      </x:c>
      <x:c r="E1442" s="86" t="n">
        <x:f>COUNT('34_W2_pH'!B38,'34_W2_pH'!D38,'34_W2_pH'!F38,'34_W2_pH'!H38)</x:f>
        <x:v>4</x:v>
      </x:c>
      <x:c r="F1442" s="90" t="n">
        <x:f>IF(E1442=0,"",AVERAGE('34_W2_pH'!B38,'34_W2_pH'!D38,'34_W2_pH'!F38,'34_W2_pH'!H38))</x:f>
        <x:v>6.3774999999999995</x:v>
      </x:c>
      <x:c r="G1442" s="90" t="n">
        <x:f>IF(E1442&lt;2,"",STDEV.S('34_W2_pH'!B38,'34_W2_pH'!D38,'34_W2_pH'!F38,'34_W2_pH'!H38))</x:f>
        <x:v>0.08139410298049869</x:v>
      </x:c>
      <x:c r="H1442" s="90" t="n">
        <x:f>IF(E1442=0,"",MIN('34_W2_pH'!B38,'34_W2_pH'!D38,'34_W2_pH'!F38,'34_W2_pH'!H38))</x:f>
        <x:v>6.27</x:v>
      </x:c>
      <x:c r="I1442" s="90" t="n">
        <x:f>IF(E1442=0,"",MAX('34_W2_pH'!B38,'34_W2_pH'!D38,'34_W2_pH'!F38,'34_W2_pH'!H38))</x:f>
        <x:v>6.45</x:v>
      </x:c>
      <x:c r="J1442" s="32" t="str"/>
    </x:row>
    <x:row r="1443">
      <x:c r="A1443" s="72" t="n">
        <x:v>46240.917280092595</x:v>
      </x:c>
      <x:c r="B1443" s="32" t="str">
        <x:v>土壤pH</x:v>
      </x:c>
      <x:c r="C1443" s="32" t="str">
        <x:v>W2</x:v>
      </x:c>
      <x:c r="D1443" s="32" t="str">
        <x:v>V2</x:v>
      </x:c>
      <x:c r="E1443" s="86" t="n">
        <x:f>COUNT('34_W2_pH'!C38,'34_W2_pH'!E38,'34_W2_pH'!G38,'34_W2_pH'!I38)</x:f>
        <x:v>4</x:v>
      </x:c>
      <x:c r="F1443" s="90" t="n">
        <x:f>IF(E1443=0,"",AVERAGE('34_W2_pH'!C38,'34_W2_pH'!E38,'34_W2_pH'!G38,'34_W2_pH'!I38))</x:f>
        <x:v>6.425000000000001</x:v>
      </x:c>
      <x:c r="G1443" s="90" t="n">
        <x:f>IF(E1443&lt;2,"",STDEV.S('34_W2_pH'!C38,'34_W2_pH'!E38,'34_W2_pH'!G38,'34_W2_pH'!I38))</x:f>
        <x:v>0.07852812659593167</x:v>
      </x:c>
      <x:c r="H1443" s="90" t="n">
        <x:f>IF(E1443=0,"",MIN('34_W2_pH'!C38,'34_W2_pH'!E38,'34_W2_pH'!G38,'34_W2_pH'!I38))</x:f>
        <x:v>6.32</x:v>
      </x:c>
      <x:c r="I1443" s="90" t="n">
        <x:f>IF(E1443=0,"",MAX('34_W2_pH'!C38,'34_W2_pH'!E38,'34_W2_pH'!G38,'34_W2_pH'!I38))</x:f>
        <x:v>6.49</x:v>
      </x:c>
      <x:c r="J1443" s="32" t="str"/>
    </x:row>
    <x:row r="1444">
      <x:c r="A1444" s="72" t="n">
        <x:v>46240.920752314814</x:v>
      </x:c>
      <x:c r="B1444" s="32" t="str">
        <x:v>土壤pH</x:v>
      </x:c>
      <x:c r="C1444" s="32" t="str">
        <x:v>W2</x:v>
      </x:c>
      <x:c r="D1444" s="32" t="str">
        <x:v>V1</x:v>
      </x:c>
      <x:c r="E1444" s="86" t="n">
        <x:f>COUNT('34_W2_pH'!B39,'34_W2_pH'!D39,'34_W2_pH'!F39,'34_W2_pH'!H39)</x:f>
        <x:v>4</x:v>
      </x:c>
      <x:c r="F1444" s="90" t="n">
        <x:f>IF(E1444=0,"",AVERAGE('34_W2_pH'!B39,'34_W2_pH'!D39,'34_W2_pH'!F39,'34_W2_pH'!H39))</x:f>
        <x:v>6.3774999999999995</x:v>
      </x:c>
      <x:c r="G1444" s="90" t="n">
        <x:f>IF(E1444&lt;2,"",STDEV.S('34_W2_pH'!B39,'34_W2_pH'!D39,'34_W2_pH'!F39,'34_W2_pH'!H39))</x:f>
        <x:v>0.0853912563829968</x:v>
      </x:c>
      <x:c r="H1444" s="90" t="n">
        <x:f>IF(E1444=0,"",MIN('34_W2_pH'!B39,'34_W2_pH'!D39,'34_W2_pH'!F39,'34_W2_pH'!H39))</x:f>
        <x:v>6.27</x:v>
      </x:c>
      <x:c r="I1444" s="90" t="n">
        <x:f>IF(E1444=0,"",MAX('34_W2_pH'!B39,'34_W2_pH'!D39,'34_W2_pH'!F39,'34_W2_pH'!H39))</x:f>
        <x:v>6.46</x:v>
      </x:c>
      <x:c r="J1444" s="32" t="str"/>
    </x:row>
    <x:row r="1445">
      <x:c r="A1445" s="72" t="n">
        <x:v>46240.920752314814</x:v>
      </x:c>
      <x:c r="B1445" s="32" t="str">
        <x:v>土壤pH</x:v>
      </x:c>
      <x:c r="C1445" s="32" t="str">
        <x:v>W2</x:v>
      </x:c>
      <x:c r="D1445" s="32" t="str">
        <x:v>V2</x:v>
      </x:c>
      <x:c r="E1445" s="86" t="n">
        <x:f>COUNT('34_W2_pH'!C39,'34_W2_pH'!E39,'34_W2_pH'!G39,'34_W2_pH'!I39)</x:f>
        <x:v>4</x:v>
      </x:c>
      <x:c r="F1445" s="90" t="n">
        <x:f>IF(E1445=0,"",AVERAGE('34_W2_pH'!C39,'34_W2_pH'!E39,'34_W2_pH'!G39,'34_W2_pH'!I39))</x:f>
        <x:v>6.4275</x:v>
      </x:c>
      <x:c r="G1445" s="90" t="n">
        <x:f>IF(E1445&lt;2,"",STDEV.S('34_W2_pH'!C39,'34_W2_pH'!E39,'34_W2_pH'!G39,'34_W2_pH'!I39))</x:f>
        <x:v>0.08139410298049848</x:v>
      </x:c>
      <x:c r="H1445" s="90" t="n">
        <x:f>IF(E1445=0,"",MIN('34_W2_pH'!C39,'34_W2_pH'!E39,'34_W2_pH'!G39,'34_W2_pH'!I39))</x:f>
        <x:v>6.32</x:v>
      </x:c>
      <x:c r="I1445" s="90" t="n">
        <x:f>IF(E1445=0,"",MAX('34_W2_pH'!C39,'34_W2_pH'!E39,'34_W2_pH'!G39,'34_W2_pH'!I39))</x:f>
        <x:v>6.5</x:v>
      </x:c>
      <x:c r="J1445" s="32" t="str"/>
    </x:row>
    <x:row r="1446">
      <x:c r="A1446" s="72" t="n">
        <x:v>46240.92422453704</x:v>
      </x:c>
      <x:c r="B1446" s="32" t="str">
        <x:v>土壤pH</x:v>
      </x:c>
      <x:c r="C1446" s="32" t="str">
        <x:v>W2</x:v>
      </x:c>
      <x:c r="D1446" s="32" t="str">
        <x:v>V1</x:v>
      </x:c>
      <x:c r="E1446" s="86" t="n">
        <x:f>COUNT('34_W2_pH'!B40,'34_W2_pH'!D40,'34_W2_pH'!F40,'34_W2_pH'!H40)</x:f>
        <x:v>4</x:v>
      </x:c>
      <x:c r="F1446" s="90" t="n">
        <x:f>IF(E1446=0,"",AVERAGE('34_W2_pH'!B40,'34_W2_pH'!D40,'34_W2_pH'!F40,'34_W2_pH'!H40))</x:f>
        <x:v>6.375</x:v>
      </x:c>
      <x:c r="G1446" s="90" t="n">
        <x:f>IF(E1446&lt;2,"",STDEV.S('34_W2_pH'!B40,'34_W2_pH'!D40,'34_W2_pH'!F40,'34_W2_pH'!H40))</x:f>
        <x:v>0.08660254037844399</x:v>
      </x:c>
      <x:c r="H1446" s="90" t="n">
        <x:f>IF(E1446=0,"",MIN('34_W2_pH'!B40,'34_W2_pH'!D40,'34_W2_pH'!F40,'34_W2_pH'!H40))</x:f>
        <x:v>6.27</x:v>
      </x:c>
      <x:c r="I1446" s="90" t="n">
        <x:f>IF(E1446=0,"",MAX('34_W2_pH'!B40,'34_W2_pH'!D40,'34_W2_pH'!F40,'34_W2_pH'!H40))</x:f>
        <x:v>6.46</x:v>
      </x:c>
      <x:c r="J1446" s="32" t="str"/>
    </x:row>
    <x:row r="1447">
      <x:c r="A1447" s="72" t="n">
        <x:v>46240.92422453704</x:v>
      </x:c>
      <x:c r="B1447" s="32" t="str">
        <x:v>土壤pH</x:v>
      </x:c>
      <x:c r="C1447" s="32" t="str">
        <x:v>W2</x:v>
      </x:c>
      <x:c r="D1447" s="32" t="str">
        <x:v>V2</x:v>
      </x:c>
      <x:c r="E1447" s="86" t="n">
        <x:f>COUNT('34_W2_pH'!C40,'34_W2_pH'!E40,'34_W2_pH'!G40,'34_W2_pH'!I40)</x:f>
        <x:v>4</x:v>
      </x:c>
      <x:c r="F1447" s="90" t="n">
        <x:f>IF(E1447=0,"",AVERAGE('34_W2_pH'!C40,'34_W2_pH'!E40,'34_W2_pH'!G40,'34_W2_pH'!I40))</x:f>
        <x:v>6.4275</x:v>
      </x:c>
      <x:c r="G1447" s="90" t="n">
        <x:f>IF(E1447&lt;2,"",STDEV.S('34_W2_pH'!C40,'34_W2_pH'!E40,'34_W2_pH'!G40,'34_W2_pH'!I40))</x:f>
        <x:v>0.08539125638299652</x:v>
      </x:c>
      <x:c r="H1447" s="90" t="n">
        <x:f>IF(E1447=0,"",MIN('34_W2_pH'!C40,'34_W2_pH'!E40,'34_W2_pH'!G40,'34_W2_pH'!I40))</x:f>
        <x:v>6.32</x:v>
      </x:c>
      <x:c r="I1447" s="90" t="n">
        <x:f>IF(E1447=0,"",MAX('34_W2_pH'!C40,'34_W2_pH'!E40,'34_W2_pH'!G40,'34_W2_pH'!I40))</x:f>
        <x:v>6.51</x:v>
      </x:c>
      <x:c r="J1447" s="32" t="str"/>
    </x:row>
    <x:row r="1448">
      <x:c r="A1448" s="72" t="n">
        <x:v>46240.92769675926</x:v>
      </x:c>
      <x:c r="B1448" s="32" t="str">
        <x:v>土壤pH</x:v>
      </x:c>
      <x:c r="C1448" s="32" t="str">
        <x:v>W2</x:v>
      </x:c>
      <x:c r="D1448" s="32" t="str">
        <x:v>V1</x:v>
      </x:c>
      <x:c r="E1448" s="86" t="n">
        <x:f>COUNT('34_W2_pH'!B41,'34_W2_pH'!D41,'34_W2_pH'!F41,'34_W2_pH'!H41)</x:f>
        <x:v>4</x:v>
      </x:c>
      <x:c r="F1448" s="90" t="n">
        <x:f>IF(E1448=0,"",AVERAGE('34_W2_pH'!B41,'34_W2_pH'!D41,'34_W2_pH'!F41,'34_W2_pH'!H41))</x:f>
        <x:v>6.3725</x:v>
      </x:c>
      <x:c r="G1448" s="90" t="n">
        <x:f>IF(E1448&lt;2,"",STDEV.S('34_W2_pH'!B41,'34_W2_pH'!D41,'34_W2_pH'!F41,'34_W2_pH'!H41))</x:f>
        <x:v>0.08958236433584464</x:v>
      </x:c>
      <x:c r="H1448" s="90" t="n">
        <x:f>IF(E1448=0,"",MIN('34_W2_pH'!B41,'34_W2_pH'!D41,'34_W2_pH'!F41,'34_W2_pH'!H41))</x:f>
        <x:v>6.27</x:v>
      </x:c>
      <x:c r="I1448" s="90" t="n">
        <x:f>IF(E1448=0,"",MAX('34_W2_pH'!B41,'34_W2_pH'!D41,'34_W2_pH'!F41,'34_W2_pH'!H41))</x:f>
        <x:v>6.47</x:v>
      </x:c>
      <x:c r="J1448" s="32" t="str"/>
    </x:row>
    <x:row r="1449">
      <x:c r="A1449" s="72" t="n">
        <x:v>46240.92769675926</x:v>
      </x:c>
      <x:c r="B1449" s="32" t="str">
        <x:v>土壤pH</x:v>
      </x:c>
      <x:c r="C1449" s="32" t="str">
        <x:v>W2</x:v>
      </x:c>
      <x:c r="D1449" s="32" t="str">
        <x:v>V2</x:v>
      </x:c>
      <x:c r="E1449" s="86" t="n">
        <x:f>COUNT('34_W2_pH'!C41,'34_W2_pH'!E41,'34_W2_pH'!G41,'34_W2_pH'!I41)</x:f>
        <x:v>4</x:v>
      </x:c>
      <x:c r="F1449" s="90" t="n">
        <x:f>IF(E1449=0,"",AVERAGE('34_W2_pH'!C41,'34_W2_pH'!E41,'34_W2_pH'!G41,'34_W2_pH'!I41))</x:f>
        <x:v>6.425000000000001</x:v>
      </x:c>
      <x:c r="G1449" s="90" t="n">
        <x:f>IF(E1449&lt;2,"",STDEV.S('34_W2_pH'!C41,'34_W2_pH'!E41,'34_W2_pH'!G41,'34_W2_pH'!I41))</x:f>
        <x:v>0.08660254037844381</x:v>
      </x:c>
      <x:c r="H1449" s="90" t="n">
        <x:f>IF(E1449=0,"",MIN('34_W2_pH'!C41,'34_W2_pH'!E41,'34_W2_pH'!G41,'34_W2_pH'!I41))</x:f>
        <x:v>6.32</x:v>
      </x:c>
      <x:c r="I1449" s="90" t="n">
        <x:f>IF(E1449=0,"",MAX('34_W2_pH'!C41,'34_W2_pH'!E41,'34_W2_pH'!G41,'34_W2_pH'!I41))</x:f>
        <x:v>6.51</x:v>
      </x:c>
      <x:c r="J1449" s="32" t="str"/>
    </x:row>
    <x:row r="1450">
      <x:c r="A1450" s="72" t="n">
        <x:v>46240.93116898148</x:v>
      </x:c>
      <x:c r="B1450" s="32" t="str">
        <x:v>土壤pH</x:v>
      </x:c>
      <x:c r="C1450" s="32" t="str">
        <x:v>W2</x:v>
      </x:c>
      <x:c r="D1450" s="32" t="str">
        <x:v>V1</x:v>
      </x:c>
      <x:c r="E1450" s="86" t="n">
        <x:f>COUNT('34_W2_pH'!B42,'34_W2_pH'!D42,'34_W2_pH'!F42,'34_W2_pH'!H42)</x:f>
        <x:v>4</x:v>
      </x:c>
      <x:c r="F1450" s="90" t="n">
        <x:f>IF(E1450=0,"",AVERAGE('34_W2_pH'!B42,'34_W2_pH'!D42,'34_W2_pH'!F42,'34_W2_pH'!H42))</x:f>
        <x:v>6.375</x:v>
      </x:c>
      <x:c r="G1450" s="90" t="n">
        <x:f>IF(E1450&lt;2,"",STDEV.S('34_W2_pH'!B42,'34_W2_pH'!D42,'34_W2_pH'!F42,'34_W2_pH'!H42))</x:f>
        <x:v>0.08582928793055801</x:v>
      </x:c>
      <x:c r="H1450" s="90" t="n">
        <x:f>IF(E1450=0,"",MIN('34_W2_pH'!B42,'34_W2_pH'!D42,'34_W2_pH'!F42,'34_W2_pH'!H42))</x:f>
        <x:v>6.28</x:v>
      </x:c>
      <x:c r="I1450" s="90" t="n">
        <x:f>IF(E1450=0,"",MAX('34_W2_pH'!B42,'34_W2_pH'!D42,'34_W2_pH'!F42,'34_W2_pH'!H42))</x:f>
        <x:v>6.47</x:v>
      </x:c>
      <x:c r="J1450" s="32" t="str"/>
    </x:row>
    <x:row r="1451">
      <x:c r="A1451" s="72" t="n">
        <x:v>46240.93116898148</x:v>
      </x:c>
      <x:c r="B1451" s="32" t="str">
        <x:v>土壤pH</x:v>
      </x:c>
      <x:c r="C1451" s="32" t="str">
        <x:v>W2</x:v>
      </x:c>
      <x:c r="D1451" s="32" t="str">
        <x:v>V2</x:v>
      </x:c>
      <x:c r="E1451" s="86" t="n">
        <x:f>COUNT('34_W2_pH'!C42,'34_W2_pH'!E42,'34_W2_pH'!G42,'34_W2_pH'!I42)</x:f>
        <x:v>4</x:v>
      </x:c>
      <x:c r="F1451" s="90" t="n">
        <x:f>IF(E1451=0,"",AVERAGE('34_W2_pH'!C42,'34_W2_pH'!E42,'34_W2_pH'!G42,'34_W2_pH'!I42))</x:f>
        <x:v>6.422499999999999</x:v>
      </x:c>
      <x:c r="G1451" s="90" t="n">
        <x:f>IF(E1451&lt;2,"",STDEV.S('34_W2_pH'!C42,'34_W2_pH'!E42,'34_W2_pH'!G42,'34_W2_pH'!I42))</x:f>
        <x:v>0.0895823643358443</x:v>
      </x:c>
      <x:c r="H1451" s="90" t="n">
        <x:f>IF(E1451=0,"",MIN('34_W2_pH'!C42,'34_W2_pH'!E42,'34_W2_pH'!G42,'34_W2_pH'!I42))</x:f>
        <x:v>6.32</x:v>
      </x:c>
      <x:c r="I1451" s="90" t="n">
        <x:f>IF(E1451=0,"",MAX('34_W2_pH'!C42,'34_W2_pH'!E42,'34_W2_pH'!G42,'34_W2_pH'!I42))</x:f>
        <x:v>6.52</x:v>
      </x:c>
      <x:c r="J1451" s="32" t="str"/>
    </x:row>
    <x:row r="1452">
      <x:c r="A1452" s="72" t="n">
        <x:v>46240.934641203705</x:v>
      </x:c>
      <x:c r="B1452" s="32" t="str">
        <x:v>土壤pH</x:v>
      </x:c>
      <x:c r="C1452" s="32" t="str">
        <x:v>W2</x:v>
      </x:c>
      <x:c r="D1452" s="32" t="str">
        <x:v>V1</x:v>
      </x:c>
      <x:c r="E1452" s="86" t="n">
        <x:f>COUNT('34_W2_pH'!B43,'34_W2_pH'!D43,'34_W2_pH'!F43,'34_W2_pH'!H43)</x:f>
        <x:v>4</x:v>
      </x:c>
      <x:c r="F1452" s="90" t="n">
        <x:f>IF(E1452=0,"",AVERAGE('34_W2_pH'!B43,'34_W2_pH'!D43,'34_W2_pH'!F43,'34_W2_pH'!H43))</x:f>
        <x:v>6.3725000000000005</x:v>
      </x:c>
      <x:c r="G1452" s="90" t="n">
        <x:f>IF(E1452&lt;2,"",STDEV.S('34_W2_pH'!B43,'34_W2_pH'!D43,'34_W2_pH'!F43,'34_W2_pH'!H43))</x:f>
        <x:v>0.08995369179009095</x:v>
      </x:c>
      <x:c r="H1452" s="90" t="n">
        <x:f>IF(E1452=0,"",MIN('34_W2_pH'!B43,'34_W2_pH'!D43,'34_W2_pH'!F43,'34_W2_pH'!H43))</x:f>
        <x:v>6.28</x:v>
      </x:c>
      <x:c r="I1452" s="90" t="n">
        <x:f>IF(E1452=0,"",MAX('34_W2_pH'!B43,'34_W2_pH'!D43,'34_W2_pH'!F43,'34_W2_pH'!H43))</x:f>
        <x:v>6.48</x:v>
      </x:c>
      <x:c r="J1452" s="32" t="str"/>
    </x:row>
    <x:row r="1453">
      <x:c r="A1453" s="72" t="n">
        <x:v>46240.934641203705</x:v>
      </x:c>
      <x:c r="B1453" s="32" t="str">
        <x:v>土壤pH</x:v>
      </x:c>
      <x:c r="C1453" s="32" t="str">
        <x:v>W2</x:v>
      </x:c>
      <x:c r="D1453" s="32" t="str">
        <x:v>V2</x:v>
      </x:c>
      <x:c r="E1453" s="86" t="n">
        <x:f>COUNT('34_W2_pH'!C43,'34_W2_pH'!E43,'34_W2_pH'!G43,'34_W2_pH'!I43)</x:f>
        <x:v>4</x:v>
      </x:c>
      <x:c r="F1453" s="90" t="n">
        <x:f>IF(E1453=0,"",AVERAGE('34_W2_pH'!C43,'34_W2_pH'!E43,'34_W2_pH'!G43,'34_W2_pH'!I43))</x:f>
        <x:v>6.425</x:v>
      </x:c>
      <x:c r="G1453" s="90" t="n">
        <x:f>IF(E1453&lt;2,"",STDEV.S('34_W2_pH'!C43,'34_W2_pH'!E43,'34_W2_pH'!G43,'34_W2_pH'!I43))</x:f>
        <x:v>0.08582928793055801</x:v>
      </x:c>
      <x:c r="H1453" s="90" t="n">
        <x:f>IF(E1453=0,"",MIN('34_W2_pH'!C43,'34_W2_pH'!E43,'34_W2_pH'!G43,'34_W2_pH'!I43))</x:f>
        <x:v>6.33</x:v>
      </x:c>
      <x:c r="I1453" s="90" t="n">
        <x:f>IF(E1453=0,"",MAX('34_W2_pH'!C43,'34_W2_pH'!E43,'34_W2_pH'!G43,'34_W2_pH'!I43))</x:f>
        <x:v>6.52</x:v>
      </x:c>
      <x:c r="J1453" s="32" t="str"/>
    </x:row>
    <x:row r="1454">
      <x:c r="A1454" s="72" t="n">
        <x:v>46240.938113425924</x:v>
      </x:c>
      <x:c r="B1454" s="32" t="str">
        <x:v>土壤pH</x:v>
      </x:c>
      <x:c r="C1454" s="32" t="str">
        <x:v>W2</x:v>
      </x:c>
      <x:c r="D1454" s="32" t="str">
        <x:v>V1</x:v>
      </x:c>
      <x:c r="E1454" s="86" t="n">
        <x:f>COUNT('34_W2_pH'!B44,'34_W2_pH'!D44,'34_W2_pH'!F44,'34_W2_pH'!H44)</x:f>
        <x:v>4</x:v>
      </x:c>
      <x:c r="F1454" s="90" t="n">
        <x:f>IF(E1454=0,"",AVERAGE('34_W2_pH'!B44,'34_W2_pH'!D44,'34_W2_pH'!F44,'34_W2_pH'!H44))</x:f>
        <x:v>6.375</x:v>
      </x:c>
      <x:c r="G1454" s="90" t="n">
        <x:f>IF(E1454&lt;2,"",STDEV.S('34_W2_pH'!B44,'34_W2_pH'!D44,'34_W2_pH'!F44,'34_W2_pH'!H44))</x:f>
        <x:v>0.08660254037844399</x:v>
      </x:c>
      <x:c r="H1454" s="90" t="n">
        <x:f>IF(E1454=0,"",MIN('34_W2_pH'!B44,'34_W2_pH'!D44,'34_W2_pH'!F44,'34_W2_pH'!H44))</x:f>
        <x:v>6.29</x:v>
      </x:c>
      <x:c r="I1454" s="90" t="n">
        <x:f>IF(E1454=0,"",MAX('34_W2_pH'!B44,'34_W2_pH'!D44,'34_W2_pH'!F44,'34_W2_pH'!H44))</x:f>
        <x:v>6.48</x:v>
      </x:c>
      <x:c r="J1454" s="32" t="str"/>
    </x:row>
    <x:row r="1455">
      <x:c r="A1455" s="72" t="n">
        <x:v>46240.938113425924</x:v>
      </x:c>
      <x:c r="B1455" s="32" t="str">
        <x:v>土壤pH</x:v>
      </x:c>
      <x:c r="C1455" s="32" t="str">
        <x:v>W2</x:v>
      </x:c>
      <x:c r="D1455" s="32" t="str">
        <x:v>V2</x:v>
      </x:c>
      <x:c r="E1455" s="86" t="n">
        <x:f>COUNT('34_W2_pH'!C44,'34_W2_pH'!E44,'34_W2_pH'!G44,'34_W2_pH'!I44)</x:f>
        <x:v>4</x:v>
      </x:c>
      <x:c r="F1455" s="90" t="n">
        <x:f>IF(E1455=0,"",AVERAGE('34_W2_pH'!C44,'34_W2_pH'!E44,'34_W2_pH'!G44,'34_W2_pH'!I44))</x:f>
        <x:v>6.4225</x:v>
      </x:c>
      <x:c r="G1455" s="90" t="n">
        <x:f>IF(E1455&lt;2,"",STDEV.S('34_W2_pH'!C44,'34_W2_pH'!E44,'34_W2_pH'!G44,'34_W2_pH'!I44))</x:f>
        <x:v>0.08995369179009095</x:v>
      </x:c>
      <x:c r="H1455" s="90" t="n">
        <x:f>IF(E1455=0,"",MIN('34_W2_pH'!C44,'34_W2_pH'!E44,'34_W2_pH'!G44,'34_W2_pH'!I44))</x:f>
        <x:v>6.33</x:v>
      </x:c>
      <x:c r="I1455" s="90" t="n">
        <x:f>IF(E1455=0,"",MAX('34_W2_pH'!C44,'34_W2_pH'!E44,'34_W2_pH'!G44,'34_W2_pH'!I44))</x:f>
        <x:v>6.53</x:v>
      </x:c>
      <x:c r="J1455" s="32" t="str"/>
    </x:row>
    <x:row r="1456">
      <x:c r="A1456" s="72" t="n">
        <x:v>46240.94158564815</x:v>
      </x:c>
      <x:c r="B1456" s="32" t="str">
        <x:v>土壤pH</x:v>
      </x:c>
      <x:c r="C1456" s="32" t="str">
        <x:v>W2</x:v>
      </x:c>
      <x:c r="D1456" s="32" t="str">
        <x:v>V1</x:v>
      </x:c>
      <x:c r="E1456" s="86" t="n">
        <x:f>COUNT('34_W2_pH'!B45,'34_W2_pH'!D45,'34_W2_pH'!F45,'34_W2_pH'!H45)</x:f>
        <x:v>4</x:v>
      </x:c>
      <x:c r="F1456" s="90" t="n">
        <x:f>IF(E1456=0,"",AVERAGE('34_W2_pH'!B45,'34_W2_pH'!D45,'34_W2_pH'!F45,'34_W2_pH'!H45))</x:f>
        <x:v>6.375000000000001</x:v>
      </x:c>
      <x:c r="G1456" s="90" t="n">
        <x:f>IF(E1456&lt;2,"",STDEV.S('34_W2_pH'!B45,'34_W2_pH'!D45,'34_W2_pH'!F45,'34_W2_pH'!H45))</x:f>
        <x:v>0.08225975119502064</x:v>
      </x:c>
      <x:c r="H1456" s="90" t="n">
        <x:f>IF(E1456=0,"",MIN('34_W2_pH'!B45,'34_W2_pH'!D45,'34_W2_pH'!F45,'34_W2_pH'!H45))</x:f>
        <x:v>6.3</x:v>
      </x:c>
      <x:c r="I1456" s="90" t="n">
        <x:f>IF(E1456=0,"",MAX('34_W2_pH'!B45,'34_W2_pH'!D45,'34_W2_pH'!F45,'34_W2_pH'!H45))</x:f>
        <x:v>6.48</x:v>
      </x:c>
      <x:c r="J1456" s="32" t="str"/>
    </x:row>
    <x:row r="1457">
      <x:c r="A1457" s="72" t="n">
        <x:v>46240.94158564815</x:v>
      </x:c>
      <x:c r="B1457" s="32" t="str">
        <x:v>土壤pH</x:v>
      </x:c>
      <x:c r="C1457" s="32" t="str">
        <x:v>W2</x:v>
      </x:c>
      <x:c r="D1457" s="32" t="str">
        <x:v>V2</x:v>
      </x:c>
      <x:c r="E1457" s="86" t="n">
        <x:f>COUNT('34_W2_pH'!C45,'34_W2_pH'!E45,'34_W2_pH'!G45,'34_W2_pH'!I45)</x:f>
        <x:v>4</x:v>
      </x:c>
      <x:c r="F1457" s="90" t="n">
        <x:f>IF(E1457=0,"",AVERAGE('34_W2_pH'!C45,'34_W2_pH'!E45,'34_W2_pH'!G45,'34_W2_pH'!I45))</x:f>
        <x:v>6.425000000000001</x:v>
      </x:c>
      <x:c r="G1457" s="90" t="n">
        <x:f>IF(E1457&lt;2,"",STDEV.S('34_W2_pH'!C45,'34_W2_pH'!E45,'34_W2_pH'!G45,'34_W2_pH'!I45))</x:f>
        <x:v>0.08660254037844399</x:v>
      </x:c>
      <x:c r="H1457" s="90" t="n">
        <x:f>IF(E1457=0,"",MIN('34_W2_pH'!C45,'34_W2_pH'!E45,'34_W2_pH'!G45,'34_W2_pH'!I45))</x:f>
        <x:v>6.34</x:v>
      </x:c>
      <x:c r="I1457" s="90" t="n">
        <x:f>IF(E1457=0,"",MAX('34_W2_pH'!C45,'34_W2_pH'!E45,'34_W2_pH'!G45,'34_W2_pH'!I45))</x:f>
        <x:v>6.53</x:v>
      </x:c>
      <x:c r="J1457" s="32" t="str"/>
    </x:row>
    <x:row r="1458">
      <x:c r="A1458" s="72" t="n">
        <x:v>46240.94505787037</x:v>
      </x:c>
      <x:c r="B1458" s="32" t="str">
        <x:v>土壤pH</x:v>
      </x:c>
      <x:c r="C1458" s="32" t="str">
        <x:v>W2</x:v>
      </x:c>
      <x:c r="D1458" s="32" t="str">
        <x:v>V1</x:v>
      </x:c>
      <x:c r="E1458" s="86" t="n">
        <x:f>COUNT('34_W2_pH'!B46,'34_W2_pH'!D46,'34_W2_pH'!F46,'34_W2_pH'!H46)</x:f>
        <x:v>4</x:v>
      </x:c>
      <x:c r="F1458" s="90" t="n">
        <x:f>IF(E1458=0,"",AVERAGE('34_W2_pH'!B46,'34_W2_pH'!D46,'34_W2_pH'!F46,'34_W2_pH'!H46))</x:f>
        <x:v>6.3725000000000005</x:v>
      </x:c>
      <x:c r="G1458" s="90" t="n">
        <x:f>IF(E1458&lt;2,"",STDEV.S('34_W2_pH'!B46,'34_W2_pH'!D46,'34_W2_pH'!F46,'34_W2_pH'!H46))</x:f>
        <x:v>0.08139410298049869</x:v>
      </x:c>
      <x:c r="H1458" s="90" t="n">
        <x:f>IF(E1458=0,"",MIN('34_W2_pH'!B46,'34_W2_pH'!D46,'34_W2_pH'!F46,'34_W2_pH'!H46))</x:f>
        <x:v>6.3</x:v>
      </x:c>
      <x:c r="I1458" s="90" t="n">
        <x:f>IF(E1458=0,"",MAX('34_W2_pH'!B46,'34_W2_pH'!D46,'34_W2_pH'!F46,'34_W2_pH'!H46))</x:f>
        <x:v>6.48</x:v>
      </x:c>
      <x:c r="J1458" s="32" t="str"/>
    </x:row>
    <x:row r="1459">
      <x:c r="A1459" s="72" t="n">
        <x:v>46240.94505787037</x:v>
      </x:c>
      <x:c r="B1459" s="32" t="str">
        <x:v>土壤pH</x:v>
      </x:c>
      <x:c r="C1459" s="32" t="str">
        <x:v>W2</x:v>
      </x:c>
      <x:c r="D1459" s="32" t="str">
        <x:v>V2</x:v>
      </x:c>
      <x:c r="E1459" s="86" t="n">
        <x:f>COUNT('34_W2_pH'!C46,'34_W2_pH'!E46,'34_W2_pH'!G46,'34_W2_pH'!I46)</x:f>
        <x:v>4</x:v>
      </x:c>
      <x:c r="F1459" s="90" t="n">
        <x:f>IF(E1459=0,"",AVERAGE('34_W2_pH'!C46,'34_W2_pH'!E46,'34_W2_pH'!G46,'34_W2_pH'!I46))</x:f>
        <x:v>6.425</x:v>
      </x:c>
      <x:c r="G1459" s="90" t="n">
        <x:f>IF(E1459&lt;2,"",STDEV.S('34_W2_pH'!C46,'34_W2_pH'!E46,'34_W2_pH'!G46,'34_W2_pH'!I46))</x:f>
        <x:v>0.08225975119502064</x:v>
      </x:c>
      <x:c r="H1459" s="90" t="n">
        <x:f>IF(E1459=0,"",MIN('34_W2_pH'!C46,'34_W2_pH'!E46,'34_W2_pH'!G46,'34_W2_pH'!I46))</x:f>
        <x:v>6.35</x:v>
      </x:c>
      <x:c r="I1459" s="90" t="n">
        <x:f>IF(E1459=0,"",MAX('34_W2_pH'!C46,'34_W2_pH'!E46,'34_W2_pH'!G46,'34_W2_pH'!I46))</x:f>
        <x:v>6.53</x:v>
      </x:c>
      <x:c r="J1459" s="32" t="str"/>
    </x:row>
    <x:row r="1460">
      <x:c r="A1460" s="72" t="n">
        <x:v>46240.948530092595</x:v>
      </x:c>
      <x:c r="B1460" s="32" t="str">
        <x:v>土壤pH</x:v>
      </x:c>
      <x:c r="C1460" s="32" t="str">
        <x:v>W2</x:v>
      </x:c>
      <x:c r="D1460" s="32" t="str">
        <x:v>V1</x:v>
      </x:c>
      <x:c r="E1460" s="86" t="n">
        <x:f>COUNT('34_W2_pH'!B47,'34_W2_pH'!D47,'34_W2_pH'!F47,'34_W2_pH'!H47)</x:f>
        <x:v>4</x:v>
      </x:c>
      <x:c r="F1460" s="90" t="n">
        <x:f>IF(E1460=0,"",AVERAGE('34_W2_pH'!B47,'34_W2_pH'!D47,'34_W2_pH'!F47,'34_W2_pH'!H47))</x:f>
        <x:v>6.369999999999999</x:v>
      </x:c>
      <x:c r="G1460" s="90" t="n">
        <x:f>IF(E1460&lt;2,"",STDEV.S('34_W2_pH'!B47,'34_W2_pH'!D47,'34_W2_pH'!F47,'34_W2_pH'!H47))</x:f>
        <x:v>0.07348469228349526</x:v>
      </x:c>
      <x:c r="H1460" s="90" t="n">
        <x:f>IF(E1460=0,"",MIN('34_W2_pH'!B47,'34_W2_pH'!D47,'34_W2_pH'!F47,'34_W2_pH'!H47))</x:f>
        <x:v>6.31</x:v>
      </x:c>
      <x:c r="I1460" s="90" t="n">
        <x:f>IF(E1460=0,"",MAX('34_W2_pH'!B47,'34_W2_pH'!D47,'34_W2_pH'!F47,'34_W2_pH'!H47))</x:f>
        <x:v>6.47</x:v>
      </x:c>
      <x:c r="J1460" s="32" t="str"/>
    </x:row>
    <x:row r="1461">
      <x:c r="A1461" s="72" t="n">
        <x:v>46240.948530092595</x:v>
      </x:c>
      <x:c r="B1461" s="32" t="str">
        <x:v>土壤pH</x:v>
      </x:c>
      <x:c r="C1461" s="32" t="str">
        <x:v>W2</x:v>
      </x:c>
      <x:c r="D1461" s="32" t="str">
        <x:v>V2</x:v>
      </x:c>
      <x:c r="E1461" s="86" t="n">
        <x:f>COUNT('34_W2_pH'!C47,'34_W2_pH'!E47,'34_W2_pH'!G47,'34_W2_pH'!I47)</x:f>
        <x:v>4</x:v>
      </x:c>
      <x:c r="F1461" s="90" t="n">
        <x:f>IF(E1461=0,"",AVERAGE('34_W2_pH'!C47,'34_W2_pH'!E47,'34_W2_pH'!G47,'34_W2_pH'!I47))</x:f>
        <x:v>6.4225</x:v>
      </x:c>
      <x:c r="G1461" s="90" t="n">
        <x:f>IF(E1461&lt;2,"",STDEV.S('34_W2_pH'!C47,'34_W2_pH'!E47,'34_W2_pH'!G47,'34_W2_pH'!I47))</x:f>
        <x:v>0.08139410298049876</x:v>
      </x:c>
      <x:c r="H1461" s="90" t="n">
        <x:f>IF(E1461=0,"",MIN('34_W2_pH'!C47,'34_W2_pH'!E47,'34_W2_pH'!G47,'34_W2_pH'!I47))</x:f>
        <x:v>6.35</x:v>
      </x:c>
      <x:c r="I1461" s="90" t="n">
        <x:f>IF(E1461=0,"",MAX('34_W2_pH'!C47,'34_W2_pH'!E47,'34_W2_pH'!G47,'34_W2_pH'!I47))</x:f>
        <x:v>6.53</x:v>
      </x:c>
      <x:c r="J1461" s="32" t="str"/>
    </x:row>
    <x:row r="1462">
      <x:c r="A1462" s="72" t="n">
        <x:v>46240.952002314814</x:v>
      </x:c>
      <x:c r="B1462" s="32" t="str">
        <x:v>土壤pH</x:v>
      </x:c>
      <x:c r="C1462" s="32" t="str">
        <x:v>W2</x:v>
      </x:c>
      <x:c r="D1462" s="32" t="str">
        <x:v>V1</x:v>
      </x:c>
      <x:c r="E1462" s="86" t="n">
        <x:f>COUNT('34_W2_pH'!B48,'34_W2_pH'!D48,'34_W2_pH'!F48,'34_W2_pH'!H48)</x:f>
        <x:v>4</x:v>
      </x:c>
      <x:c r="F1462" s="90" t="n">
        <x:f>IF(E1462=0,"",AVERAGE('34_W2_pH'!B48,'34_W2_pH'!D48,'34_W2_pH'!F48,'34_W2_pH'!H48))</x:f>
        <x:v>6.375</x:v>
      </x:c>
      <x:c r="G1462" s="90" t="n">
        <x:f>IF(E1462&lt;2,"",STDEV.S('34_W2_pH'!B48,'34_W2_pH'!D48,'34_W2_pH'!F48,'34_W2_pH'!H48))</x:f>
        <x:v>0.06855654600401023</x:v>
      </x:c>
      <x:c r="H1462" s="90" t="n">
        <x:f>IF(E1462=0,"",MIN('34_W2_pH'!B48,'34_W2_pH'!D48,'34_W2_pH'!F48,'34_W2_pH'!H48))</x:f>
        <x:v>6.32</x:v>
      </x:c>
      <x:c r="I1462" s="90" t="n">
        <x:f>IF(E1462=0,"",MAX('34_W2_pH'!B48,'34_W2_pH'!D48,'34_W2_pH'!F48,'34_W2_pH'!H48))</x:f>
        <x:v>6.47</x:v>
      </x:c>
      <x:c r="J1462" s="32" t="str"/>
    </x:row>
    <x:row r="1463">
      <x:c r="A1463" s="72" t="n">
        <x:v>46240.952002314814</x:v>
      </x:c>
      <x:c r="B1463" s="32" t="str">
        <x:v>土壤pH</x:v>
      </x:c>
      <x:c r="C1463" s="32" t="str">
        <x:v>W2</x:v>
      </x:c>
      <x:c r="D1463" s="32" t="str">
        <x:v>V2</x:v>
      </x:c>
      <x:c r="E1463" s="86" t="n">
        <x:f>COUNT('34_W2_pH'!C48,'34_W2_pH'!E48,'34_W2_pH'!G48,'34_W2_pH'!I48)</x:f>
        <x:v>4</x:v>
      </x:c>
      <x:c r="F1463" s="90" t="n">
        <x:f>IF(E1463=0,"",AVERAGE('34_W2_pH'!C48,'34_W2_pH'!E48,'34_W2_pH'!G48,'34_W2_pH'!I48))</x:f>
        <x:v>6.42</x:v>
      </x:c>
      <x:c r="G1463" s="90" t="n">
        <x:f>IF(E1463&lt;2,"",STDEV.S('34_W2_pH'!C48,'34_W2_pH'!E48,'34_W2_pH'!G48,'34_W2_pH'!I48))</x:f>
        <x:v>0.07348469228349502</x:v>
      </x:c>
      <x:c r="H1463" s="90" t="n">
        <x:f>IF(E1463=0,"",MIN('34_W2_pH'!C48,'34_W2_pH'!E48,'34_W2_pH'!G48,'34_W2_pH'!I48))</x:f>
        <x:v>6.36</x:v>
      </x:c>
      <x:c r="I1463" s="90" t="n">
        <x:f>IF(E1463=0,"",MAX('34_W2_pH'!C48,'34_W2_pH'!E48,'34_W2_pH'!G48,'34_W2_pH'!I48))</x:f>
        <x:v>6.52</x:v>
      </x:c>
      <x:c r="J1463" s="32" t="str"/>
    </x:row>
    <x:row r="1464">
      <x:c r="A1464" s="72" t="n">
        <x:v>46240.95547453704</x:v>
      </x:c>
      <x:c r="B1464" s="32" t="str">
        <x:v>土壤pH</x:v>
      </x:c>
      <x:c r="C1464" s="32" t="str">
        <x:v>W2</x:v>
      </x:c>
      <x:c r="D1464" s="32" t="str">
        <x:v>V1</x:v>
      </x:c>
      <x:c r="E1464" s="86" t="n">
        <x:f>COUNT('34_W2_pH'!B49,'34_W2_pH'!D49,'34_W2_pH'!F49,'34_W2_pH'!H49)</x:f>
        <x:v>4</x:v>
      </x:c>
      <x:c r="F1464" s="90" t="n">
        <x:f>IF(E1464=0,"",AVERAGE('34_W2_pH'!B49,'34_W2_pH'!D49,'34_W2_pH'!F49,'34_W2_pH'!H49))</x:f>
        <x:v>6.37</x:v>
      </x:c>
      <x:c r="G1464" s="90" t="n">
        <x:f>IF(E1464&lt;2,"",STDEV.S('34_W2_pH'!B49,'34_W2_pH'!D49,'34_W2_pH'!F49,'34_W2_pH'!H49))</x:f>
        <x:v>0.06377042156569654</x:v>
      </x:c>
      <x:c r="H1464" s="90" t="n">
        <x:f>IF(E1464=0,"",MIN('34_W2_pH'!B49,'34_W2_pH'!D49,'34_W2_pH'!F49,'34_W2_pH'!H49))</x:f>
        <x:v>6.32</x:v>
      </x:c>
      <x:c r="I1464" s="90" t="n">
        <x:f>IF(E1464=0,"",MAX('34_W2_pH'!B49,'34_W2_pH'!D49,'34_W2_pH'!F49,'34_W2_pH'!H49))</x:f>
        <x:v>6.46</x:v>
      </x:c>
      <x:c r="J1464" s="32" t="str"/>
    </x:row>
    <x:row r="1465">
      <x:c r="A1465" s="72" t="n">
        <x:v>46240.95547453704</x:v>
      </x:c>
      <x:c r="B1465" s="32" t="str">
        <x:v>土壤pH</x:v>
      </x:c>
      <x:c r="C1465" s="32" t="str">
        <x:v>W2</x:v>
      </x:c>
      <x:c r="D1465" s="32" t="str">
        <x:v>V2</x:v>
      </x:c>
      <x:c r="E1465" s="86" t="n">
        <x:f>COUNT('34_W2_pH'!C49,'34_W2_pH'!E49,'34_W2_pH'!G49,'34_W2_pH'!I49)</x:f>
        <x:v>4</x:v>
      </x:c>
      <x:c r="F1465" s="90" t="n">
        <x:f>IF(E1465=0,"",AVERAGE('34_W2_pH'!C49,'34_W2_pH'!E49,'34_W2_pH'!G49,'34_W2_pH'!I49))</x:f>
        <x:v>6.425</x:v>
      </x:c>
      <x:c r="G1465" s="90" t="n">
        <x:f>IF(E1465&lt;2,"",STDEV.S('34_W2_pH'!C49,'34_W2_pH'!E49,'34_W2_pH'!G49,'34_W2_pH'!I49))</x:f>
        <x:v>0.06855654600401023</x:v>
      </x:c>
      <x:c r="H1465" s="90" t="n">
        <x:f>IF(E1465=0,"",MIN('34_W2_pH'!C49,'34_W2_pH'!E49,'34_W2_pH'!G49,'34_W2_pH'!I49))</x:f>
        <x:v>6.37</x:v>
      </x:c>
      <x:c r="I1465" s="90" t="n">
        <x:f>IF(E1465=0,"",MAX('34_W2_pH'!C49,'34_W2_pH'!E49,'34_W2_pH'!G49,'34_W2_pH'!I49))</x:f>
        <x:v>6.52</x:v>
      </x:c>
      <x:c r="J1465" s="32" t="str"/>
    </x:row>
    <x:row r="1466">
      <x:c r="A1466" s="72" t="n">
        <x:v>46240.95894675926</x:v>
      </x:c>
      <x:c r="B1466" s="32" t="str">
        <x:v>土壤pH</x:v>
      </x:c>
      <x:c r="C1466" s="32" t="str">
        <x:v>W2</x:v>
      </x:c>
      <x:c r="D1466" s="32" t="str">
        <x:v>V1</x:v>
      </x:c>
      <x:c r="E1466" s="86" t="n">
        <x:f>COUNT('34_W2_pH'!B50,'34_W2_pH'!D50,'34_W2_pH'!F50,'34_W2_pH'!H50)</x:f>
        <x:v>4</x:v>
      </x:c>
      <x:c r="F1466" s="90" t="n">
        <x:f>IF(E1466=0,"",AVERAGE('34_W2_pH'!B50,'34_W2_pH'!D50,'34_W2_pH'!F50,'34_W2_pH'!H50))</x:f>
        <x:v>6.375</x:v>
      </x:c>
      <x:c r="G1466" s="90" t="n">
        <x:f>IF(E1466&lt;2,"",STDEV.S('34_W2_pH'!B50,'34_W2_pH'!D50,'34_W2_pH'!F50,'34_W2_pH'!H50))</x:f>
        <x:v>0.05916079783099615</x:v>
      </x:c>
      <x:c r="H1466" s="90" t="n">
        <x:f>IF(E1466=0,"",MIN('34_W2_pH'!B50,'34_W2_pH'!D50,'34_W2_pH'!F50,'34_W2_pH'!H50))</x:f>
        <x:v>6.33</x:v>
      </x:c>
      <x:c r="I1466" s="90" t="n">
        <x:f>IF(E1466=0,"",MAX('34_W2_pH'!B50,'34_W2_pH'!D50,'34_W2_pH'!F50,'34_W2_pH'!H50))</x:f>
        <x:v>6.46</x:v>
      </x:c>
      <x:c r="J1466" s="32" t="str"/>
    </x:row>
    <x:row r="1467">
      <x:c r="A1467" s="72" t="n">
        <x:v>46240.95894675926</x:v>
      </x:c>
      <x:c r="B1467" s="32" t="str">
        <x:v>土壤pH</x:v>
      </x:c>
      <x:c r="C1467" s="32" t="str">
        <x:v>W2</x:v>
      </x:c>
      <x:c r="D1467" s="32" t="str">
        <x:v>V2</x:v>
      </x:c>
      <x:c r="E1467" s="86" t="n">
        <x:f>COUNT('34_W2_pH'!C50,'34_W2_pH'!E50,'34_W2_pH'!G50,'34_W2_pH'!I50)</x:f>
        <x:v>4</x:v>
      </x:c>
      <x:c r="F1467" s="90" t="n">
        <x:f>IF(E1467=0,"",AVERAGE('34_W2_pH'!C50,'34_W2_pH'!E50,'34_W2_pH'!G50,'34_W2_pH'!I50))</x:f>
        <x:v>6.42</x:v>
      </x:c>
      <x:c r="G1467" s="90" t="n">
        <x:f>IF(E1467&lt;2,"",STDEV.S('34_W2_pH'!C50,'34_W2_pH'!E50,'34_W2_pH'!G50,'34_W2_pH'!I50))</x:f>
        <x:v>0.06377042156569654</x:v>
      </x:c>
      <x:c r="H1467" s="90" t="n">
        <x:f>IF(E1467=0,"",MIN('34_W2_pH'!C50,'34_W2_pH'!E50,'34_W2_pH'!G50,'34_W2_pH'!I50))</x:f>
        <x:v>6.37</x:v>
      </x:c>
      <x:c r="I1467" s="90" t="n">
        <x:f>IF(E1467=0,"",MAX('34_W2_pH'!C50,'34_W2_pH'!E50,'34_W2_pH'!G50,'34_W2_pH'!I50))</x:f>
        <x:v>6.51</x:v>
      </x:c>
      <x:c r="J1467" s="32" t="str"/>
    </x:row>
    <x:row r="1468">
      <x:c r="A1468" s="72" t="n">
        <x:v>46240.96241898148</x:v>
      </x:c>
      <x:c r="B1468" s="32" t="str">
        <x:v>土壤pH</x:v>
      </x:c>
      <x:c r="C1468" s="32" t="str">
        <x:v>W2</x:v>
      </x:c>
      <x:c r="D1468" s="32" t="str">
        <x:v>V1</x:v>
      </x:c>
      <x:c r="E1468" s="86" t="n">
        <x:f>COUNT('34_W2_pH'!B51,'34_W2_pH'!D51,'34_W2_pH'!F51,'34_W2_pH'!H51)</x:f>
        <x:v>4</x:v>
      </x:c>
      <x:c r="F1468" s="90" t="n">
        <x:f>IF(E1468=0,"",AVERAGE('34_W2_pH'!B51,'34_W2_pH'!D51,'34_W2_pH'!F51,'34_W2_pH'!H51))</x:f>
        <x:v>6.375</x:v>
      </x:c>
      <x:c r="G1468" s="90" t="n">
        <x:f>IF(E1468&lt;2,"",STDEV.S('34_W2_pH'!B51,'34_W2_pH'!D51,'34_W2_pH'!F51,'34_W2_pH'!H51))</x:f>
        <x:v>0.052599112793531785</x:v>
      </x:c>
      <x:c r="H1468" s="90" t="n">
        <x:f>IF(E1468=0,"",MIN('34_W2_pH'!B51,'34_W2_pH'!D51,'34_W2_pH'!F51,'34_W2_pH'!H51))</x:f>
        <x:v>6.33</x:v>
      </x:c>
      <x:c r="I1468" s="90" t="n">
        <x:f>IF(E1468=0,"",MAX('34_W2_pH'!B51,'34_W2_pH'!D51,'34_W2_pH'!F51,'34_W2_pH'!H51))</x:f>
        <x:v>6.45</x:v>
      </x:c>
      <x:c r="J1468" s="32" t="str"/>
    </x:row>
    <x:row r="1469">
      <x:c r="A1469" s="72" t="n">
        <x:v>46240.96241898148</x:v>
      </x:c>
      <x:c r="B1469" s="32" t="str">
        <x:v>土壤pH</x:v>
      </x:c>
      <x:c r="C1469" s="32" t="str">
        <x:v>W2</x:v>
      </x:c>
      <x:c r="D1469" s="32" t="str">
        <x:v>V2</x:v>
      </x:c>
      <x:c r="E1469" s="86" t="n">
        <x:f>COUNT('34_W2_pH'!C51,'34_W2_pH'!E51,'34_W2_pH'!G51,'34_W2_pH'!I51)</x:f>
        <x:v>4</x:v>
      </x:c>
      <x:c r="F1469" s="90" t="n">
        <x:f>IF(E1469=0,"",AVERAGE('34_W2_pH'!C51,'34_W2_pH'!E51,'34_W2_pH'!G51,'34_W2_pH'!I51))</x:f>
        <x:v>6.424999999999999</x:v>
      </x:c>
      <x:c r="G1469" s="90" t="n">
        <x:f>IF(E1469&lt;2,"",STDEV.S('34_W2_pH'!C51,'34_W2_pH'!E51,'34_W2_pH'!G51,'34_W2_pH'!I51))</x:f>
        <x:v>0.059160797830996155</x:v>
      </x:c>
      <x:c r="H1469" s="90" t="n">
        <x:f>IF(E1469=0,"",MIN('34_W2_pH'!C51,'34_W2_pH'!E51,'34_W2_pH'!G51,'34_W2_pH'!I51))</x:f>
        <x:v>6.38</x:v>
      </x:c>
      <x:c r="I1469" s="90" t="n">
        <x:f>IF(E1469=0,"",MAX('34_W2_pH'!C51,'34_W2_pH'!E51,'34_W2_pH'!G51,'34_W2_pH'!I51))</x:f>
        <x:v>6.51</x:v>
      </x:c>
      <x:c r="J1469" s="32" t="str"/>
    </x:row>
    <x:row r="1470">
      <x:c r="A1470" s="72" t="n">
        <x:v>46240.965891203705</x:v>
      </x:c>
      <x:c r="B1470" s="32" t="str">
        <x:v>土壤pH</x:v>
      </x:c>
      <x:c r="C1470" s="32" t="str">
        <x:v>W2</x:v>
      </x:c>
      <x:c r="D1470" s="32" t="str">
        <x:v>V1</x:v>
      </x:c>
      <x:c r="E1470" s="86" t="n">
        <x:f>COUNT('34_W2_pH'!B52,'34_W2_pH'!D52,'34_W2_pH'!F52,'34_W2_pH'!H52)</x:f>
        <x:v>4</x:v>
      </x:c>
      <x:c r="F1470" s="90" t="n">
        <x:f>IF(E1470=0,"",AVERAGE('34_W2_pH'!B52,'34_W2_pH'!D52,'34_W2_pH'!F52,'34_W2_pH'!H52))</x:f>
        <x:v>6.3725000000000005</x:v>
      </x:c>
      <x:c r="G1470" s="90" t="n">
        <x:f>IF(E1470&lt;2,"",STDEV.S('34_W2_pH'!B52,'34_W2_pH'!D52,'34_W2_pH'!F52,'34_W2_pH'!H52))</x:f>
        <x:v>0.04787135538781712</x:v>
      </x:c>
      <x:c r="H1470" s="90" t="n">
        <x:f>IF(E1470=0,"",MIN('34_W2_pH'!B52,'34_W2_pH'!D52,'34_W2_pH'!F52,'34_W2_pH'!H52))</x:f>
        <x:v>6.33</x:v>
      </x:c>
      <x:c r="I1470" s="90" t="n">
        <x:f>IF(E1470=0,"",MAX('34_W2_pH'!B52,'34_W2_pH'!D52,'34_W2_pH'!F52,'34_W2_pH'!H52))</x:f>
        <x:v>6.44</x:v>
      </x:c>
      <x:c r="J1470" s="32" t="str"/>
    </x:row>
    <x:row r="1471">
      <x:c r="A1471" s="72" t="n">
        <x:v>46240.965891203705</x:v>
      </x:c>
      <x:c r="B1471" s="32" t="str">
        <x:v>土壤pH</x:v>
      </x:c>
      <x:c r="C1471" s="32" t="str">
        <x:v>W2</x:v>
      </x:c>
      <x:c r="D1471" s="32" t="str">
        <x:v>V2</x:v>
      </x:c>
      <x:c r="E1471" s="86" t="n">
        <x:f>COUNT('34_W2_pH'!C52,'34_W2_pH'!E52,'34_W2_pH'!G52,'34_W2_pH'!I52)</x:f>
        <x:v>4</x:v>
      </x:c>
      <x:c r="F1471" s="90" t="n">
        <x:f>IF(E1471=0,"",AVERAGE('34_W2_pH'!C52,'34_W2_pH'!E52,'34_W2_pH'!G52,'34_W2_pH'!I52))</x:f>
        <x:v>6.425000000000001</x:v>
      </x:c>
      <x:c r="G1471" s="90" t="n">
        <x:f>IF(E1471&lt;2,"",STDEV.S('34_W2_pH'!C52,'34_W2_pH'!E52,'34_W2_pH'!G52,'34_W2_pH'!I52))</x:f>
        <x:v>0.05259911279353164</x:v>
      </x:c>
      <x:c r="H1471" s="90" t="n">
        <x:f>IF(E1471=0,"",MIN('34_W2_pH'!C52,'34_W2_pH'!E52,'34_W2_pH'!G52,'34_W2_pH'!I52))</x:f>
        <x:v>6.38</x:v>
      </x:c>
      <x:c r="I1471" s="90" t="n">
        <x:f>IF(E1471=0,"",MAX('34_W2_pH'!C52,'34_W2_pH'!E52,'34_W2_pH'!G52,'34_W2_pH'!I52))</x:f>
        <x:v>6.5</x:v>
      </x:c>
      <x:c r="J1471" s="32" t="str"/>
    </x:row>
    <x:row r="1472">
      <x:c r="A1472" s="72" t="n">
        <x:v>46240.969363425924</x:v>
      </x:c>
      <x:c r="B1472" s="32" t="str">
        <x:v>土壤pH</x:v>
      </x:c>
      <x:c r="C1472" s="32" t="str">
        <x:v>W2</x:v>
      </x:c>
      <x:c r="D1472" s="32" t="str">
        <x:v>V1</x:v>
      </x:c>
      <x:c r="E1472" s="86" t="n">
        <x:f>COUNT('34_W2_pH'!B53,'34_W2_pH'!D53,'34_W2_pH'!F53,'34_W2_pH'!H53)</x:f>
        <x:v>4</x:v>
      </x:c>
      <x:c r="F1472" s="90" t="n">
        <x:f>IF(E1472=0,"",AVERAGE('34_W2_pH'!B53,'34_W2_pH'!D53,'34_W2_pH'!F53,'34_W2_pH'!H53))</x:f>
        <x:v>6.3725000000000005</x:v>
      </x:c>
      <x:c r="G1472" s="90" t="n">
        <x:f>IF(E1472&lt;2,"",STDEV.S('34_W2_pH'!B53,'34_W2_pH'!D53,'34_W2_pH'!F53,'34_W2_pH'!H53))</x:f>
        <x:v>0.04193248541803023</x:v>
      </x:c>
      <x:c r="H1472" s="90" t="n">
        <x:f>IF(E1472=0,"",MIN('34_W2_pH'!B53,'34_W2_pH'!D53,'34_W2_pH'!F53,'34_W2_pH'!H53))</x:f>
        <x:v>6.33</x:v>
      </x:c>
      <x:c r="I1472" s="90" t="n">
        <x:f>IF(E1472=0,"",MAX('34_W2_pH'!B53,'34_W2_pH'!D53,'34_W2_pH'!F53,'34_W2_pH'!H53))</x:f>
        <x:v>6.43</x:v>
      </x:c>
      <x:c r="J1472" s="32" t="str"/>
    </x:row>
    <x:row r="1473">
      <x:c r="A1473" s="73" t="n">
        <x:v>46240.969363425924</x:v>
      </x:c>
      <x:c r="B1473" s="33" t="str">
        <x:v>土壤pH</x:v>
      </x:c>
      <x:c r="C1473" s="33" t="str">
        <x:v>W2</x:v>
      </x:c>
      <x:c r="D1473" s="33" t="str">
        <x:v>V2</x:v>
      </x:c>
      <x:c r="E1473" s="87" t="n">
        <x:f>COUNT('34_W2_pH'!C53,'34_W2_pH'!E53,'34_W2_pH'!G53,'34_W2_pH'!I53)</x:f>
        <x:v>4</x:v>
      </x:c>
      <x:c r="F1473" s="91" t="n">
        <x:f>IF(E1473=0,"",AVERAGE('34_W2_pH'!C53,'34_W2_pH'!E53,'34_W2_pH'!G53,'34_W2_pH'!I53))</x:f>
        <x:v>6.422500000000001</x:v>
      </x:c>
      <x:c r="G1473" s="91" t="n">
        <x:f>IF(E1473&lt;2,"",STDEV.S('34_W2_pH'!C53,'34_W2_pH'!E53,'34_W2_pH'!G53,'34_W2_pH'!I53))</x:f>
        <x:v>0.047871355387816984</x:v>
      </x:c>
      <x:c r="H1473" s="91" t="n">
        <x:f>IF(E1473=0,"",MIN('34_W2_pH'!C53,'34_W2_pH'!E53,'34_W2_pH'!G53,'34_W2_pH'!I53))</x:f>
        <x:v>6.38</x:v>
      </x:c>
      <x:c r="I1473" s="91" t="n">
        <x:f>IF(E1473=0,"",MAX('34_W2_pH'!C53,'34_W2_pH'!E53,'34_W2_pH'!G53,'34_W2_pH'!I53))</x:f>
        <x:v>6.49</x:v>
      </x:c>
      <x:c r="J1473" s="33" t="str"/>
    </x:row>
  </x:sheetData>
  <x:mergeCells>
    <x:mergeCell ref="A1:J1"/>
  </x:mergeCells>
  <x:conditionalFormatting sqref="E4:E1473">
    <x:cfRule type="cellIs" dxfId="15" priority="1" operator="lessThan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a7b99777184c9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9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17" hidden="0" customWidth="1"/>
    <x:col min="20" max="20" width="17" hidden="0" customWidth="1"/>
    <x:col min="21" max="21" width="21" hidden="0" customWidth="1"/>
    <x:col min="22" max="22" width="21" hidden="0" customWidth="1"/>
    <x:col min="23" max="23" width="28" hidden="0" customWidth="1"/>
  </x:cols>
  <x:sheetData>
    <x:row r="1" ht="30" customHeight="1">
      <x:c r="A1" s="5" t="str">
        <x:v>各小区数据完整性与采集质量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3" ht="26" customHeight="1">
      <x:c r="A3" s="18" t="str">
        <x:v>小区编号</x:v>
      </x:c>
      <x:c r="B3" s="47" t="str">
        <x:v>试验编号</x:v>
      </x:c>
      <x:c r="C3" s="47" t="str">
        <x:v>水分处理</x:v>
      </x:c>
      <x:c r="D3" s="47" t="str">
        <x:v>品种</x:v>
      </x:c>
      <x:c r="E3" s="47" t="str">
        <x:v>IMEI</x:v>
      </x:c>
      <x:c r="F3" s="47" t="str">
        <x:v>应有记录数</x:v>
      </x:c>
      <x:c r="G3" s="47" t="str">
        <x:v>实际记录数</x:v>
      </x:c>
      <x:c r="H3" s="47" t="str">
        <x:v>缺失记录数</x:v>
      </x:c>
      <x:c r="I3" s="47" t="str">
        <x:v>重复记录数</x:v>
      </x:c>
      <x:c r="J3" s="47" t="str">
        <x:v>最大时间间隔(min)</x:v>
      </x:c>
      <x:c r="K3" s="47" t="str">
        <x:v>水位有效数</x:v>
      </x:c>
      <x:c r="L3" s="47" t="str">
        <x:v>张力有效数</x:v>
      </x:c>
      <x:c r="M3" s="47" t="str">
        <x:v>含水率有效数</x:v>
      </x:c>
      <x:c r="N3" s="47" t="str">
        <x:v>温度有效数</x:v>
      </x:c>
      <x:c r="O3" s="47" t="str">
        <x:v>EC有效数</x:v>
      </x:c>
      <x:c r="P3" s="47" t="str">
        <x:v>pH有效数</x:v>
      </x:c>
      <x:c r="Q3" s="47" t="str">
        <x:v>partial数量</x:v>
      </x:c>
      <x:c r="R3" s="47" t="str">
        <x:v>error数量</x:v>
      </x:c>
      <x:c r="S3" s="47" t="str">
        <x:v>平均接收延迟(s)</x:v>
      </x:c>
      <x:c r="T3" s="47" t="str">
        <x:v>最大接收延迟(s)</x:v>
      </x:c>
      <x:c r="U3" s="47" t="str">
        <x:v>首次采集时间</x:v>
      </x:c>
      <x:c r="V3" s="47" t="str">
        <x:v>最后采集时间</x:v>
      </x:c>
      <x:c r="W3" s="19" t="str">
        <x:v>综合结论</x:v>
      </x:c>
    </x:row>
    <x:row r="4">
      <x:c r="A4" s="32" t="str">
        <x:v>P01</x:v>
      </x:c>
      <x:c r="B4" s="32" t="str">
        <x:v>B1-W0-V1</x:v>
      </x:c>
      <x:c r="C4" s="32" t="str">
        <x:v>W0</x:v>
      </x:c>
      <x:c r="D4" s="32" t="str">
        <x:v>V1</x:v>
      </x:c>
      <x:c r="E4" s="32" t="str">
        <x:v>862323089930701</x:v>
      </x:c>
      <x:c r="F4" s="32" t="n">
        <x:v>49</x:v>
      </x:c>
      <x:c r="G4" s="32" t="n">
        <x:v>49</x:v>
      </x:c>
      <x:c r="H4" s="32" t="n">
        <x:v>0</x:v>
      </x:c>
      <x:c r="I4" s="32" t="n">
        <x:v>0</x:v>
      </x:c>
      <x:c r="J4" s="82" t="n">
        <x:v>5</x:v>
      </x:c>
      <x:c r="K4" s="32" t="n">
        <x:v>49</x:v>
      </x:c>
      <x:c r="L4" s="32" t="n">
        <x:v>0</x:v>
      </x:c>
      <x:c r="M4" s="32" t="n">
        <x:v>49</x:v>
      </x:c>
      <x:c r="N4" s="32" t="n">
        <x:v>49</x:v>
      </x:c>
      <x:c r="O4" s="32" t="n">
        <x:v>49</x:v>
      </x:c>
      <x:c r="P4" s="32" t="n">
        <x:v>49</x:v>
      </x:c>
      <x:c r="Q4" s="32" t="n">
        <x:v>0</x:v>
      </x:c>
      <x:c r="R4" s="32" t="n">
        <x:v>0</x:v>
      </x:c>
      <x:c r="S4" s="82" t="n">
        <x:v>1.2</x:v>
      </x:c>
      <x:c r="T4" s="82" t="n">
        <x:v>1.2</x:v>
      </x:c>
      <x:c r="U4" s="72" t="n">
        <x:v>46240.80269675926</x:v>
      </x:c>
      <x:c r="V4" s="72" t="n">
        <x:v>46240.969363425924</x:v>
      </x:c>
      <x:c r="W4" s="32" t="str">
        <x:v>正常</x:v>
      </x:c>
    </x:row>
    <x:row r="5">
      <x:c r="A5" s="32" t="str">
        <x:v>P02</x:v>
      </x:c>
      <x:c r="B5" s="32" t="str">
        <x:v>B1-W0-V2</x:v>
      </x:c>
      <x:c r="C5" s="32" t="str">
        <x:v>W0</x:v>
      </x:c>
      <x:c r="D5" s="32" t="str">
        <x:v>V2</x:v>
      </x:c>
      <x:c r="E5" s="32" t="str">
        <x:v>862323089930702</x:v>
      </x:c>
      <x:c r="F5" s="32" t="n">
        <x:v>49</x:v>
      </x:c>
      <x:c r="G5" s="32" t="n">
        <x:v>49</x:v>
      </x:c>
      <x:c r="H5" s="32" t="n">
        <x:v>0</x:v>
      </x:c>
      <x:c r="I5" s="32" t="n">
        <x:v>0</x:v>
      </x:c>
      <x:c r="J5" s="82" t="n">
        <x:v>5</x:v>
      </x:c>
      <x:c r="K5" s="32" t="n">
        <x:v>49</x:v>
      </x:c>
      <x:c r="L5" s="32" t="n">
        <x:v>0</x:v>
      </x:c>
      <x:c r="M5" s="32" t="n">
        <x:v>49</x:v>
      </x:c>
      <x:c r="N5" s="32" t="n">
        <x:v>49</x:v>
      </x:c>
      <x:c r="O5" s="32" t="n">
        <x:v>49</x:v>
      </x:c>
      <x:c r="P5" s="32" t="n">
        <x:v>49</x:v>
      </x:c>
      <x:c r="Q5" s="32" t="n">
        <x:v>0</x:v>
      </x:c>
      <x:c r="R5" s="32" t="n">
        <x:v>0</x:v>
      </x:c>
      <x:c r="S5" s="82" t="n">
        <x:v>1.2</x:v>
      </x:c>
      <x:c r="T5" s="82" t="n">
        <x:v>1.2</x:v>
      </x:c>
      <x:c r="U5" s="72" t="n">
        <x:v>46240.80269675926</x:v>
      </x:c>
      <x:c r="V5" s="72" t="n">
        <x:v>46240.969363425924</x:v>
      </x:c>
      <x:c r="W5" s="32" t="str">
        <x:v>正常</x:v>
      </x:c>
    </x:row>
    <x:row r="6">
      <x:c r="A6" s="32" t="str">
        <x:v>P03</x:v>
      </x:c>
      <x:c r="B6" s="32" t="str">
        <x:v>B1-W1-V1</x:v>
      </x:c>
      <x:c r="C6" s="32" t="str">
        <x:v>W1</x:v>
      </x:c>
      <x:c r="D6" s="32" t="str">
        <x:v>V1</x:v>
      </x:c>
      <x:c r="E6" s="32" t="str">
        <x:v>862323089930703</x:v>
      </x:c>
      <x:c r="F6" s="32" t="n">
        <x:v>49</x:v>
      </x:c>
      <x:c r="G6" s="32" t="n">
        <x:v>49</x:v>
      </x:c>
      <x:c r="H6" s="32" t="n">
        <x:v>0</x:v>
      </x:c>
      <x:c r="I6" s="32" t="n">
        <x:v>0</x:v>
      </x:c>
      <x:c r="J6" s="82" t="n">
        <x:v>5</x:v>
      </x:c>
      <x:c r="K6" s="32" t="n">
        <x:v>0</x:v>
      </x:c>
      <x:c r="L6" s="32" t="n">
        <x:v>49</x:v>
      </x:c>
      <x:c r="M6" s="32" t="n">
        <x:v>49</x:v>
      </x:c>
      <x:c r="N6" s="32" t="n">
        <x:v>49</x:v>
      </x:c>
      <x:c r="O6" s="32" t="n">
        <x:v>49</x:v>
      </x:c>
      <x:c r="P6" s="32" t="n">
        <x:v>49</x:v>
      </x:c>
      <x:c r="Q6" s="32" t="n">
        <x:v>1</x:v>
      </x:c>
      <x:c r="R6" s="32" t="n">
        <x:v>0</x:v>
      </x:c>
      <x:c r="S6" s="82" t="n">
        <x:v>1.2</x:v>
      </x:c>
      <x:c r="T6" s="82" t="n">
        <x:v>1.2</x:v>
      </x:c>
      <x:c r="U6" s="72" t="n">
        <x:v>46240.80269675926</x:v>
      </x:c>
      <x:c r="V6" s="72" t="n">
        <x:v>46240.969363425924</x:v>
      </x:c>
      <x:c r="W6" s="32" t="str">
        <x:v>正常</x:v>
      </x:c>
    </x:row>
    <x:row r="7">
      <x:c r="A7" s="32" t="str">
        <x:v>P04</x:v>
      </x:c>
      <x:c r="B7" s="32" t="str">
        <x:v>B1-W1-V2</x:v>
      </x:c>
      <x:c r="C7" s="32" t="str">
        <x:v>W1</x:v>
      </x:c>
      <x:c r="D7" s="32" t="str">
        <x:v>V2</x:v>
      </x:c>
      <x:c r="E7" s="32" t="str">
        <x:v>862323089930704</x:v>
      </x:c>
      <x:c r="F7" s="32" t="n">
        <x:v>49</x:v>
      </x:c>
      <x:c r="G7" s="32" t="n">
        <x:v>49</x:v>
      </x:c>
      <x:c r="H7" s="32" t="n">
        <x:v>0</x:v>
      </x:c>
      <x:c r="I7" s="32" t="n">
        <x:v>0</x:v>
      </x:c>
      <x:c r="J7" s="82" t="n">
        <x:v>5</x:v>
      </x:c>
      <x:c r="K7" s="32" t="n">
        <x:v>0</x:v>
      </x:c>
      <x:c r="L7" s="32" t="n">
        <x:v>49</x:v>
      </x:c>
      <x:c r="M7" s="32" t="n">
        <x:v>49</x:v>
      </x:c>
      <x:c r="N7" s="32" t="n">
        <x:v>49</x:v>
      </x:c>
      <x:c r="O7" s="32" t="n">
        <x:v>49</x:v>
      </x:c>
      <x:c r="P7" s="32" t="n">
        <x:v>49</x:v>
      </x:c>
      <x:c r="Q7" s="32" t="n">
        <x:v>0</x:v>
      </x:c>
      <x:c r="R7" s="32" t="n">
        <x:v>0</x:v>
      </x:c>
      <x:c r="S7" s="82" t="n">
        <x:v>1.2</x:v>
      </x:c>
      <x:c r="T7" s="82" t="n">
        <x:v>1.2</x:v>
      </x:c>
      <x:c r="U7" s="72" t="n">
        <x:v>46240.80269675926</x:v>
      </x:c>
      <x:c r="V7" s="72" t="n">
        <x:v>46240.969363425924</x:v>
      </x:c>
      <x:c r="W7" s="32" t="str">
        <x:v>正常</x:v>
      </x:c>
    </x:row>
    <x:row r="8">
      <x:c r="A8" s="32" t="str">
        <x:v>P05</x:v>
      </x:c>
      <x:c r="B8" s="32" t="str">
        <x:v>B1-W2-V1</x:v>
      </x:c>
      <x:c r="C8" s="32" t="str">
        <x:v>W2</x:v>
      </x:c>
      <x:c r="D8" s="32" t="str">
        <x:v>V1</x:v>
      </x:c>
      <x:c r="E8" s="32" t="str">
        <x:v>862323089930705</x:v>
      </x:c>
      <x:c r="F8" s="32" t="n">
        <x:v>49</x:v>
      </x:c>
      <x:c r="G8" s="32" t="n">
        <x:v>49</x:v>
      </x:c>
      <x:c r="H8" s="32" t="n">
        <x:v>0</x:v>
      </x:c>
      <x:c r="I8" s="32" t="n">
        <x:v>0</x:v>
      </x:c>
      <x:c r="J8" s="82" t="n">
        <x:v>5</x:v>
      </x:c>
      <x:c r="K8" s="32" t="n">
        <x:v>0</x:v>
      </x:c>
      <x:c r="L8" s="32" t="n">
        <x:v>49</x:v>
      </x:c>
      <x:c r="M8" s="32" t="n">
        <x:v>49</x:v>
      </x:c>
      <x:c r="N8" s="32" t="n">
        <x:v>49</x:v>
      </x:c>
      <x:c r="O8" s="32" t="n">
        <x:v>49</x:v>
      </x:c>
      <x:c r="P8" s="32" t="n">
        <x:v>49</x:v>
      </x:c>
      <x:c r="Q8" s="32" t="n">
        <x:v>0</x:v>
      </x:c>
      <x:c r="R8" s="32" t="n">
        <x:v>0</x:v>
      </x:c>
      <x:c r="S8" s="82" t="n">
        <x:v>1.2</x:v>
      </x:c>
      <x:c r="T8" s="82" t="n">
        <x:v>1.2</x:v>
      </x:c>
      <x:c r="U8" s="72" t="n">
        <x:v>46240.80269675926</x:v>
      </x:c>
      <x:c r="V8" s="72" t="n">
        <x:v>46240.969363425924</x:v>
      </x:c>
      <x:c r="W8" s="32" t="str">
        <x:v>正常</x:v>
      </x:c>
    </x:row>
    <x:row r="9">
      <x:c r="A9" s="32" t="str">
        <x:v>P06</x:v>
      </x:c>
      <x:c r="B9" s="32" t="str">
        <x:v>B1-W2-V2</x:v>
      </x:c>
      <x:c r="C9" s="32" t="str">
        <x:v>W2</x:v>
      </x:c>
      <x:c r="D9" s="32" t="str">
        <x:v>V2</x:v>
      </x:c>
      <x:c r="E9" s="32" t="str">
        <x:v>862323089930706</x:v>
      </x:c>
      <x:c r="F9" s="32" t="n">
        <x:v>49</x:v>
      </x:c>
      <x:c r="G9" s="32" t="n">
        <x:v>49</x:v>
      </x:c>
      <x:c r="H9" s="32" t="n">
        <x:v>0</x:v>
      </x:c>
      <x:c r="I9" s="32" t="n">
        <x:v>0</x:v>
      </x:c>
      <x:c r="J9" s="82" t="n">
        <x:v>5</x:v>
      </x:c>
      <x:c r="K9" s="32" t="n">
        <x:v>0</x:v>
      </x:c>
      <x:c r="L9" s="32" t="n">
        <x:v>49</x:v>
      </x:c>
      <x:c r="M9" s="32" t="n">
        <x:v>49</x:v>
      </x:c>
      <x:c r="N9" s="32" t="n">
        <x:v>49</x:v>
      </x:c>
      <x:c r="O9" s="32" t="n">
        <x:v>49</x:v>
      </x:c>
      <x:c r="P9" s="32" t="n">
        <x:v>49</x:v>
      </x:c>
      <x:c r="Q9" s="32" t="n">
        <x:v>0</x:v>
      </x:c>
      <x:c r="R9" s="32" t="n">
        <x:v>0</x:v>
      </x:c>
      <x:c r="S9" s="82" t="n">
        <x:v>1.2</x:v>
      </x:c>
      <x:c r="T9" s="82" t="n">
        <x:v>1.2</x:v>
      </x:c>
      <x:c r="U9" s="72" t="n">
        <x:v>46240.80269675926</x:v>
      </x:c>
      <x:c r="V9" s="72" t="n">
        <x:v>46240.969363425924</x:v>
      </x:c>
      <x:c r="W9" s="32" t="str">
        <x:v>正常</x:v>
      </x:c>
    </x:row>
    <x:row r="10">
      <x:c r="A10" s="32" t="str">
        <x:v>P07</x:v>
      </x:c>
      <x:c r="B10" s="32" t="str">
        <x:v>B2-W0-V1</x:v>
      </x:c>
      <x:c r="C10" s="32" t="str">
        <x:v>W0</x:v>
      </x:c>
      <x:c r="D10" s="32" t="str">
        <x:v>V1</x:v>
      </x:c>
      <x:c r="E10" s="32" t="str">
        <x:v>862323089930707</x:v>
      </x:c>
      <x:c r="F10" s="32" t="n">
        <x:v>49</x:v>
      </x:c>
      <x:c r="G10" s="32" t="n">
        <x:v>49</x:v>
      </x:c>
      <x:c r="H10" s="32" t="n">
        <x:v>0</x:v>
      </x:c>
      <x:c r="I10" s="32" t="n">
        <x:v>0</x:v>
      </x:c>
      <x:c r="J10" s="82" t="n">
        <x:v>5</x:v>
      </x:c>
      <x:c r="K10" s="32" t="n">
        <x:v>49</x:v>
      </x:c>
      <x:c r="L10" s="32" t="n">
        <x:v>0</x:v>
      </x:c>
      <x:c r="M10" s="32" t="n">
        <x:v>49</x:v>
      </x:c>
      <x:c r="N10" s="32" t="n">
        <x:v>49</x:v>
      </x:c>
      <x:c r="O10" s="32" t="n">
        <x:v>49</x:v>
      </x:c>
      <x:c r="P10" s="32" t="n">
        <x:v>49</x:v>
      </x:c>
      <x:c r="Q10" s="32" t="n">
        <x:v>0</x:v>
      </x:c>
      <x:c r="R10" s="32" t="n">
        <x:v>0</x:v>
      </x:c>
      <x:c r="S10" s="82" t="n">
        <x:v>1.2</x:v>
      </x:c>
      <x:c r="T10" s="82" t="n">
        <x:v>1.2</x:v>
      </x:c>
      <x:c r="U10" s="72" t="n">
        <x:v>46240.80269675926</x:v>
      </x:c>
      <x:c r="V10" s="72" t="n">
        <x:v>46240.969363425924</x:v>
      </x:c>
      <x:c r="W10" s="32" t="str">
        <x:v>正常</x:v>
      </x:c>
    </x:row>
    <x:row r="11">
      <x:c r="A11" s="32" t="str">
        <x:v>P08</x:v>
      </x:c>
      <x:c r="B11" s="32" t="str">
        <x:v>B2-W0-V2</x:v>
      </x:c>
      <x:c r="C11" s="32" t="str">
        <x:v>W0</x:v>
      </x:c>
      <x:c r="D11" s="32" t="str">
        <x:v>V2</x:v>
      </x:c>
      <x:c r="E11" s="32" t="str">
        <x:v>862323089930708</x:v>
      </x:c>
      <x:c r="F11" s="32" t="n">
        <x:v>49</x:v>
      </x:c>
      <x:c r="G11" s="32" t="n">
        <x:v>49</x:v>
      </x:c>
      <x:c r="H11" s="32" t="n">
        <x:v>0</x:v>
      </x:c>
      <x:c r="I11" s="32" t="n">
        <x:v>0</x:v>
      </x:c>
      <x:c r="J11" s="82" t="n">
        <x:v>5</x:v>
      </x:c>
      <x:c r="K11" s="32" t="n">
        <x:v>49</x:v>
      </x:c>
      <x:c r="L11" s="32" t="n">
        <x:v>0</x:v>
      </x:c>
      <x:c r="M11" s="32" t="n">
        <x:v>49</x:v>
      </x:c>
      <x:c r="N11" s="32" t="n">
        <x:v>49</x:v>
      </x:c>
      <x:c r="O11" s="32" t="n">
        <x:v>49</x:v>
      </x:c>
      <x:c r="P11" s="32" t="n">
        <x:v>49</x:v>
      </x:c>
      <x:c r="Q11" s="32" t="n">
        <x:v>0</x:v>
      </x:c>
      <x:c r="R11" s="32" t="n">
        <x:v>0</x:v>
      </x:c>
      <x:c r="S11" s="82" t="n">
        <x:v>1.2</x:v>
      </x:c>
      <x:c r="T11" s="82" t="n">
        <x:v>1.2</x:v>
      </x:c>
      <x:c r="U11" s="72" t="n">
        <x:v>46240.80269675926</x:v>
      </x:c>
      <x:c r="V11" s="72" t="n">
        <x:v>46240.969363425924</x:v>
      </x:c>
      <x:c r="W11" s="32" t="str">
        <x:v>正常</x:v>
      </x:c>
    </x:row>
    <x:row r="12">
      <x:c r="A12" s="32" t="str">
        <x:v>P09</x:v>
      </x:c>
      <x:c r="B12" s="32" t="str">
        <x:v>B2-W1-V1</x:v>
      </x:c>
      <x:c r="C12" s="32" t="str">
        <x:v>W1</x:v>
      </x:c>
      <x:c r="D12" s="32" t="str">
        <x:v>V1</x:v>
      </x:c>
      <x:c r="E12" s="32" t="str">
        <x:v>862323089930709</x:v>
      </x:c>
      <x:c r="F12" s="32" t="n">
        <x:v>49</x:v>
      </x:c>
      <x:c r="G12" s="32" t="n">
        <x:v>49</x:v>
      </x:c>
      <x:c r="H12" s="32" t="n">
        <x:v>0</x:v>
      </x:c>
      <x:c r="I12" s="32" t="n">
        <x:v>0</x:v>
      </x:c>
      <x:c r="J12" s="82" t="n">
        <x:v>5</x:v>
      </x:c>
      <x:c r="K12" s="32" t="n">
        <x:v>0</x:v>
      </x:c>
      <x:c r="L12" s="32" t="n">
        <x:v>49</x:v>
      </x:c>
      <x:c r="M12" s="32" t="n">
        <x:v>49</x:v>
      </x:c>
      <x:c r="N12" s="32" t="n">
        <x:v>49</x:v>
      </x:c>
      <x:c r="O12" s="32" t="n">
        <x:v>49</x:v>
      </x:c>
      <x:c r="P12" s="32" t="n">
        <x:v>49</x:v>
      </x:c>
      <x:c r="Q12" s="32" t="n">
        <x:v>0</x:v>
      </x:c>
      <x:c r="R12" s="32" t="n">
        <x:v>0</x:v>
      </x:c>
      <x:c r="S12" s="82" t="n">
        <x:v>1.2</x:v>
      </x:c>
      <x:c r="T12" s="82" t="n">
        <x:v>1.2</x:v>
      </x:c>
      <x:c r="U12" s="72" t="n">
        <x:v>46240.80269675926</x:v>
      </x:c>
      <x:c r="V12" s="72" t="n">
        <x:v>46240.969363425924</x:v>
      </x:c>
      <x:c r="W12" s="32" t="str">
        <x:v>正常</x:v>
      </x:c>
    </x:row>
    <x:row r="13">
      <x:c r="A13" s="32" t="str">
        <x:v>P10</x:v>
      </x:c>
      <x:c r="B13" s="32" t="str">
        <x:v>B2-W1-V2</x:v>
      </x:c>
      <x:c r="C13" s="32" t="str">
        <x:v>W1</x:v>
      </x:c>
      <x:c r="D13" s="32" t="str">
        <x:v>V2</x:v>
      </x:c>
      <x:c r="E13" s="32" t="str">
        <x:v>862323089930710</x:v>
      </x:c>
      <x:c r="F13" s="32" t="n">
        <x:v>49</x:v>
      </x:c>
      <x:c r="G13" s="32" t="n">
        <x:v>49</x:v>
      </x:c>
      <x:c r="H13" s="32" t="n">
        <x:v>0</x:v>
      </x:c>
      <x:c r="I13" s="32" t="n">
        <x:v>0</x:v>
      </x:c>
      <x:c r="J13" s="82" t="n">
        <x:v>5</x:v>
      </x:c>
      <x:c r="K13" s="32" t="n">
        <x:v>0</x:v>
      </x:c>
      <x:c r="L13" s="32" t="n">
        <x:v>49</x:v>
      </x:c>
      <x:c r="M13" s="32" t="n">
        <x:v>49</x:v>
      </x:c>
      <x:c r="N13" s="32" t="n">
        <x:v>49</x:v>
      </x:c>
      <x:c r="O13" s="32" t="n">
        <x:v>49</x:v>
      </x:c>
      <x:c r="P13" s="32" t="n">
        <x:v>49</x:v>
      </x:c>
      <x:c r="Q13" s="32" t="n">
        <x:v>0</x:v>
      </x:c>
      <x:c r="R13" s="32" t="n">
        <x:v>0</x:v>
      </x:c>
      <x:c r="S13" s="82" t="n">
        <x:v>1.2</x:v>
      </x:c>
      <x:c r="T13" s="82" t="n">
        <x:v>1.2</x:v>
      </x:c>
      <x:c r="U13" s="72" t="n">
        <x:v>46240.80269675926</x:v>
      </x:c>
      <x:c r="V13" s="72" t="n">
        <x:v>46240.969363425924</x:v>
      </x:c>
      <x:c r="W13" s="32" t="str">
        <x:v>正常</x:v>
      </x:c>
    </x:row>
    <x:row r="14">
      <x:c r="A14" s="32" t="str">
        <x:v>P11</x:v>
      </x:c>
      <x:c r="B14" s="32" t="str">
        <x:v>B2-W2-V1</x:v>
      </x:c>
      <x:c r="C14" s="32" t="str">
        <x:v>W2</x:v>
      </x:c>
      <x:c r="D14" s="32" t="str">
        <x:v>V1</x:v>
      </x:c>
      <x:c r="E14" s="32" t="str">
        <x:v>862323089930711</x:v>
      </x:c>
      <x:c r="F14" s="32" t="n">
        <x:v>49</x:v>
      </x:c>
      <x:c r="G14" s="32" t="n">
        <x:v>49</x:v>
      </x:c>
      <x:c r="H14" s="32" t="n">
        <x:v>0</x:v>
      </x:c>
      <x:c r="I14" s="32" t="n">
        <x:v>0</x:v>
      </x:c>
      <x:c r="J14" s="82" t="n">
        <x:v>5</x:v>
      </x:c>
      <x:c r="K14" s="32" t="n">
        <x:v>0</x:v>
      </x:c>
      <x:c r="L14" s="32" t="n">
        <x:v>48</x:v>
      </x:c>
      <x:c r="M14" s="32" t="n">
        <x:v>49</x:v>
      </x:c>
      <x:c r="N14" s="32" t="n">
        <x:v>49</x:v>
      </x:c>
      <x:c r="O14" s="32" t="n">
        <x:v>49</x:v>
      </x:c>
      <x:c r="P14" s="32" t="n">
        <x:v>49</x:v>
      </x:c>
      <x:c r="Q14" s="32" t="n">
        <x:v>0</x:v>
      </x:c>
      <x:c r="R14" s="32" t="n">
        <x:v>0</x:v>
      </x:c>
      <x:c r="S14" s="82" t="n">
        <x:v>1.2</x:v>
      </x:c>
      <x:c r="T14" s="82" t="n">
        <x:v>1.2</x:v>
      </x:c>
      <x:c r="U14" s="72" t="n">
        <x:v>46240.80269675926</x:v>
      </x:c>
      <x:c r="V14" s="72" t="n">
        <x:v>46240.969363425924</x:v>
      </x:c>
      <x:c r="W14" s="32" t="str">
        <x:v>张力缺失1条</x:v>
      </x:c>
    </x:row>
    <x:row r="15">
      <x:c r="A15" s="32" t="str">
        <x:v>P12</x:v>
      </x:c>
      <x:c r="B15" s="32" t="str">
        <x:v>B2-W2-V2</x:v>
      </x:c>
      <x:c r="C15" s="32" t="str">
        <x:v>W2</x:v>
      </x:c>
      <x:c r="D15" s="32" t="str">
        <x:v>V2</x:v>
      </x:c>
      <x:c r="E15" s="32" t="str">
        <x:v>862323089930712</x:v>
      </x:c>
      <x:c r="F15" s="32" t="n">
        <x:v>49</x:v>
      </x:c>
      <x:c r="G15" s="32" t="n">
        <x:v>49</x:v>
      </x:c>
      <x:c r="H15" s="32" t="n">
        <x:v>0</x:v>
      </x:c>
      <x:c r="I15" s="32" t="n">
        <x:v>0</x:v>
      </x:c>
      <x:c r="J15" s="82" t="n">
        <x:v>5</x:v>
      </x:c>
      <x:c r="K15" s="32" t="n">
        <x:v>0</x:v>
      </x:c>
      <x:c r="L15" s="32" t="n">
        <x:v>49</x:v>
      </x:c>
      <x:c r="M15" s="32" t="n">
        <x:v>49</x:v>
      </x:c>
      <x:c r="N15" s="32" t="n">
        <x:v>49</x:v>
      </x:c>
      <x:c r="O15" s="32" t="n">
        <x:v>49</x:v>
      </x:c>
      <x:c r="P15" s="32" t="n">
        <x:v>49</x:v>
      </x:c>
      <x:c r="Q15" s="32" t="n">
        <x:v>0</x:v>
      </x:c>
      <x:c r="R15" s="32" t="n">
        <x:v>0</x:v>
      </x:c>
      <x:c r="S15" s="82" t="n">
        <x:v>1.2</x:v>
      </x:c>
      <x:c r="T15" s="82" t="n">
        <x:v>1.2</x:v>
      </x:c>
      <x:c r="U15" s="72" t="n">
        <x:v>46240.80269675926</x:v>
      </x:c>
      <x:c r="V15" s="72" t="n">
        <x:v>46240.969363425924</x:v>
      </x:c>
      <x:c r="W15" s="32" t="str">
        <x:v>正常</x:v>
      </x:c>
    </x:row>
    <x:row r="16">
      <x:c r="A16" s="32" t="str">
        <x:v>P13</x:v>
      </x:c>
      <x:c r="B16" s="32" t="str">
        <x:v>B3-W0-V1</x:v>
      </x:c>
      <x:c r="C16" s="32" t="str">
        <x:v>W0</x:v>
      </x:c>
      <x:c r="D16" s="32" t="str">
        <x:v>V1</x:v>
      </x:c>
      <x:c r="E16" s="32" t="str">
        <x:v>862323089930713</x:v>
      </x:c>
      <x:c r="F16" s="32" t="n">
        <x:v>49</x:v>
      </x:c>
      <x:c r="G16" s="32" t="n">
        <x:v>49</x:v>
      </x:c>
      <x:c r="H16" s="32" t="n">
        <x:v>0</x:v>
      </x:c>
      <x:c r="I16" s="32" t="n">
        <x:v>0</x:v>
      </x:c>
      <x:c r="J16" s="82" t="n">
        <x:v>5</x:v>
      </x:c>
      <x:c r="K16" s="32" t="n">
        <x:v>49</x:v>
      </x:c>
      <x:c r="L16" s="32" t="n">
        <x:v>0</x:v>
      </x:c>
      <x:c r="M16" s="32" t="n">
        <x:v>49</x:v>
      </x:c>
      <x:c r="N16" s="32" t="n">
        <x:v>49</x:v>
      </x:c>
      <x:c r="O16" s="32" t="n">
        <x:v>49</x:v>
      </x:c>
      <x:c r="P16" s="32" t="n">
        <x:v>49</x:v>
      </x:c>
      <x:c r="Q16" s="32" t="n">
        <x:v>0</x:v>
      </x:c>
      <x:c r="R16" s="32" t="n">
        <x:v>0</x:v>
      </x:c>
      <x:c r="S16" s="82" t="n">
        <x:v>1.2</x:v>
      </x:c>
      <x:c r="T16" s="82" t="n">
        <x:v>1.2</x:v>
      </x:c>
      <x:c r="U16" s="72" t="n">
        <x:v>46240.80269675926</x:v>
      </x:c>
      <x:c r="V16" s="72" t="n">
        <x:v>46240.969363425924</x:v>
      </x:c>
      <x:c r="W16" s="32" t="str">
        <x:v>正常</x:v>
      </x:c>
    </x:row>
    <x:row r="17">
      <x:c r="A17" s="32" t="str">
        <x:v>P14</x:v>
      </x:c>
      <x:c r="B17" s="32" t="str">
        <x:v>B3-W0-V2</x:v>
      </x:c>
      <x:c r="C17" s="32" t="str">
        <x:v>W0</x:v>
      </x:c>
      <x:c r="D17" s="32" t="str">
        <x:v>V2</x:v>
      </x:c>
      <x:c r="E17" s="32" t="str">
        <x:v>862323089930714</x:v>
      </x:c>
      <x:c r="F17" s="32" t="n">
        <x:v>49</x:v>
      </x:c>
      <x:c r="G17" s="32" t="n">
        <x:v>49</x:v>
      </x:c>
      <x:c r="H17" s="32" t="n">
        <x:v>0</x:v>
      </x:c>
      <x:c r="I17" s="32" t="n">
        <x:v>0</x:v>
      </x:c>
      <x:c r="J17" s="82" t="n">
        <x:v>5</x:v>
      </x:c>
      <x:c r="K17" s="32" t="n">
        <x:v>49</x:v>
      </x:c>
      <x:c r="L17" s="32" t="n">
        <x:v>0</x:v>
      </x:c>
      <x:c r="M17" s="32" t="n">
        <x:v>49</x:v>
      </x:c>
      <x:c r="N17" s="32" t="n">
        <x:v>49</x:v>
      </x:c>
      <x:c r="O17" s="32" t="n">
        <x:v>49</x:v>
      </x:c>
      <x:c r="P17" s="32" t="n">
        <x:v>49</x:v>
      </x:c>
      <x:c r="Q17" s="32" t="n">
        <x:v>0</x:v>
      </x:c>
      <x:c r="R17" s="32" t="n">
        <x:v>0</x:v>
      </x:c>
      <x:c r="S17" s="82" t="n">
        <x:v>1.2</x:v>
      </x:c>
      <x:c r="T17" s="82" t="n">
        <x:v>1.2</x:v>
      </x:c>
      <x:c r="U17" s="72" t="n">
        <x:v>46240.80269675926</x:v>
      </x:c>
      <x:c r="V17" s="72" t="n">
        <x:v>46240.969363425924</x:v>
      </x:c>
      <x:c r="W17" s="32" t="str">
        <x:v>正常</x:v>
      </x:c>
    </x:row>
    <x:row r="18">
      <x:c r="A18" s="32" t="str">
        <x:v>P15</x:v>
      </x:c>
      <x:c r="B18" s="32" t="str">
        <x:v>B3-W1-V1</x:v>
      </x:c>
      <x:c r="C18" s="32" t="str">
        <x:v>W1</x:v>
      </x:c>
      <x:c r="D18" s="32" t="str">
        <x:v>V1</x:v>
      </x:c>
      <x:c r="E18" s="32" t="str">
        <x:v>862323089930715</x:v>
      </x:c>
      <x:c r="F18" s="32" t="n">
        <x:v>49</x:v>
      </x:c>
      <x:c r="G18" s="32" t="n">
        <x:v>49</x:v>
      </x:c>
      <x:c r="H18" s="32" t="n">
        <x:v>0</x:v>
      </x:c>
      <x:c r="I18" s="32" t="n">
        <x:v>0</x:v>
      </x:c>
      <x:c r="J18" s="82" t="n">
        <x:v>5</x:v>
      </x:c>
      <x:c r="K18" s="32" t="n">
        <x:v>0</x:v>
      </x:c>
      <x:c r="L18" s="32" t="n">
        <x:v>49</x:v>
      </x:c>
      <x:c r="M18" s="32" t="n">
        <x:v>49</x:v>
      </x:c>
      <x:c r="N18" s="32" t="n">
        <x:v>49</x:v>
      </x:c>
      <x:c r="O18" s="32" t="n">
        <x:v>49</x:v>
      </x:c>
      <x:c r="P18" s="32" t="n">
        <x:v>49</x:v>
      </x:c>
      <x:c r="Q18" s="32" t="n">
        <x:v>0</x:v>
      </x:c>
      <x:c r="R18" s="32" t="n">
        <x:v>0</x:v>
      </x:c>
      <x:c r="S18" s="82" t="n">
        <x:v>1.2</x:v>
      </x:c>
      <x:c r="T18" s="82" t="n">
        <x:v>1.2</x:v>
      </x:c>
      <x:c r="U18" s="72" t="n">
        <x:v>46240.80269675926</x:v>
      </x:c>
      <x:c r="V18" s="72" t="n">
        <x:v>46240.969363425924</x:v>
      </x:c>
      <x:c r="W18" s="32" t="str">
        <x:v>正常</x:v>
      </x:c>
    </x:row>
    <x:row r="19">
      <x:c r="A19" s="32" t="str">
        <x:v>P16</x:v>
      </x:c>
      <x:c r="B19" s="32" t="str">
        <x:v>B3-W1-V2</x:v>
      </x:c>
      <x:c r="C19" s="32" t="str">
        <x:v>W1</x:v>
      </x:c>
      <x:c r="D19" s="32" t="str">
        <x:v>V2</x:v>
      </x:c>
      <x:c r="E19" s="32" t="str">
        <x:v>862323089930716</x:v>
      </x:c>
      <x:c r="F19" s="32" t="n">
        <x:v>49</x:v>
      </x:c>
      <x:c r="G19" s="32" t="n">
        <x:v>49</x:v>
      </x:c>
      <x:c r="H19" s="32" t="n">
        <x:v>0</x:v>
      </x:c>
      <x:c r="I19" s="32" t="n">
        <x:v>0</x:v>
      </x:c>
      <x:c r="J19" s="82" t="n">
        <x:v>5</x:v>
      </x:c>
      <x:c r="K19" s="32" t="n">
        <x:v>0</x:v>
      </x:c>
      <x:c r="L19" s="32" t="n">
        <x:v>49</x:v>
      </x:c>
      <x:c r="M19" s="32" t="n">
        <x:v>49</x:v>
      </x:c>
      <x:c r="N19" s="32" t="n">
        <x:v>49</x:v>
      </x:c>
      <x:c r="O19" s="32" t="n">
        <x:v>49</x:v>
      </x:c>
      <x:c r="P19" s="32" t="n">
        <x:v>49</x:v>
      </x:c>
      <x:c r="Q19" s="32" t="n">
        <x:v>0</x:v>
      </x:c>
      <x:c r="R19" s="32" t="n">
        <x:v>0</x:v>
      </x:c>
      <x:c r="S19" s="82" t="n">
        <x:v>1.2</x:v>
      </x:c>
      <x:c r="T19" s="82" t="n">
        <x:v>1.2</x:v>
      </x:c>
      <x:c r="U19" s="72" t="n">
        <x:v>46240.80269675926</x:v>
      </x:c>
      <x:c r="V19" s="72" t="n">
        <x:v>46240.969363425924</x:v>
      </x:c>
      <x:c r="W19" s="32" t="str">
        <x:v>正常</x:v>
      </x:c>
    </x:row>
    <x:row r="20">
      <x:c r="A20" s="32" t="str">
        <x:v>P17</x:v>
      </x:c>
      <x:c r="B20" s="32" t="str">
        <x:v>B3-W2-V1</x:v>
      </x:c>
      <x:c r="C20" s="32" t="str">
        <x:v>W2</x:v>
      </x:c>
      <x:c r="D20" s="32" t="str">
        <x:v>V1</x:v>
      </x:c>
      <x:c r="E20" s="32" t="str">
        <x:v>862323089930717</x:v>
      </x:c>
      <x:c r="F20" s="32" t="n">
        <x:v>49</x:v>
      </x:c>
      <x:c r="G20" s="32" t="n">
        <x:v>49</x:v>
      </x:c>
      <x:c r="H20" s="32" t="n">
        <x:v>0</x:v>
      </x:c>
      <x:c r="I20" s="32" t="n">
        <x:v>0</x:v>
      </x:c>
      <x:c r="J20" s="82" t="n">
        <x:v>5</x:v>
      </x:c>
      <x:c r="K20" s="32" t="n">
        <x:v>0</x:v>
      </x:c>
      <x:c r="L20" s="32" t="n">
        <x:v>49</x:v>
      </x:c>
      <x:c r="M20" s="32" t="n">
        <x:v>49</x:v>
      </x:c>
      <x:c r="N20" s="32" t="n">
        <x:v>49</x:v>
      </x:c>
      <x:c r="O20" s="32" t="n">
        <x:v>49</x:v>
      </x:c>
      <x:c r="P20" s="32" t="n">
        <x:v>49</x:v>
      </x:c>
      <x:c r="Q20" s="32" t="n">
        <x:v>0</x:v>
      </x:c>
      <x:c r="R20" s="32" t="n">
        <x:v>0</x:v>
      </x:c>
      <x:c r="S20" s="82" t="n">
        <x:v>1.2</x:v>
      </x:c>
      <x:c r="T20" s="82" t="n">
        <x:v>1.2</x:v>
      </x:c>
      <x:c r="U20" s="72" t="n">
        <x:v>46240.80269675926</x:v>
      </x:c>
      <x:c r="V20" s="72" t="n">
        <x:v>46240.969363425924</x:v>
      </x:c>
      <x:c r="W20" s="32" t="str">
        <x:v>正常</x:v>
      </x:c>
    </x:row>
    <x:row r="21">
      <x:c r="A21" s="32" t="str">
        <x:v>P18</x:v>
      </x:c>
      <x:c r="B21" s="32" t="str">
        <x:v>B3-W2-V2</x:v>
      </x:c>
      <x:c r="C21" s="32" t="str">
        <x:v>W2</x:v>
      </x:c>
      <x:c r="D21" s="32" t="str">
        <x:v>V2</x:v>
      </x:c>
      <x:c r="E21" s="32" t="str">
        <x:v>862323089930718</x:v>
      </x:c>
      <x:c r="F21" s="32" t="n">
        <x:v>49</x:v>
      </x:c>
      <x:c r="G21" s="32" t="n">
        <x:v>49</x:v>
      </x:c>
      <x:c r="H21" s="32" t="n">
        <x:v>0</x:v>
      </x:c>
      <x:c r="I21" s="32" t="n">
        <x:v>0</x:v>
      </x:c>
      <x:c r="J21" s="82" t="n">
        <x:v>5</x:v>
      </x:c>
      <x:c r="K21" s="32" t="n">
        <x:v>0</x:v>
      </x:c>
      <x:c r="L21" s="32" t="n">
        <x:v>49</x:v>
      </x:c>
      <x:c r="M21" s="32" t="n">
        <x:v>49</x:v>
      </x:c>
      <x:c r="N21" s="32" t="n">
        <x:v>49</x:v>
      </x:c>
      <x:c r="O21" s="32" t="n">
        <x:v>49</x:v>
      </x:c>
      <x:c r="P21" s="32" t="n">
        <x:v>49</x:v>
      </x:c>
      <x:c r="Q21" s="32" t="n">
        <x:v>0</x:v>
      </x:c>
      <x:c r="R21" s="32" t="n">
        <x:v>0</x:v>
      </x:c>
      <x:c r="S21" s="82" t="n">
        <x:v>1.2</x:v>
      </x:c>
      <x:c r="T21" s="82" t="n">
        <x:v>1.2</x:v>
      </x:c>
      <x:c r="U21" s="72" t="n">
        <x:v>46240.80269675926</x:v>
      </x:c>
      <x:c r="V21" s="72" t="n">
        <x:v>46240.969363425924</x:v>
      </x:c>
      <x:c r="W21" s="32" t="str">
        <x:v>正常</x:v>
      </x:c>
    </x:row>
    <x:row r="22">
      <x:c r="A22" s="32" t="str">
        <x:v>P19</x:v>
      </x:c>
      <x:c r="B22" s="32" t="str">
        <x:v>B4-W0-V1</x:v>
      </x:c>
      <x:c r="C22" s="32" t="str">
        <x:v>W0</x:v>
      </x:c>
      <x:c r="D22" s="32" t="str">
        <x:v>V1</x:v>
      </x:c>
      <x:c r="E22" s="32" t="str">
        <x:v>862323089930719</x:v>
      </x:c>
      <x:c r="F22" s="32" t="n">
        <x:v>49</x:v>
      </x:c>
      <x:c r="G22" s="32" t="n">
        <x:v>49</x:v>
      </x:c>
      <x:c r="H22" s="32" t="n">
        <x:v>0</x:v>
      </x:c>
      <x:c r="I22" s="32" t="n">
        <x:v>0</x:v>
      </x:c>
      <x:c r="J22" s="82" t="n">
        <x:v>5</x:v>
      </x:c>
      <x:c r="K22" s="32" t="n">
        <x:v>49</x:v>
      </x:c>
      <x:c r="L22" s="32" t="n">
        <x:v>0</x:v>
      </x:c>
      <x:c r="M22" s="32" t="n">
        <x:v>49</x:v>
      </x:c>
      <x:c r="N22" s="32" t="n">
        <x:v>49</x:v>
      </x:c>
      <x:c r="O22" s="32" t="n">
        <x:v>49</x:v>
      </x:c>
      <x:c r="P22" s="32" t="n">
        <x:v>49</x:v>
      </x:c>
      <x:c r="Q22" s="32" t="n">
        <x:v>0</x:v>
      </x:c>
      <x:c r="R22" s="32" t="n">
        <x:v>0</x:v>
      </x:c>
      <x:c r="S22" s="82" t="n">
        <x:v>1.2</x:v>
      </x:c>
      <x:c r="T22" s="82" t="n">
        <x:v>1.2</x:v>
      </x:c>
      <x:c r="U22" s="72" t="n">
        <x:v>46240.80269675926</x:v>
      </x:c>
      <x:c r="V22" s="72" t="n">
        <x:v>46240.969363425924</x:v>
      </x:c>
      <x:c r="W22" s="32" t="str">
        <x:v>正常</x:v>
      </x:c>
    </x:row>
    <x:row r="23">
      <x:c r="A23" s="32" t="str">
        <x:v>P20</x:v>
      </x:c>
      <x:c r="B23" s="32" t="str">
        <x:v>B4-W0-V2</x:v>
      </x:c>
      <x:c r="C23" s="32" t="str">
        <x:v>W0</x:v>
      </x:c>
      <x:c r="D23" s="32" t="str">
        <x:v>V2</x:v>
      </x:c>
      <x:c r="E23" s="32" t="str">
        <x:v>862323089930720</x:v>
      </x:c>
      <x:c r="F23" s="32" t="n">
        <x:v>49</x:v>
      </x:c>
      <x:c r="G23" s="32" t="n">
        <x:v>49</x:v>
      </x:c>
      <x:c r="H23" s="32" t="n">
        <x:v>0</x:v>
      </x:c>
      <x:c r="I23" s="32" t="n">
        <x:v>0</x:v>
      </x:c>
      <x:c r="J23" s="82" t="n">
        <x:v>5</x:v>
      </x:c>
      <x:c r="K23" s="32" t="n">
        <x:v>49</x:v>
      </x:c>
      <x:c r="L23" s="32" t="n">
        <x:v>0</x:v>
      </x:c>
      <x:c r="M23" s="32" t="n">
        <x:v>49</x:v>
      </x:c>
      <x:c r="N23" s="32" t="n">
        <x:v>49</x:v>
      </x:c>
      <x:c r="O23" s="32" t="n">
        <x:v>49</x:v>
      </x:c>
      <x:c r="P23" s="32" t="n">
        <x:v>49</x:v>
      </x:c>
      <x:c r="Q23" s="32" t="n">
        <x:v>0</x:v>
      </x:c>
      <x:c r="R23" s="32" t="n">
        <x:v>0</x:v>
      </x:c>
      <x:c r="S23" s="82" t="n">
        <x:v>1.2</x:v>
      </x:c>
      <x:c r="T23" s="82" t="n">
        <x:v>1.2</x:v>
      </x:c>
      <x:c r="U23" s="72" t="n">
        <x:v>46240.80269675926</x:v>
      </x:c>
      <x:c r="V23" s="72" t="n">
        <x:v>46240.969363425924</x:v>
      </x:c>
      <x:c r="W23" s="32" t="str">
        <x:v>正常</x:v>
      </x:c>
    </x:row>
    <x:row r="24">
      <x:c r="A24" s="32" t="str">
        <x:v>P21</x:v>
      </x:c>
      <x:c r="B24" s="32" t="str">
        <x:v>B4-W1-V1</x:v>
      </x:c>
      <x:c r="C24" s="32" t="str">
        <x:v>W1</x:v>
      </x:c>
      <x:c r="D24" s="32" t="str">
        <x:v>V1</x:v>
      </x:c>
      <x:c r="E24" s="32" t="str">
        <x:v>862323089930721</x:v>
      </x:c>
      <x:c r="F24" s="32" t="n">
        <x:v>49</x:v>
      </x:c>
      <x:c r="G24" s="32" t="n">
        <x:v>49</x:v>
      </x:c>
      <x:c r="H24" s="32" t="n">
        <x:v>0</x:v>
      </x:c>
      <x:c r="I24" s="32" t="n">
        <x:v>0</x:v>
      </x:c>
      <x:c r="J24" s="82" t="n">
        <x:v>5</x:v>
      </x:c>
      <x:c r="K24" s="32" t="n">
        <x:v>0</x:v>
      </x:c>
      <x:c r="L24" s="32" t="n">
        <x:v>49</x:v>
      </x:c>
      <x:c r="M24" s="32" t="n">
        <x:v>49</x:v>
      </x:c>
      <x:c r="N24" s="32" t="n">
        <x:v>49</x:v>
      </x:c>
      <x:c r="O24" s="32" t="n">
        <x:v>49</x:v>
      </x:c>
      <x:c r="P24" s="32" t="n">
        <x:v>49</x:v>
      </x:c>
      <x:c r="Q24" s="32" t="n">
        <x:v>0</x:v>
      </x:c>
      <x:c r="R24" s="32" t="n">
        <x:v>0</x:v>
      </x:c>
      <x:c r="S24" s="82" t="n">
        <x:v>1.2</x:v>
      </x:c>
      <x:c r="T24" s="82" t="n">
        <x:v>1.2</x:v>
      </x:c>
      <x:c r="U24" s="72" t="n">
        <x:v>46240.80269675926</x:v>
      </x:c>
      <x:c r="V24" s="72" t="n">
        <x:v>46240.969363425924</x:v>
      </x:c>
      <x:c r="W24" s="32" t="str">
        <x:v>正常</x:v>
      </x:c>
    </x:row>
    <x:row r="25">
      <x:c r="A25" s="32" t="str">
        <x:v>P22</x:v>
      </x:c>
      <x:c r="B25" s="32" t="str">
        <x:v>B4-W1-V2</x:v>
      </x:c>
      <x:c r="C25" s="32" t="str">
        <x:v>W1</x:v>
      </x:c>
      <x:c r="D25" s="32" t="str">
        <x:v>V2</x:v>
      </x:c>
      <x:c r="E25" s="32" t="str">
        <x:v>862323089930722</x:v>
      </x:c>
      <x:c r="F25" s="32" t="n">
        <x:v>49</x:v>
      </x:c>
      <x:c r="G25" s="32" t="n">
        <x:v>49</x:v>
      </x:c>
      <x:c r="H25" s="32" t="n">
        <x:v>0</x:v>
      </x:c>
      <x:c r="I25" s="32" t="n">
        <x:v>0</x:v>
      </x:c>
      <x:c r="J25" s="82" t="n">
        <x:v>5</x:v>
      </x:c>
      <x:c r="K25" s="32" t="n">
        <x:v>0</x:v>
      </x:c>
      <x:c r="L25" s="32" t="n">
        <x:v>49</x:v>
      </x:c>
      <x:c r="M25" s="32" t="n">
        <x:v>49</x:v>
      </x:c>
      <x:c r="N25" s="32" t="n">
        <x:v>49</x:v>
      </x:c>
      <x:c r="O25" s="32" t="n">
        <x:v>49</x:v>
      </x:c>
      <x:c r="P25" s="32" t="n">
        <x:v>49</x:v>
      </x:c>
      <x:c r="Q25" s="32" t="n">
        <x:v>0</x:v>
      </x:c>
      <x:c r="R25" s="32" t="n">
        <x:v>0</x:v>
      </x:c>
      <x:c r="S25" s="82" t="n">
        <x:v>1.2</x:v>
      </x:c>
      <x:c r="T25" s="82" t="n">
        <x:v>1.2</x:v>
      </x:c>
      <x:c r="U25" s="72" t="n">
        <x:v>46240.80269675926</x:v>
      </x:c>
      <x:c r="V25" s="72" t="n">
        <x:v>46240.969363425924</x:v>
      </x:c>
      <x:c r="W25" s="32" t="str">
        <x:v>正常</x:v>
      </x:c>
    </x:row>
    <x:row r="26">
      <x:c r="A26" s="32" t="str">
        <x:v>P23</x:v>
      </x:c>
      <x:c r="B26" s="32" t="str">
        <x:v>B4-W2-V1</x:v>
      </x:c>
      <x:c r="C26" s="32" t="str">
        <x:v>W2</x:v>
      </x:c>
      <x:c r="D26" s="32" t="str">
        <x:v>V1</x:v>
      </x:c>
      <x:c r="E26" s="32" t="str">
        <x:v>862323089930723</x:v>
      </x:c>
      <x:c r="F26" s="32" t="n">
        <x:v>49</x:v>
      </x:c>
      <x:c r="G26" s="32" t="n">
        <x:v>49</x:v>
      </x:c>
      <x:c r="H26" s="32" t="n">
        <x:v>0</x:v>
      </x:c>
      <x:c r="I26" s="32" t="n">
        <x:v>0</x:v>
      </x:c>
      <x:c r="J26" s="82" t="n">
        <x:v>5</x:v>
      </x:c>
      <x:c r="K26" s="32" t="n">
        <x:v>0</x:v>
      </x:c>
      <x:c r="L26" s="32" t="n">
        <x:v>49</x:v>
      </x:c>
      <x:c r="M26" s="32" t="n">
        <x:v>49</x:v>
      </x:c>
      <x:c r="N26" s="32" t="n">
        <x:v>49</x:v>
      </x:c>
      <x:c r="O26" s="32" t="n">
        <x:v>49</x:v>
      </x:c>
      <x:c r="P26" s="32" t="n">
        <x:v>49</x:v>
      </x:c>
      <x:c r="Q26" s="32" t="n">
        <x:v>0</x:v>
      </x:c>
      <x:c r="R26" s="32" t="n">
        <x:v>0</x:v>
      </x:c>
      <x:c r="S26" s="82" t="n">
        <x:v>1.2</x:v>
      </x:c>
      <x:c r="T26" s="82" t="n">
        <x:v>1.2</x:v>
      </x:c>
      <x:c r="U26" s="72" t="n">
        <x:v>46240.80269675926</x:v>
      </x:c>
      <x:c r="V26" s="72" t="n">
        <x:v>46240.969363425924</x:v>
      </x:c>
      <x:c r="W26" s="32" t="str">
        <x:v>正常</x:v>
      </x:c>
    </x:row>
    <x:row r="27">
      <x:c r="A27" s="33" t="str">
        <x:v>P24</x:v>
      </x:c>
      <x:c r="B27" s="33" t="str">
        <x:v>B4-W2-V2</x:v>
      </x:c>
      <x:c r="C27" s="33" t="str">
        <x:v>W2</x:v>
      </x:c>
      <x:c r="D27" s="33" t="str">
        <x:v>V2</x:v>
      </x:c>
      <x:c r="E27" s="33" t="str">
        <x:v>862323089930724</x:v>
      </x:c>
      <x:c r="F27" s="33" t="n">
        <x:v>49</x:v>
      </x:c>
      <x:c r="G27" s="33" t="n">
        <x:v>49</x:v>
      </x:c>
      <x:c r="H27" s="33" t="n">
        <x:v>0</x:v>
      </x:c>
      <x:c r="I27" s="33" t="n">
        <x:v>0</x:v>
      </x:c>
      <x:c r="J27" s="83" t="n">
        <x:v>5</x:v>
      </x:c>
      <x:c r="K27" s="33" t="n">
        <x:v>0</x:v>
      </x:c>
      <x:c r="L27" s="33" t="n">
        <x:v>49</x:v>
      </x:c>
      <x:c r="M27" s="33" t="n">
        <x:v>49</x:v>
      </x:c>
      <x:c r="N27" s="33" t="n">
        <x:v>49</x:v>
      </x:c>
      <x:c r="O27" s="33" t="n">
        <x:v>49</x:v>
      </x:c>
      <x:c r="P27" s="33" t="n">
        <x:v>49</x:v>
      </x:c>
      <x:c r="Q27" s="33" t="n">
        <x:v>0</x:v>
      </x:c>
      <x:c r="R27" s="33" t="n">
        <x:v>0</x:v>
      </x:c>
      <x:c r="S27" s="83" t="n">
        <x:v>1.2</x:v>
      </x:c>
      <x:c r="T27" s="83" t="n">
        <x:v>1.2</x:v>
      </x:c>
      <x:c r="U27" s="73" t="n">
        <x:v>46240.80269675926</x:v>
      </x:c>
      <x:c r="V27" s="73" t="n">
        <x:v>46240.969363425924</x:v>
      </x:c>
      <x:c r="W27" s="33" t="str">
        <x:v>正常</x:v>
      </x:c>
    </x:row>
  </x:sheetData>
  <x:mergeCells>
    <x:mergeCell ref="A1:W1"/>
  </x:mergeCells>
  <x:conditionalFormatting sqref="H4:I27">
    <x:cfRule type="cellIs" dxfId="16" priority="1" operator="greaterThan">
      <x:formula>0</x:formula>
    </x:cfRule>
  </x:conditionalFormatting>
  <x:conditionalFormatting sqref="W4:W27">
    <x:cfRule type="expression" dxfId="17" priority="2">
      <x:formula>$W4&lt;&gt;"正常"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e20418954f40ac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11" hidden="0" customWidth="1"/>
    <x:col min="4" max="4" width="18" hidden="0" customWidth="1"/>
    <x:col min="5" max="5" width="9" hidden="0" customWidth="1"/>
    <x:col min="6" max="6" width="11" hidden="0" customWidth="1"/>
    <x:col min="7" max="7" width="9" hidden="0" customWidth="1"/>
    <x:col min="8" max="8" width="18" hidden="0" customWidth="1"/>
    <x:col min="9" max="9" width="19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12" hidden="0" customWidth="1"/>
    <x:col min="15" max="15" width="10" hidden="0" customWidth="1"/>
    <x:col min="16" max="16" width="13" hidden="0" customWidth="1"/>
    <x:col min="17" max="17" width="9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45" hidden="0" customWidth="1"/>
  </x:cols>
  <x:sheetData>
    <x:row r="1" ht="30" customHeight="1">
      <x:c r="A1" s="5" t="str">
        <x:v>逐条原始记录（已修复数据类型并转为北京时间）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3" ht="26" customHeight="1">
      <x:c r="A3" s="18" t="str">
        <x:v>采集时间</x:v>
      </x:c>
      <x:c r="B3" s="47" t="str">
        <x:v>服务器接收时间</x:v>
      </x:c>
      <x:c r="C3" s="47" t="str">
        <x:v>小区编号</x:v>
      </x:c>
      <x:c r="D3" s="47" t="str">
        <x:v>试验编号</x:v>
      </x:c>
      <x:c r="E3" s="47" t="str">
        <x:v>区组</x:v>
      </x:c>
      <x:c r="F3" s="47" t="str">
        <x:v>水分处理</x:v>
      </x:c>
      <x:c r="G3" s="47" t="str">
        <x:v>品种</x:v>
      </x:c>
      <x:c r="H3" s="47" t="str">
        <x:v>传感器模式</x:v>
      </x:c>
      <x:c r="I3" s="47" t="str">
        <x:v>IMEI</x:v>
      </x:c>
      <x:c r="J3" s="47" t="str">
        <x:v>水位_mm</x:v>
      </x:c>
      <x:c r="K3" s="47" t="str">
        <x:v>张力_kPa</x:v>
      </x:c>
      <x:c r="L3" s="47" t="str">
        <x:v>含水率_pct</x:v>
      </x:c>
      <x:c r="M3" s="47" t="str">
        <x:v>温度_degC</x:v>
      </x:c>
      <x:c r="N3" s="47" t="str">
        <x:v>EC_us_cm</x:v>
      </x:c>
      <x:c r="O3" s="47" t="str">
        <x:v>pH</x:v>
      </x:c>
      <x:c r="P3" s="47" t="str">
        <x:v>电池电压_V</x:v>
      </x:c>
      <x:c r="Q3" s="47" t="str">
        <x:v>CSQ</x:v>
      </x:c>
      <x:c r="R3" s="47" t="str">
        <x:v>水位状态</x:v>
      </x:c>
      <x:c r="S3" s="47" t="str">
        <x:v>张力状态</x:v>
      </x:c>
      <x:c r="T3" s="47" t="str">
        <x:v>土壤状态</x:v>
      </x:c>
      <x:c r="U3" s="47" t="str">
        <x:v>周期状态</x:v>
      </x:c>
      <x:c r="V3" s="47" t="str">
        <x:v>载荷状态</x:v>
      </x:c>
      <x:c r="W3" s="19" t="str">
        <x:v>原始JSON</x:v>
      </x:c>
    </x:row>
    <x:row r="4">
      <x:c r="A4" s="72" t="n">
        <x:v>46240.80269675926</x:v>
      </x:c>
      <x:c r="B4" s="72" t="n">
        <x:v>46240.802710648146</x:v>
      </x:c>
      <x:c r="C4" s="32" t="str">
        <x:v>P01</x:v>
      </x:c>
      <x:c r="D4" s="32" t="str">
        <x:v>B1-W0-V1</x:v>
      </x:c>
      <x:c r="E4" s="32" t="str">
        <x:v>B1</x:v>
      </x:c>
      <x:c r="F4" s="32" t="str">
        <x:v>W0</x:v>
      </x:c>
      <x:c r="G4" s="32" t="str">
        <x:v>V1</x:v>
      </x:c>
      <x:c r="H4" s="32" t="str">
        <x:v>water_soil</x:v>
      </x:c>
      <x:c r="I4" s="32" t="str">
        <x:v>862323089930701</x:v>
      </x:c>
      <x:c r="J4" s="82" t="n">
        <x:v>29.4</x:v>
      </x:c>
      <x:c r="K4" s="82"/>
      <x:c r="L4" s="82" t="n">
        <x:v>34.4</x:v>
      </x:c>
      <x:c r="M4" s="82" t="n">
        <x:v>24.9</x:v>
      </x:c>
      <x:c r="N4" s="86" t="n">
        <x:v>781</x:v>
      </x:c>
      <x:c r="O4" s="90" t="n">
        <x:v>6.34</x:v>
      </x:c>
      <x:c r="P4" s="150" t="n">
        <x:v>3.938</x:v>
      </x:c>
      <x:c r="Q4" s="86" t="n">
        <x:v>18</x:v>
      </x:c>
      <x:c r="R4" s="32" t="str">
        <x:v>ok</x:v>
      </x:c>
      <x:c r="S4" s="32"/>
      <x:c r="T4" s="32" t="str">
        <x:v>ok</x:v>
      </x:c>
      <x:c r="U4" s="32" t="str">
        <x:v>ok</x:v>
      </x:c>
      <x:c r="V4" s="32" t="str">
        <x:v>ok</x:v>
      </x:c>
      <x:c r="W4" s="154" t="str">
        <x:v>{"schema_version":1,"imei":"862323089930701","timestamp":1786014953,"report_sequence":1,"task_version":"rice_w0_water_soil_demo","sensor_mode":"water_soil","soil_moisture_percent":34.4,"soil_temperature_c":24.9,"soil_ec_us_cm":781,"soil_ph":6.34,"battery_mv":3938,"csq":18,"soil_rs485_status":"ok","cycle_status":"ok","water_level_mm":29.4,"water_4_20ma_status":"ok"}</x:v>
      </x:c>
    </x:row>
    <x:row r="5">
      <x:c r="A5" s="72" t="n">
        <x:v>46240.80269675926</x:v>
      </x:c>
      <x:c r="B5" s="72" t="n">
        <x:v>46240.802710648146</x:v>
      </x:c>
      <x:c r="C5" s="32" t="str">
        <x:v>P02</x:v>
      </x:c>
      <x:c r="D5" s="32" t="str">
        <x:v>B1-W0-V2</x:v>
      </x:c>
      <x:c r="E5" s="32" t="str">
        <x:v>B1</x:v>
      </x:c>
      <x:c r="F5" s="32" t="str">
        <x:v>W0</x:v>
      </x:c>
      <x:c r="G5" s="32" t="str">
        <x:v>V2</x:v>
      </x:c>
      <x:c r="H5" s="32" t="str">
        <x:v>water_soil</x:v>
      </x:c>
      <x:c r="I5" s="32" t="str">
        <x:v>862323089930702</x:v>
      </x:c>
      <x:c r="J5" s="82" t="n">
        <x:v>33.7</x:v>
      </x:c>
      <x:c r="K5" s="82"/>
      <x:c r="L5" s="82" t="n">
        <x:v>35.9</x:v>
      </x:c>
      <x:c r="M5" s="82" t="n">
        <x:v>25.1</x:v>
      </x:c>
      <x:c r="N5" s="86" t="n">
        <x:v>802</x:v>
      </x:c>
      <x:c r="O5" s="90" t="n">
        <x:v>6.4</x:v>
      </x:c>
      <x:c r="P5" s="150" t="n">
        <x:v>3.956</x:v>
      </x:c>
      <x:c r="Q5" s="86" t="n">
        <x:v>19</x:v>
      </x:c>
      <x:c r="R5" s="32" t="str">
        <x:v>ok</x:v>
      </x:c>
      <x:c r="S5" s="32"/>
      <x:c r="T5" s="32" t="str">
        <x:v>ok</x:v>
      </x:c>
      <x:c r="U5" s="32" t="str">
        <x:v>ok</x:v>
      </x:c>
      <x:c r="V5" s="32" t="str">
        <x:v>ok</x:v>
      </x:c>
      <x:c r="W5" s="154" t="str">
        <x:v>{"schema_version":1,"imei":"862323089930702","timestamp":1786014953,"report_sequence":1,"task_version":"rice_w0_water_soil_demo","sensor_mode":"water_soil","soil_moisture_percent":35.9,"soil_temperature_c":25.1,"soil_ec_us_cm":802,"soil_ph":6.4,"battery_mv":3956,"csq":19,"soil_rs485_status":"ok","cycle_status":"ok","water_level_mm":33.7,"water_4_20ma_status":"ok"}</x:v>
      </x:c>
    </x:row>
    <x:row r="6">
      <x:c r="A6" s="72" t="n">
        <x:v>46240.80269675926</x:v>
      </x:c>
      <x:c r="B6" s="72" t="n">
        <x:v>46240.802710648146</x:v>
      </x:c>
      <x:c r="C6" s="32" t="str">
        <x:v>P03</x:v>
      </x:c>
      <x:c r="D6" s="32" t="str">
        <x:v>B1-W1-V1</x:v>
      </x:c>
      <x:c r="E6" s="32" t="str">
        <x:v>B1</x:v>
      </x:c>
      <x:c r="F6" s="32" t="str">
        <x:v>W1</x:v>
      </x:c>
      <x:c r="G6" s="32" t="str">
        <x:v>V1</x:v>
      </x:c>
      <x:c r="H6" s="32" t="str">
        <x:v>tension_soil</x:v>
      </x:c>
      <x:c r="I6" s="32" t="str">
        <x:v>862323089930703</x:v>
      </x:c>
      <x:c r="J6" s="82"/>
      <x:c r="K6" s="82" t="n">
        <x:v>-26.4</x:v>
      </x:c>
      <x:c r="L6" s="82" t="n">
        <x:v>37.4</x:v>
      </x:c>
      <x:c r="M6" s="82" t="n">
        <x:v>25.2</x:v>
      </x:c>
      <x:c r="N6" s="86" t="n">
        <x:v>822</x:v>
      </x:c>
      <x:c r="O6" s="90" t="n">
        <x:v>6.46</x:v>
      </x:c>
      <x:c r="P6" s="150" t="n">
        <x:v>3.974</x:v>
      </x:c>
      <x:c r="Q6" s="86" t="n">
        <x:v>20</x:v>
      </x:c>
      <x:c r="R6" s="32"/>
      <x:c r="S6" s="32" t="str">
        <x:v>ok</x:v>
      </x:c>
      <x:c r="T6" s="32" t="str">
        <x:v>ok</x:v>
      </x:c>
      <x:c r="U6" s="32" t="str">
        <x:v>ok</x:v>
      </x:c>
      <x:c r="V6" s="32" t="str">
        <x:v>ok</x:v>
      </x:c>
      <x:c r="W6" s="154" t="str">
        <x:v>{"schema_version":1,"imei":"862323089930703","timestamp":1786014953,"report_sequence":1,"task_version":"rice_tension_soil_demo","sensor_mode":"tension_soil","soil_moisture_percent":37.4,"soil_temperature_c":25.2,"soil_ec_us_cm":822,"soil_ph":6.46,"battery_mv":3974,"csq":20,"soil_rs485_status":"ok","cycle_status":"ok","soil_tension_kpa":-26.4,"soil_tension_rs485_status":"ok"}</x:v>
      </x:c>
    </x:row>
    <x:row r="7">
      <x:c r="A7" s="72" t="n">
        <x:v>46240.80269675926</x:v>
      </x:c>
      <x:c r="B7" s="72" t="n">
        <x:v>46240.802710648146</x:v>
      </x:c>
      <x:c r="C7" s="32" t="str">
        <x:v>P04</x:v>
      </x:c>
      <x:c r="D7" s="32" t="str">
        <x:v>B1-W1-V2</x:v>
      </x:c>
      <x:c r="E7" s="32" t="str">
        <x:v>B1</x:v>
      </x:c>
      <x:c r="F7" s="32" t="str">
        <x:v>W1</x:v>
      </x:c>
      <x:c r="G7" s="32" t="str">
        <x:v>V2</x:v>
      </x:c>
      <x:c r="H7" s="32" t="str">
        <x:v>tension_soil</x:v>
      </x:c>
      <x:c r="I7" s="32" t="str">
        <x:v>862323089930704</x:v>
      </x:c>
      <x:c r="J7" s="82"/>
      <x:c r="K7" s="82" t="n">
        <x:v>-27.8</x:v>
      </x:c>
      <x:c r="L7" s="82" t="n">
        <x:v>38.8</x:v>
      </x:c>
      <x:c r="M7" s="82" t="n">
        <x:v>25.3</x:v>
      </x:c>
      <x:c r="N7" s="86" t="n">
        <x:v>843</x:v>
      </x:c>
      <x:c r="O7" s="90" t="n">
        <x:v>6.51</x:v>
      </x:c>
      <x:c r="P7" s="150" t="n">
        <x:v>3.992</x:v>
      </x:c>
      <x:c r="Q7" s="86" t="n">
        <x:v>21</x:v>
      </x:c>
      <x:c r="R7" s="32"/>
      <x:c r="S7" s="32" t="str">
        <x:v>ok</x:v>
      </x:c>
      <x:c r="T7" s="32" t="str">
        <x:v>ok</x:v>
      </x:c>
      <x:c r="U7" s="32" t="str">
        <x:v>ok</x:v>
      </x:c>
      <x:c r="V7" s="32" t="str">
        <x:v>ok</x:v>
      </x:c>
      <x:c r="W7" s="154" t="str">
        <x:v>{"schema_version":1,"imei":"862323089930704","timestamp":1786014953,"report_sequence":1,"task_version":"rice_tension_soil_demo","sensor_mode":"tension_soil","soil_moisture_percent":38.8,"soil_temperature_c":25.3,"soil_ec_us_cm":843,"soil_ph":6.51,"battery_mv":3992,"csq":21,"soil_rs485_status":"ok","cycle_status":"ok","soil_tension_kpa":-27.8,"soil_tension_rs485_status":"ok"}</x:v>
      </x:c>
    </x:row>
    <x:row r="8">
      <x:c r="A8" s="72" t="n">
        <x:v>46240.80269675926</x:v>
      </x:c>
      <x:c r="B8" s="72" t="n">
        <x:v>46240.802710648146</x:v>
      </x:c>
      <x:c r="C8" s="32" t="str">
        <x:v>P05</x:v>
      </x:c>
      <x:c r="D8" s="32" t="str">
        <x:v>B1-W2-V1</x:v>
      </x:c>
      <x:c r="E8" s="32" t="str">
        <x:v>B1</x:v>
      </x:c>
      <x:c r="F8" s="32" t="str">
        <x:v>W2</x:v>
      </x:c>
      <x:c r="G8" s="32" t="str">
        <x:v>V1</x:v>
      </x:c>
      <x:c r="H8" s="32" t="str">
        <x:v>tension_soil</x:v>
      </x:c>
      <x:c r="I8" s="32" t="str">
        <x:v>862323089930705</x:v>
      </x:c>
      <x:c r="J8" s="82"/>
      <x:c r="K8" s="82" t="n">
        <x:v>-35.3</x:v>
      </x:c>
      <x:c r="L8" s="82" t="n">
        <x:v>40.3</x:v>
      </x:c>
      <x:c r="M8" s="82" t="n">
        <x:v>25.4</x:v>
      </x:c>
      <x:c r="N8" s="86" t="n">
        <x:v>862</x:v>
      </x:c>
      <x:c r="O8" s="90" t="n">
        <x:v>6.32</x:v>
      </x:c>
      <x:c r="P8" s="150" t="n">
        <x:v>4.01</x:v>
      </x:c>
      <x:c r="Q8" s="86" t="n">
        <x:v>22</x:v>
      </x:c>
      <x:c r="R8" s="32"/>
      <x:c r="S8" s="32" t="str">
        <x:v>ok</x:v>
      </x:c>
      <x:c r="T8" s="32" t="str">
        <x:v>ok</x:v>
      </x:c>
      <x:c r="U8" s="32" t="str">
        <x:v>ok</x:v>
      </x:c>
      <x:c r="V8" s="32" t="str">
        <x:v>ok</x:v>
      </x:c>
      <x:c r="W8" s="154" t="str">
        <x:v>{"schema_version":1,"imei":"862323089930705","timestamp":1786014953,"report_sequence":1,"task_version":"rice_tension_soil_demo","sensor_mode":"tension_soil","soil_moisture_percent":40.3,"soil_temperature_c":25.4,"soil_ec_us_cm":862,"soil_ph":6.32,"battery_mv":4010,"csq":22,"soil_rs485_status":"ok","cycle_status":"ok","soil_tension_kpa":-35.3,"soil_tension_rs485_status":"ok"}</x:v>
      </x:c>
    </x:row>
    <x:row r="9">
      <x:c r="A9" s="72" t="n">
        <x:v>46240.80269675926</x:v>
      </x:c>
      <x:c r="B9" s="72" t="n">
        <x:v>46240.802710648146</x:v>
      </x:c>
      <x:c r="C9" s="32" t="str">
        <x:v>P06</x:v>
      </x:c>
      <x:c r="D9" s="32" t="str">
        <x:v>B1-W2-V2</x:v>
      </x:c>
      <x:c r="E9" s="32" t="str">
        <x:v>B1</x:v>
      </x:c>
      <x:c r="F9" s="32" t="str">
        <x:v>W2</x:v>
      </x:c>
      <x:c r="G9" s="32" t="str">
        <x:v>V2</x:v>
      </x:c>
      <x:c r="H9" s="32" t="str">
        <x:v>tension_soil</x:v>
      </x:c>
      <x:c r="I9" s="32" t="str">
        <x:v>862323089930706</x:v>
      </x:c>
      <x:c r="J9" s="82"/>
      <x:c r="K9" s="82" t="n">
        <x:v>-36.6</x:v>
      </x:c>
      <x:c r="L9" s="82" t="n">
        <x:v>41.6</x:v>
      </x:c>
      <x:c r="M9" s="82" t="n">
        <x:v>25.5</x:v>
      </x:c>
      <x:c r="N9" s="86" t="n">
        <x:v>880</x:v>
      </x:c>
      <x:c r="O9" s="90" t="n">
        <x:v>6.37</x:v>
      </x:c>
      <x:c r="P9" s="150" t="n">
        <x:v>3.92</x:v>
      </x:c>
      <x:c r="Q9" s="86" t="n">
        <x:v>23</x:v>
      </x:c>
      <x:c r="R9" s="32"/>
      <x:c r="S9" s="32" t="str">
        <x:v>ok</x:v>
      </x:c>
      <x:c r="T9" s="32" t="str">
        <x:v>ok</x:v>
      </x:c>
      <x:c r="U9" s="32" t="str">
        <x:v>ok</x:v>
      </x:c>
      <x:c r="V9" s="32" t="str">
        <x:v>ok</x:v>
      </x:c>
      <x:c r="W9" s="154" t="str">
        <x:v>{"schema_version":1,"imei":"862323089930706","timestamp":1786014953,"report_sequence":1,"task_version":"rice_tension_soil_demo","sensor_mode":"tension_soil","soil_moisture_percent":41.6,"soil_temperature_c":25.5,"soil_ec_us_cm":880,"soil_ph":6.37,"battery_mv":3920,"csq":23,"soil_rs485_status":"ok","cycle_status":"ok","soil_tension_kpa":-36.6,"soil_tension_rs485_status":"ok"}</x:v>
      </x:c>
    </x:row>
    <x:row r="10">
      <x:c r="A10" s="72" t="n">
        <x:v>46240.80269675926</x:v>
      </x:c>
      <x:c r="B10" s="72" t="n">
        <x:v>46240.802710648146</x:v>
      </x:c>
      <x:c r="C10" s="32" t="str">
        <x:v>P07</x:v>
      </x:c>
      <x:c r="D10" s="32" t="str">
        <x:v>B2-W0-V1</x:v>
      </x:c>
      <x:c r="E10" s="32" t="str">
        <x:v>B2</x:v>
      </x:c>
      <x:c r="F10" s="32" t="str">
        <x:v>W0</x:v>
      </x:c>
      <x:c r="G10" s="32" t="str">
        <x:v>V1</x:v>
      </x:c>
      <x:c r="H10" s="32" t="str">
        <x:v>water_soil</x:v>
      </x:c>
      <x:c r="I10" s="32" t="str">
        <x:v>862323089930707</x:v>
      </x:c>
      <x:c r="J10" s="82" t="n">
        <x:v>41.6</x:v>
      </x:c>
      <x:c r="K10" s="82"/>
      <x:c r="L10" s="82" t="n">
        <x:v>42.9</x:v>
      </x:c>
      <x:c r="M10" s="82" t="n">
        <x:v>25.6</x:v>
      </x:c>
      <x:c r="N10" s="86" t="n">
        <x:v>896</x:v>
      </x:c>
      <x:c r="O10" s="90" t="n">
        <x:v>6.43</x:v>
      </x:c>
      <x:c r="P10" s="150" t="n">
        <x:v>3.938</x:v>
      </x:c>
      <x:c r="Q10" s="86" t="n">
        <x:v>24</x:v>
      </x:c>
      <x:c r="R10" s="32" t="str">
        <x:v>ok</x:v>
      </x:c>
      <x:c r="S10" s="32"/>
      <x:c r="T10" s="32" t="str">
        <x:v>ok</x:v>
      </x:c>
      <x:c r="U10" s="32" t="str">
        <x:v>ok</x:v>
      </x:c>
      <x:c r="V10" s="32" t="str">
        <x:v>ok</x:v>
      </x:c>
      <x:c r="W10" s="154" t="str">
        <x:v>{"schema_version":1,"imei":"862323089930707","timestamp":1786014953,"report_sequence":1,"task_version":"rice_w0_water_soil_demo","sensor_mode":"water_soil","soil_moisture_percent":42.9,"soil_temperature_c":25.6,"soil_ec_us_cm":896,"soil_ph":6.43,"battery_mv":3938,"csq":24,"soil_rs485_status":"ok","cycle_status":"ok","water_level_mm":41.6,"water_4_20ma_status":"ok"}</x:v>
      </x:c>
    </x:row>
    <x:row r="11">
      <x:c r="A11" s="72" t="n">
        <x:v>46240.80269675926</x:v>
      </x:c>
      <x:c r="B11" s="72" t="n">
        <x:v>46240.802710648146</x:v>
      </x:c>
      <x:c r="C11" s="32" t="str">
        <x:v>P08</x:v>
      </x:c>
      <x:c r="D11" s="32" t="str">
        <x:v>B2-W0-V2</x:v>
      </x:c>
      <x:c r="E11" s="32" t="str">
        <x:v>B2</x:v>
      </x:c>
      <x:c r="F11" s="32" t="str">
        <x:v>W0</x:v>
      </x:c>
      <x:c r="G11" s="32" t="str">
        <x:v>V2</x:v>
      </x:c>
      <x:c r="H11" s="32" t="str">
        <x:v>water_soil</x:v>
      </x:c>
      <x:c r="I11" s="32" t="str">
        <x:v>862323089930708</x:v>
      </x:c>
      <x:c r="J11" s="82" t="n">
        <x:v>33</x:v>
      </x:c>
      <x:c r="K11" s="82"/>
      <x:c r="L11" s="82" t="n">
        <x:v>36</x:v>
      </x:c>
      <x:c r="M11" s="82" t="n">
        <x:v>25.6</x:v>
      </x:c>
      <x:c r="N11" s="86" t="n">
        <x:v>911</x:v>
      </x:c>
      <x:c r="O11" s="90" t="n">
        <x:v>6.48</x:v>
      </x:c>
      <x:c r="P11" s="150" t="n">
        <x:v>3.956</x:v>
      </x:c>
      <x:c r="Q11" s="86" t="n">
        <x:v>17</x:v>
      </x:c>
      <x:c r="R11" s="32" t="str">
        <x:v>ok</x:v>
      </x:c>
      <x:c r="S11" s="32"/>
      <x:c r="T11" s="32" t="str">
        <x:v>ok</x:v>
      </x:c>
      <x:c r="U11" s="32" t="str">
        <x:v>ok</x:v>
      </x:c>
      <x:c r="V11" s="32" t="str">
        <x:v>ok</x:v>
      </x:c>
      <x:c r="W11" s="154" t="str">
        <x:v>{"schema_version":1,"imei":"862323089930708","timestamp":1786014953,"report_sequence":1,"task_version":"rice_w0_water_soil_demo","sensor_mode":"water_soil","soil_moisture_percent":36,"soil_temperature_c":25.6,"soil_ec_us_cm":911,"soil_ph":6.48,"battery_mv":3956,"csq":17,"soil_rs485_status":"ok","cycle_status":"ok","water_level_mm":33,"water_4_20ma_status":"ok"}</x:v>
      </x:c>
    </x:row>
    <x:row r="12">
      <x:c r="A12" s="72" t="n">
        <x:v>46240.80269675926</x:v>
      </x:c>
      <x:c r="B12" s="72" t="n">
        <x:v>46240.802710648146</x:v>
      </x:c>
      <x:c r="C12" s="32" t="str">
        <x:v>P09</x:v>
      </x:c>
      <x:c r="D12" s="32" t="str">
        <x:v>B2-W1-V1</x:v>
      </x:c>
      <x:c r="E12" s="32" t="str">
        <x:v>B2</x:v>
      </x:c>
      <x:c r="F12" s="32" t="str">
        <x:v>W1</x:v>
      </x:c>
      <x:c r="G12" s="32" t="str">
        <x:v>V1</x:v>
      </x:c>
      <x:c r="H12" s="32" t="str">
        <x:v>tension_soil</x:v>
      </x:c>
      <x:c r="I12" s="32" t="str">
        <x:v>862323089930709</x:v>
      </x:c>
      <x:c r="J12" s="82"/>
      <x:c r="K12" s="82" t="n">
        <x:v>-29</x:v>
      </x:c>
      <x:c r="L12" s="82" t="n">
        <x:v>37</x:v>
      </x:c>
      <x:c r="M12" s="82" t="n">
        <x:v>25.6</x:v>
      </x:c>
      <x:c r="N12" s="86" t="n">
        <x:v>923</x:v>
      </x:c>
      <x:c r="O12" s="90" t="n">
        <x:v>6.53</x:v>
      </x:c>
      <x:c r="P12" s="150" t="n">
        <x:v>3.974</x:v>
      </x:c>
      <x:c r="Q12" s="86" t="n">
        <x:v>18</x:v>
      </x:c>
      <x:c r="R12" s="32"/>
      <x:c r="S12" s="32" t="str">
        <x:v>ok</x:v>
      </x:c>
      <x:c r="T12" s="32" t="str">
        <x:v>ok</x:v>
      </x:c>
      <x:c r="U12" s="32" t="str">
        <x:v>ok</x:v>
      </x:c>
      <x:c r="V12" s="32" t="str">
        <x:v>ok</x:v>
      </x:c>
      <x:c r="W12" s="154" t="str">
        <x:v>{"schema_version":1,"imei":"862323089930709","timestamp":1786014953,"report_sequence":1,"task_version":"rice_tension_soil_demo","sensor_mode":"tension_soil","soil_moisture_percent":37,"soil_temperature_c":25.6,"soil_ec_us_cm":923,"soil_ph":6.53,"battery_mv":3974,"csq":18,"soil_rs485_status":"ok","cycle_status":"ok","soil_tension_kpa":-29,"soil_tension_rs485_status":"ok"}</x:v>
      </x:c>
    </x:row>
    <x:row r="13">
      <x:c r="A13" s="72" t="n">
        <x:v>46240.80269675926</x:v>
      </x:c>
      <x:c r="B13" s="72" t="n">
        <x:v>46240.802710648146</x:v>
      </x:c>
      <x:c r="C13" s="32" t="str">
        <x:v>P10</x:v>
      </x:c>
      <x:c r="D13" s="32" t="str">
        <x:v>B2-W1-V2</x:v>
      </x:c>
      <x:c r="E13" s="32" t="str">
        <x:v>B2</x:v>
      </x:c>
      <x:c r="F13" s="32" t="str">
        <x:v>W1</x:v>
      </x:c>
      <x:c r="G13" s="32" t="str">
        <x:v>V2</x:v>
      </x:c>
      <x:c r="H13" s="32" t="str">
        <x:v>tension_soil</x:v>
      </x:c>
      <x:c r="I13" s="32" t="str">
        <x:v>862323089930710</x:v>
      </x:c>
      <x:c r="J13" s="82"/>
      <x:c r="K13" s="82" t="n">
        <x:v>-24.9</x:v>
      </x:c>
      <x:c r="L13" s="82" t="n">
        <x:v>37.9</x:v>
      </x:c>
      <x:c r="M13" s="82" t="n">
        <x:v>25.6</x:v>
      </x:c>
      <x:c r="N13" s="86" t="n">
        <x:v>933</x:v>
      </x:c>
      <x:c r="O13" s="90" t="n">
        <x:v>6.33</x:v>
      </x:c>
      <x:c r="P13" s="150" t="n">
        <x:v>3.992</x:v>
      </x:c>
      <x:c r="Q13" s="86" t="n">
        <x:v>19</x:v>
      </x:c>
      <x:c r="R13" s="32"/>
      <x:c r="S13" s="32" t="str">
        <x:v>ok</x:v>
      </x:c>
      <x:c r="T13" s="32" t="str">
        <x:v>ok</x:v>
      </x:c>
      <x:c r="U13" s="32" t="str">
        <x:v>ok</x:v>
      </x:c>
      <x:c r="V13" s="32" t="str">
        <x:v>ok</x:v>
      </x:c>
      <x:c r="W13" s="154" t="str">
        <x:v>{"schema_version":1,"imei":"862323089930710","timestamp":1786014953,"report_sequence":1,"task_version":"rice_tension_soil_demo","sensor_mode":"tension_soil","soil_moisture_percent":37.9,"soil_temperature_c":25.6,"soil_ec_us_cm":933,"soil_ph":6.33,"battery_mv":3992,"csq":19,"soil_rs485_status":"ok","cycle_status":"ok","soil_tension_kpa":-24.9,"soil_tension_rs485_status":"ok"}</x:v>
      </x:c>
    </x:row>
    <x:row r="14">
      <x:c r="A14" s="72" t="n">
        <x:v>46240.80269675926</x:v>
      </x:c>
      <x:c r="B14" s="72" t="n">
        <x:v>46240.802710648146</x:v>
      </x:c>
      <x:c r="C14" s="32" t="str">
        <x:v>P11</x:v>
      </x:c>
      <x:c r="D14" s="32" t="str">
        <x:v>B2-W2-V1</x:v>
      </x:c>
      <x:c r="E14" s="32" t="str">
        <x:v>B2</x:v>
      </x:c>
      <x:c r="F14" s="32" t="str">
        <x:v>W2</x:v>
      </x:c>
      <x:c r="G14" s="32" t="str">
        <x:v>V1</x:v>
      </x:c>
      <x:c r="H14" s="32" t="str">
        <x:v>tension_soil</x:v>
      </x:c>
      <x:c r="I14" s="32" t="str">
        <x:v>862323089930711</x:v>
      </x:c>
      <x:c r="J14" s="82"/>
      <x:c r="K14" s="82" t="n">
        <x:v>-36.6</x:v>
      </x:c>
      <x:c r="L14" s="82" t="n">
        <x:v>38.6</x:v>
      </x:c>
      <x:c r="M14" s="82" t="n">
        <x:v>25.5</x:v>
      </x:c>
      <x:c r="N14" s="86" t="n">
        <x:v>941</x:v>
      </x:c>
      <x:c r="O14" s="90" t="n">
        <x:v>6.37</x:v>
      </x:c>
      <x:c r="P14" s="150" t="n">
        <x:v>4.01</x:v>
      </x:c>
      <x:c r="Q14" s="86" t="n">
        <x:v>20</x:v>
      </x:c>
      <x:c r="R14" s="32"/>
      <x:c r="S14" s="32" t="str">
        <x:v>ok</x:v>
      </x:c>
      <x:c r="T14" s="32" t="str">
        <x:v>ok</x:v>
      </x:c>
      <x:c r="U14" s="32" t="str">
        <x:v>ok</x:v>
      </x:c>
      <x:c r="V14" s="32" t="str">
        <x:v>ok</x:v>
      </x:c>
      <x:c r="W14" s="154" t="str">
        <x:v>{"schema_version":1,"imei":"862323089930711","timestamp":1786014953,"report_sequence":1,"task_version":"rice_tension_soil_demo","sensor_mode":"tension_soil","soil_moisture_percent":38.6,"soil_temperature_c":25.5,"soil_ec_us_cm":941,"soil_ph":6.37,"battery_mv":4010,"csq":20,"soil_rs485_status":"ok","cycle_status":"ok","soil_tension_kpa":-36.6,"soil_tension_rs485_status":"ok"}</x:v>
      </x:c>
    </x:row>
    <x:row r="15">
      <x:c r="A15" s="72" t="n">
        <x:v>46240.80269675926</x:v>
      </x:c>
      <x:c r="B15" s="72" t="n">
        <x:v>46240.802710648146</x:v>
      </x:c>
      <x:c r="C15" s="32" t="str">
        <x:v>P12</x:v>
      </x:c>
      <x:c r="D15" s="32" t="str">
        <x:v>B2-W2-V2</x:v>
      </x:c>
      <x:c r="E15" s="32" t="str">
        <x:v>B2</x:v>
      </x:c>
      <x:c r="F15" s="32" t="str">
        <x:v>W2</x:v>
      </x:c>
      <x:c r="G15" s="32" t="str">
        <x:v>V2</x:v>
      </x:c>
      <x:c r="H15" s="32" t="str">
        <x:v>tension_soil</x:v>
      </x:c>
      <x:c r="I15" s="32" t="str">
        <x:v>862323089930712</x:v>
      </x:c>
      <x:c r="J15" s="82"/>
      <x:c r="K15" s="82" t="n">
        <x:v>-37.3</x:v>
      </x:c>
      <x:c r="L15" s="82" t="n">
        <x:v>39.3</x:v>
      </x:c>
      <x:c r="M15" s="82" t="n">
        <x:v>25.4</x:v>
      </x:c>
      <x:c r="N15" s="86" t="n">
        <x:v>947</x:v>
      </x:c>
      <x:c r="O15" s="90" t="n">
        <x:v>6.42</x:v>
      </x:c>
      <x:c r="P15" s="150" t="n">
        <x:v>3.92</x:v>
      </x:c>
      <x:c r="Q15" s="86" t="n">
        <x:v>21</x:v>
      </x:c>
      <x:c r="R15" s="32"/>
      <x:c r="S15" s="32" t="str">
        <x:v>ok</x:v>
      </x:c>
      <x:c r="T15" s="32" t="str">
        <x:v>ok</x:v>
      </x:c>
      <x:c r="U15" s="32" t="str">
        <x:v>ok</x:v>
      </x:c>
      <x:c r="V15" s="32" t="str">
        <x:v>ok</x:v>
      </x:c>
      <x:c r="W15" s="154" t="str">
        <x:v>{"schema_version":1,"imei":"862323089930712","timestamp":1786014953,"report_sequence":1,"task_version":"rice_tension_soil_demo","sensor_mode":"tension_soil","soil_moisture_percent":39.3,"soil_temperature_c":25.4,"soil_ec_us_cm":947,"soil_ph":6.42,"battery_mv":3920,"csq":21,"soil_rs485_status":"ok","cycle_status":"ok","soil_tension_kpa":-37.3,"soil_tension_rs485_status":"ok"}</x:v>
      </x:c>
    </x:row>
    <x:row r="16">
      <x:c r="A16" s="72" t="n">
        <x:v>46240.80269675926</x:v>
      </x:c>
      <x:c r="B16" s="72" t="n">
        <x:v>46240.802710648146</x:v>
      </x:c>
      <x:c r="C16" s="32" t="str">
        <x:v>P13</x:v>
      </x:c>
      <x:c r="D16" s="32" t="str">
        <x:v>B3-W0-V1</x:v>
      </x:c>
      <x:c r="E16" s="32" t="str">
        <x:v>B3</x:v>
      </x:c>
      <x:c r="F16" s="32" t="str">
        <x:v>W0</x:v>
      </x:c>
      <x:c r="G16" s="32" t="str">
        <x:v>V1</x:v>
      </x:c>
      <x:c r="H16" s="32" t="str">
        <x:v>water_soil</x:v>
      </x:c>
      <x:c r="I16" s="32" t="str">
        <x:v>862323089930713</x:v>
      </x:c>
      <x:c r="J16" s="82" t="n">
        <x:v>33.2</x:v>
      </x:c>
      <x:c r="K16" s="82"/>
      <x:c r="L16" s="82" t="n">
        <x:v>39.9</x:v>
      </x:c>
      <x:c r="M16" s="82" t="n">
        <x:v>25.3</x:v>
      </x:c>
      <x:c r="N16" s="86" t="n">
        <x:v>951</x:v>
      </x:c>
      <x:c r="O16" s="90" t="n">
        <x:v>6.46</x:v>
      </x:c>
      <x:c r="P16" s="150" t="n">
        <x:v>3.938</x:v>
      </x:c>
      <x:c r="Q16" s="86" t="n">
        <x:v>22</x:v>
      </x:c>
      <x:c r="R16" s="32" t="str">
        <x:v>ok</x:v>
      </x:c>
      <x:c r="S16" s="32"/>
      <x:c r="T16" s="32" t="str">
        <x:v>ok</x:v>
      </x:c>
      <x:c r="U16" s="32" t="str">
        <x:v>ok</x:v>
      </x:c>
      <x:c r="V16" s="32" t="str">
        <x:v>ok</x:v>
      </x:c>
      <x:c r="W16" s="154" t="str">
        <x:v>{"schema_version":1,"imei":"862323089930713","timestamp":1786014953,"report_sequence":1,"task_version":"rice_w0_water_soil_demo","sensor_mode":"water_soil","soil_moisture_percent":39.9,"soil_temperature_c":25.3,"soil_ec_us_cm":951,"soil_ph":6.46,"battery_mv":3938,"csq":22,"soil_rs485_status":"ok","cycle_status":"ok","water_level_mm":33.2,"water_4_20ma_status":"ok"}</x:v>
      </x:c>
    </x:row>
    <x:row r="17">
      <x:c r="A17" s="72" t="n">
        <x:v>46240.80269675926</x:v>
      </x:c>
      <x:c r="B17" s="72" t="n">
        <x:v>46240.802710648146</x:v>
      </x:c>
      <x:c r="C17" s="32" t="str">
        <x:v>P14</x:v>
      </x:c>
      <x:c r="D17" s="32" t="str">
        <x:v>B3-W0-V2</x:v>
      </x:c>
      <x:c r="E17" s="32" t="str">
        <x:v>B3</x:v>
      </x:c>
      <x:c r="F17" s="32" t="str">
        <x:v>W0</x:v>
      </x:c>
      <x:c r="G17" s="32" t="str">
        <x:v>V2</x:v>
      </x:c>
      <x:c r="H17" s="32" t="str">
        <x:v>water_soil</x:v>
      </x:c>
      <x:c r="I17" s="32" t="str">
        <x:v>862323089930714</x:v>
      </x:c>
      <x:c r="J17" s="82" t="n">
        <x:v>35</x:v>
      </x:c>
      <x:c r="K17" s="82"/>
      <x:c r="L17" s="82" t="n">
        <x:v>40.4</x:v>
      </x:c>
      <x:c r="M17" s="82" t="n">
        <x:v>25.2</x:v>
      </x:c>
      <x:c r="N17" s="86" t="n">
        <x:v>955</x:v>
      </x:c>
      <x:c r="O17" s="90" t="n">
        <x:v>6.51</x:v>
      </x:c>
      <x:c r="P17" s="150" t="n">
        <x:v>3.956</x:v>
      </x:c>
      <x:c r="Q17" s="86" t="n">
        <x:v>23</x:v>
      </x:c>
      <x:c r="R17" s="32" t="str">
        <x:v>ok</x:v>
      </x:c>
      <x:c r="S17" s="32"/>
      <x:c r="T17" s="32" t="str">
        <x:v>ok</x:v>
      </x:c>
      <x:c r="U17" s="32" t="str">
        <x:v>ok</x:v>
      </x:c>
      <x:c r="V17" s="32" t="str">
        <x:v>ok</x:v>
      </x:c>
      <x:c r="W17" s="154" t="str">
        <x:v>{"schema_version":1,"imei":"862323089930714","timestamp":1786014953,"report_sequence":1,"task_version":"rice_w0_water_soil_demo","sensor_mode":"water_soil","soil_moisture_percent":40.4,"soil_temperature_c":25.2,"soil_ec_us_cm":955,"soil_ph":6.51,"battery_mv":3956,"csq":23,"soil_rs485_status":"ok","cycle_status":"ok","water_level_mm":35,"water_4_20ma_status":"ok"}</x:v>
      </x:c>
    </x:row>
    <x:row r="18">
      <x:c r="A18" s="72" t="n">
        <x:v>46240.80269675926</x:v>
      </x:c>
      <x:c r="B18" s="72" t="n">
        <x:v>46240.802710648146</x:v>
      </x:c>
      <x:c r="C18" s="32" t="str">
        <x:v>P15</x:v>
      </x:c>
      <x:c r="D18" s="32" t="str">
        <x:v>B3-W1-V1</x:v>
      </x:c>
      <x:c r="E18" s="32" t="str">
        <x:v>B3</x:v>
      </x:c>
      <x:c r="F18" s="32" t="str">
        <x:v>W1</x:v>
      </x:c>
      <x:c r="G18" s="32" t="str">
        <x:v>V1</x:v>
      </x:c>
      <x:c r="H18" s="32" t="str">
        <x:v>tension_soil</x:v>
      </x:c>
      <x:c r="I18" s="32" t="str">
        <x:v>862323089930715</x:v>
      </x:c>
      <x:c r="J18" s="82"/>
      <x:c r="K18" s="82" t="n">
        <x:v>-22.9</x:v>
      </x:c>
      <x:c r="L18" s="82" t="n">
        <x:v>40.9</x:v>
      </x:c>
      <x:c r="M18" s="82" t="n">
        <x:v>25.1</x:v>
      </x:c>
      <x:c r="N18" s="86" t="n">
        <x:v>959</x:v>
      </x:c>
      <x:c r="O18" s="90" t="n">
        <x:v>6.3</x:v>
      </x:c>
      <x:c r="P18" s="150" t="n">
        <x:v>3.974</x:v>
      </x:c>
      <x:c r="Q18" s="86" t="n">
        <x:v>24</x:v>
      </x:c>
      <x:c r="R18" s="32"/>
      <x:c r="S18" s="32" t="str">
        <x:v>ok</x:v>
      </x:c>
      <x:c r="T18" s="32" t="str">
        <x:v>ok</x:v>
      </x:c>
      <x:c r="U18" s="32" t="str">
        <x:v>ok</x:v>
      </x:c>
      <x:c r="V18" s="32" t="str">
        <x:v>ok</x:v>
      </x:c>
      <x:c r="W18" s="154" t="str">
        <x:v>{"schema_version":1,"imei":"862323089930715","timestamp":1786014953,"report_sequence":1,"task_version":"rice_tension_soil_demo","sensor_mode":"tension_soil","soil_moisture_percent":40.9,"soil_temperature_c":25.1,"soil_ec_us_cm":959,"soil_ph":6.3,"battery_mv":3974,"csq":24,"soil_rs485_status":"ok","cycle_status":"ok","soil_tension_kpa":-22.9,"soil_tension_rs485_status":"ok"}</x:v>
      </x:c>
    </x:row>
    <x:row r="19">
      <x:c r="A19" s="72" t="n">
        <x:v>46240.80269675926</x:v>
      </x:c>
      <x:c r="B19" s="72" t="n">
        <x:v>46240.802710648146</x:v>
      </x:c>
      <x:c r="C19" s="32" t="str">
        <x:v>P16</x:v>
      </x:c>
      <x:c r="D19" s="32" t="str">
        <x:v>B3-W1-V2</x:v>
      </x:c>
      <x:c r="E19" s="32" t="str">
        <x:v>B3</x:v>
      </x:c>
      <x:c r="F19" s="32" t="str">
        <x:v>W1</x:v>
      </x:c>
      <x:c r="G19" s="32" t="str">
        <x:v>V2</x:v>
      </x:c>
      <x:c r="H19" s="32" t="str">
        <x:v>tension_soil</x:v>
      </x:c>
      <x:c r="I19" s="32" t="str">
        <x:v>862323089930716</x:v>
      </x:c>
      <x:c r="J19" s="82"/>
      <x:c r="K19" s="82" t="n">
        <x:v>-23.4</x:v>
      </x:c>
      <x:c r="L19" s="82" t="n">
        <x:v>33.4</x:v>
      </x:c>
      <x:c r="M19" s="82" t="n">
        <x:v>25</x:v>
      </x:c>
      <x:c r="N19" s="86" t="n">
        <x:v>962</x:v>
      </x:c>
      <x:c r="O19" s="90" t="n">
        <x:v>6.34</x:v>
      </x:c>
      <x:c r="P19" s="150" t="n">
        <x:v>3.992</x:v>
      </x:c>
      <x:c r="Q19" s="86" t="n">
        <x:v>17</x:v>
      </x:c>
      <x:c r="R19" s="32"/>
      <x:c r="S19" s="32" t="str">
        <x:v>ok</x:v>
      </x:c>
      <x:c r="T19" s="32" t="str">
        <x:v>ok</x:v>
      </x:c>
      <x:c r="U19" s="32" t="str">
        <x:v>ok</x:v>
      </x:c>
      <x:c r="V19" s="32" t="str">
        <x:v>ok</x:v>
      </x:c>
      <x:c r="W19" s="154" t="str">
        <x:v>{"schema_version":1,"imei":"862323089930716","timestamp":1786014953,"report_sequence":1,"task_version":"rice_tension_soil_demo","sensor_mode":"tension_soil","soil_moisture_percent":33.4,"soil_temperature_c":25,"soil_ec_us_cm":962,"soil_ph":6.34,"battery_mv":3992,"csq":17,"soil_rs485_status":"ok","cycle_status":"ok","soil_tension_kpa":-23.4,"soil_tension_rs485_status":"ok"}</x:v>
      </x:c>
    </x:row>
    <x:row r="20">
      <x:c r="A20" s="72" t="n">
        <x:v>46240.80269675926</x:v>
      </x:c>
      <x:c r="B20" s="72" t="n">
        <x:v>46240.802710648146</x:v>
      </x:c>
      <x:c r="C20" s="32" t="str">
        <x:v>P17</x:v>
      </x:c>
      <x:c r="D20" s="32" t="str">
        <x:v>B3-W2-V1</x:v>
      </x:c>
      <x:c r="E20" s="32" t="str">
        <x:v>B3</x:v>
      </x:c>
      <x:c r="F20" s="32" t="str">
        <x:v>W2</x:v>
      </x:c>
      <x:c r="G20" s="32" t="str">
        <x:v>V1</x:v>
      </x:c>
      <x:c r="H20" s="32" t="str">
        <x:v>tension_soil</x:v>
      </x:c>
      <x:c r="I20" s="32" t="str">
        <x:v>862323089930717</x:v>
      </x:c>
      <x:c r="J20" s="82"/>
      <x:c r="K20" s="82" t="n">
        <x:v>-35</x:v>
      </x:c>
      <x:c r="L20" s="82" t="n">
        <x:v>34</x:v>
      </x:c>
      <x:c r="M20" s="82" t="n">
        <x:v>24.8</x:v>
      </x:c>
      <x:c r="N20" s="86" t="n">
        <x:v>966</x:v>
      </x:c>
      <x:c r="O20" s="90" t="n">
        <x:v>6.38</x:v>
      </x:c>
      <x:c r="P20" s="150" t="n">
        <x:v>4.01</x:v>
      </x:c>
      <x:c r="Q20" s="86" t="n">
        <x:v>18</x:v>
      </x:c>
      <x:c r="R20" s="32"/>
      <x:c r="S20" s="32" t="str">
        <x:v>ok</x:v>
      </x:c>
      <x:c r="T20" s="32" t="str">
        <x:v>ok</x:v>
      </x:c>
      <x:c r="U20" s="32" t="str">
        <x:v>ok</x:v>
      </x:c>
      <x:c r="V20" s="32" t="str">
        <x:v>ok</x:v>
      </x:c>
      <x:c r="W20" s="154" t="str">
        <x:v>{"schema_version":1,"imei":"862323089930717","timestamp":1786014953,"report_sequence":1,"task_version":"rice_tension_soil_demo","sensor_mode":"tension_soil","soil_moisture_percent":34,"soil_temperature_c":24.8,"soil_ec_us_cm":966,"soil_ph":6.38,"battery_mv":4010,"csq":18,"soil_rs485_status":"ok","cycle_status":"ok","soil_tension_kpa":-35,"soil_tension_rs485_status":"ok"}</x:v>
      </x:c>
    </x:row>
    <x:row r="21">
      <x:c r="A21" s="72" t="n">
        <x:v>46240.80269675926</x:v>
      </x:c>
      <x:c r="B21" s="72" t="n">
        <x:v>46240.802710648146</x:v>
      </x:c>
      <x:c r="C21" s="32" t="str">
        <x:v>P18</x:v>
      </x:c>
      <x:c r="D21" s="32" t="str">
        <x:v>B3-W2-V2</x:v>
      </x:c>
      <x:c r="E21" s="32" t="str">
        <x:v>B3</x:v>
      </x:c>
      <x:c r="F21" s="32" t="str">
        <x:v>W2</x:v>
      </x:c>
      <x:c r="G21" s="32" t="str">
        <x:v>V2</x:v>
      </x:c>
      <x:c r="H21" s="32" t="str">
        <x:v>tension_soil</x:v>
      </x:c>
      <x:c r="I21" s="32" t="str">
        <x:v>862323089930718</x:v>
      </x:c>
      <x:c r="J21" s="82"/>
      <x:c r="K21" s="82" t="n">
        <x:v>-35.6</x:v>
      </x:c>
      <x:c r="L21" s="82" t="n">
        <x:v>34.6</x:v>
      </x:c>
      <x:c r="M21" s="82" t="n">
        <x:v>24.7</x:v>
      </x:c>
      <x:c r="N21" s="86" t="n">
        <x:v>971</x:v>
      </x:c>
      <x:c r="O21" s="90" t="n">
        <x:v>6.43</x:v>
      </x:c>
      <x:c r="P21" s="150" t="n">
        <x:v>3.92</x:v>
      </x:c>
      <x:c r="Q21" s="86" t="n">
        <x:v>19</x:v>
      </x:c>
      <x:c r="R21" s="32"/>
      <x:c r="S21" s="32" t="str">
        <x:v>ok</x:v>
      </x:c>
      <x:c r="T21" s="32" t="str">
        <x:v>ok</x:v>
      </x:c>
      <x:c r="U21" s="32" t="str">
        <x:v>ok</x:v>
      </x:c>
      <x:c r="V21" s="32" t="str">
        <x:v>ok</x:v>
      </x:c>
      <x:c r="W21" s="154" t="str">
        <x:v>{"schema_version":1,"imei":"862323089930718","timestamp":1786014953,"report_sequence":1,"task_version":"rice_tension_soil_demo","sensor_mode":"tension_soil","soil_moisture_percent":34.6,"soil_temperature_c":24.7,"soil_ec_us_cm":971,"soil_ph":6.43,"battery_mv":3920,"csq":19,"soil_rs485_status":"ok","cycle_status":"ok","soil_tension_kpa":-35.6,"soil_tension_rs485_status":"ok"}</x:v>
      </x:c>
    </x:row>
    <x:row r="22">
      <x:c r="A22" s="72" t="n">
        <x:v>46240.80269675926</x:v>
      </x:c>
      <x:c r="B22" s="72" t="n">
        <x:v>46240.802710648146</x:v>
      </x:c>
      <x:c r="C22" s="32" t="str">
        <x:v>P19</x:v>
      </x:c>
      <x:c r="D22" s="32" t="str">
        <x:v>B4-W0-V1</x:v>
      </x:c>
      <x:c r="E22" s="32" t="str">
        <x:v>B4</x:v>
      </x:c>
      <x:c r="F22" s="32" t="str">
        <x:v>W0</x:v>
      </x:c>
      <x:c r="G22" s="32" t="str">
        <x:v>V1</x:v>
      </x:c>
      <x:c r="H22" s="32" t="str">
        <x:v>water_soil</x:v>
      </x:c>
      <x:c r="I22" s="32" t="str">
        <x:v>862323089930719</x:v>
      </x:c>
      <x:c r="J22" s="82" t="n">
        <x:v>32.7</x:v>
      </x:c>
      <x:c r="K22" s="82"/>
      <x:c r="L22" s="82" t="n">
        <x:v>35.3</x:v>
      </x:c>
      <x:c r="M22" s="82" t="n">
        <x:v>24.7</x:v>
      </x:c>
      <x:c r="N22" s="86" t="n">
        <x:v>978</x:v>
      </x:c>
      <x:c r="O22" s="90" t="n">
        <x:v>6.47</x:v>
      </x:c>
      <x:c r="P22" s="150" t="n">
        <x:v>3.938</x:v>
      </x:c>
      <x:c r="Q22" s="86" t="n">
        <x:v>20</x:v>
      </x:c>
      <x:c r="R22" s="32" t="str">
        <x:v>ok</x:v>
      </x:c>
      <x:c r="S22" s="32"/>
      <x:c r="T22" s="32" t="str">
        <x:v>ok</x:v>
      </x:c>
      <x:c r="U22" s="32" t="str">
        <x:v>ok</x:v>
      </x:c>
      <x:c r="V22" s="32" t="str">
        <x:v>ok</x:v>
      </x:c>
      <x:c r="W22" s="154" t="str">
        <x:v>{"schema_version":1,"imei":"862323089930719","timestamp":1786014953,"report_sequence":1,"task_version":"rice_w0_water_soil_demo","sensor_mode":"water_soil","soil_moisture_percent":35.3,"soil_temperature_c":24.7,"soil_ec_us_cm":978,"soil_ph":6.47,"battery_mv":3938,"csq":20,"soil_rs485_status":"ok","cycle_status":"ok","water_level_mm":32.7,"water_4_20ma_status":"ok"}</x:v>
      </x:c>
    </x:row>
    <x:row r="23">
      <x:c r="A23" s="72" t="n">
        <x:v>46240.80269675926</x:v>
      </x:c>
      <x:c r="B23" s="72" t="n">
        <x:v>46240.802710648146</x:v>
      </x:c>
      <x:c r="C23" s="32" t="str">
        <x:v>P20</x:v>
      </x:c>
      <x:c r="D23" s="32" t="str">
        <x:v>B4-W0-V2</x:v>
      </x:c>
      <x:c r="E23" s="32" t="str">
        <x:v>B4</x:v>
      </x:c>
      <x:c r="F23" s="32" t="str">
        <x:v>W0</x:v>
      </x:c>
      <x:c r="G23" s="32" t="str">
        <x:v>V2</x:v>
      </x:c>
      <x:c r="H23" s="32" t="str">
        <x:v>water_soil</x:v>
      </x:c>
      <x:c r="I23" s="32" t="str">
        <x:v>862323089930720</x:v>
      </x:c>
      <x:c r="J23" s="82" t="n">
        <x:v>23.2</x:v>
      </x:c>
      <x:c r="K23" s="82"/>
      <x:c r="L23" s="82" t="n">
        <x:v>36.1</x:v>
      </x:c>
      <x:c r="M23" s="82" t="n">
        <x:v>24.6</x:v>
      </x:c>
      <x:c r="N23" s="86" t="n">
        <x:v>986</x:v>
      </x:c>
      <x:c r="O23" s="90" t="n">
        <x:v>6.27</x:v>
      </x:c>
      <x:c r="P23" s="150" t="n">
        <x:v>3.956</x:v>
      </x:c>
      <x:c r="Q23" s="86" t="n">
        <x:v>21</x:v>
      </x:c>
      <x:c r="R23" s="32" t="str">
        <x:v>ok</x:v>
      </x:c>
      <x:c r="S23" s="32"/>
      <x:c r="T23" s="32" t="str">
        <x:v>ok</x:v>
      </x:c>
      <x:c r="U23" s="32" t="str">
        <x:v>ok</x:v>
      </x:c>
      <x:c r="V23" s="32" t="str">
        <x:v>ok</x:v>
      </x:c>
      <x:c r="W23" s="154" t="str">
        <x:v>{"schema_version":1,"imei":"862323089930720","timestamp":1786014953,"report_sequence":1,"task_version":"rice_w0_water_soil_demo","sensor_mode":"water_soil","soil_moisture_percent":36.1,"soil_temperature_c":24.6,"soil_ec_us_cm":986,"soil_ph":6.27,"battery_mv":3956,"csq":21,"soil_rs485_status":"ok","cycle_status":"ok","water_level_mm":23.2,"water_4_20ma_status":"ok"}</x:v>
      </x:c>
    </x:row>
    <x:row r="24">
      <x:c r="A24" s="72" t="n">
        <x:v>46240.80269675926</x:v>
      </x:c>
      <x:c r="B24" s="72" t="n">
        <x:v>46240.802710648146</x:v>
      </x:c>
      <x:c r="C24" s="32" t="str">
        <x:v>P21</x:v>
      </x:c>
      <x:c r="D24" s="32" t="str">
        <x:v>B4-W1-V1</x:v>
      </x:c>
      <x:c r="E24" s="32" t="str">
        <x:v>B4</x:v>
      </x:c>
      <x:c r="F24" s="32" t="str">
        <x:v>W1</x:v>
      </x:c>
      <x:c r="G24" s="32" t="str">
        <x:v>V1</x:v>
      </x:c>
      <x:c r="H24" s="32" t="str">
        <x:v>tension_soil</x:v>
      </x:c>
      <x:c r="I24" s="32" t="str">
        <x:v>862323089930721</x:v>
      </x:c>
      <x:c r="J24" s="82"/>
      <x:c r="K24" s="82" t="n">
        <x:v>-22</x:v>
      </x:c>
      <x:c r="L24" s="82" t="n">
        <x:v>37</x:v>
      </x:c>
      <x:c r="M24" s="82" t="n">
        <x:v>24.6</x:v>
      </x:c>
      <x:c r="N24" s="86" t="n">
        <x:v>997</x:v>
      </x:c>
      <x:c r="O24" s="90" t="n">
        <x:v>6.32</x:v>
      </x:c>
      <x:c r="P24" s="150" t="n">
        <x:v>3.974</x:v>
      </x:c>
      <x:c r="Q24" s="86" t="n">
        <x:v>22</x:v>
      </x:c>
      <x:c r="R24" s="32"/>
      <x:c r="S24" s="32" t="str">
        <x:v>ok</x:v>
      </x:c>
      <x:c r="T24" s="32" t="str">
        <x:v>ok</x:v>
      </x:c>
      <x:c r="U24" s="32" t="str">
        <x:v>ok</x:v>
      </x:c>
      <x:c r="V24" s="32" t="str">
        <x:v>ok</x:v>
      </x:c>
      <x:c r="W24" s="154" t="str">
        <x:v>{"schema_version":1,"imei":"862323089930721","timestamp":1786014953,"report_sequence":1,"task_version":"rice_tension_soil_demo","sensor_mode":"tension_soil","soil_moisture_percent":37,"soil_temperature_c":24.6,"soil_ec_us_cm":997,"soil_ph":6.32,"battery_mv":3974,"csq":22,"soil_rs485_status":"ok","cycle_status":"ok","soil_tension_kpa":-22,"soil_tension_rs485_status":"ok"}</x:v>
      </x:c>
    </x:row>
    <x:row r="25">
      <x:c r="A25" s="72" t="n">
        <x:v>46240.80269675926</x:v>
      </x:c>
      <x:c r="B25" s="72" t="n">
        <x:v>46240.802710648146</x:v>
      </x:c>
      <x:c r="C25" s="32" t="str">
        <x:v>P22</x:v>
      </x:c>
      <x:c r="D25" s="32" t="str">
        <x:v>B4-W1-V2</x:v>
      </x:c>
      <x:c r="E25" s="32" t="str">
        <x:v>B4</x:v>
      </x:c>
      <x:c r="F25" s="32" t="str">
        <x:v>W1</x:v>
      </x:c>
      <x:c r="G25" s="32" t="str">
        <x:v>V2</x:v>
      </x:c>
      <x:c r="H25" s="32" t="str">
        <x:v>tension_soil</x:v>
      </x:c>
      <x:c r="I25" s="32" t="str">
        <x:v>862323089930722</x:v>
      </x:c>
      <x:c r="J25" s="82"/>
      <x:c r="K25" s="82" t="n">
        <x:v>-23</x:v>
      </x:c>
      <x:c r="L25" s="82" t="n">
        <x:v>38</x:v>
      </x:c>
      <x:c r="M25" s="82" t="n">
        <x:v>24.6</x:v>
      </x:c>
      <x:c r="N25" s="86" t="n">
        <x:v>1010</x:v>
      </x:c>
      <x:c r="O25" s="90" t="n">
        <x:v>6.37</x:v>
      </x:c>
      <x:c r="P25" s="150" t="n">
        <x:v>3.992</x:v>
      </x:c>
      <x:c r="Q25" s="86" t="n">
        <x:v>23</x:v>
      </x:c>
      <x:c r="R25" s="32"/>
      <x:c r="S25" s="32" t="str">
        <x:v>ok</x:v>
      </x:c>
      <x:c r="T25" s="32" t="str">
        <x:v>ok</x:v>
      </x:c>
      <x:c r="U25" s="32" t="str">
        <x:v>ok</x:v>
      </x:c>
      <x:c r="V25" s="32" t="str">
        <x:v>ok</x:v>
      </x:c>
      <x:c r="W25" s="154" t="str">
        <x:v>{"schema_version":1,"imei":"862323089930722","timestamp":1786014953,"report_sequence":1,"task_version":"rice_tension_soil_demo","sensor_mode":"tension_soil","soil_moisture_percent":38,"soil_temperature_c":24.6,"soil_ec_us_cm":1010,"soil_ph":6.37,"battery_mv":3992,"csq":23,"soil_rs485_status":"ok","cycle_status":"ok","soil_tension_kpa":-23,"soil_tension_rs485_status":"ok"}</x:v>
      </x:c>
    </x:row>
    <x:row r="26">
      <x:c r="A26" s="72" t="n">
        <x:v>46240.80269675926</x:v>
      </x:c>
      <x:c r="B26" s="72" t="n">
        <x:v>46240.802710648146</x:v>
      </x:c>
      <x:c r="C26" s="32" t="str">
        <x:v>P23</x:v>
      </x:c>
      <x:c r="D26" s="32" t="str">
        <x:v>B4-W2-V1</x:v>
      </x:c>
      <x:c r="E26" s="32" t="str">
        <x:v>B4</x:v>
      </x:c>
      <x:c r="F26" s="32" t="str">
        <x:v>W2</x:v>
      </x:c>
      <x:c r="G26" s="32" t="str">
        <x:v>V1</x:v>
      </x:c>
      <x:c r="H26" s="32" t="str">
        <x:v>tension_soil</x:v>
      </x:c>
      <x:c r="I26" s="32" t="str">
        <x:v>862323089930723</x:v>
      </x:c>
      <x:c r="J26" s="82"/>
      <x:c r="K26" s="82" t="n">
        <x:v>-35.2</x:v>
      </x:c>
      <x:c r="L26" s="82" t="n">
        <x:v>39.2</x:v>
      </x:c>
      <x:c r="M26" s="82" t="n">
        <x:v>24.7</x:v>
      </x:c>
      <x:c r="N26" s="86" t="n">
        <x:v>1025</x:v>
      </x:c>
      <x:c r="O26" s="90" t="n">
        <x:v>6.42</x:v>
      </x:c>
      <x:c r="P26" s="150" t="n">
        <x:v>4.01</x:v>
      </x:c>
      <x:c r="Q26" s="86" t="n">
        <x:v>24</x:v>
      </x:c>
      <x:c r="R26" s="32"/>
      <x:c r="S26" s="32" t="str">
        <x:v>ok</x:v>
      </x:c>
      <x:c r="T26" s="32" t="str">
        <x:v>ok</x:v>
      </x:c>
      <x:c r="U26" s="32" t="str">
        <x:v>ok</x:v>
      </x:c>
      <x:c r="V26" s="32" t="str">
        <x:v>ok</x:v>
      </x:c>
      <x:c r="W26" s="154" t="str">
        <x:v>{"schema_version":1,"imei":"862323089930723","timestamp":1786014953,"report_sequence":1,"task_version":"rice_tension_soil_demo","sensor_mode":"tension_soil","soil_moisture_percent":39.2,"soil_temperature_c":24.7,"soil_ec_us_cm":1025,"soil_ph":6.42,"battery_mv":4010,"csq":24,"soil_rs485_status":"ok","cycle_status":"ok","soil_tension_kpa":-35.2,"soil_tension_rs485_status":"ok"}</x:v>
      </x:c>
    </x:row>
    <x:row r="27">
      <x:c r="A27" s="72" t="n">
        <x:v>46240.80269675926</x:v>
      </x:c>
      <x:c r="B27" s="72" t="n">
        <x:v>46240.802710648146</x:v>
      </x:c>
      <x:c r="C27" s="32" t="str">
        <x:v>P24</x:v>
      </x:c>
      <x:c r="D27" s="32" t="str">
        <x:v>B4-W2-V2</x:v>
      </x:c>
      <x:c r="E27" s="32" t="str">
        <x:v>B4</x:v>
      </x:c>
      <x:c r="F27" s="32" t="str">
        <x:v>W2</x:v>
      </x:c>
      <x:c r="G27" s="32" t="str">
        <x:v>V2</x:v>
      </x:c>
      <x:c r="H27" s="32" t="str">
        <x:v>tension_soil</x:v>
      </x:c>
      <x:c r="I27" s="32" t="str">
        <x:v>862323089930724</x:v>
      </x:c>
      <x:c r="J27" s="82"/>
      <x:c r="K27" s="82" t="n">
        <x:v>-36.5</x:v>
      </x:c>
      <x:c r="L27" s="82" t="n">
        <x:v>32.5</x:v>
      </x:c>
      <x:c r="M27" s="82" t="n">
        <x:v>24.7</x:v>
      </x:c>
      <x:c r="N27" s="86" t="n">
        <x:v>1042</x:v>
      </x:c>
      <x:c r="O27" s="90" t="n">
        <x:v>6.48</x:v>
      </x:c>
      <x:c r="P27" s="150" t="n">
        <x:v>3.92</x:v>
      </x:c>
      <x:c r="Q27" s="86" t="n">
        <x:v>17</x:v>
      </x:c>
      <x:c r="R27" s="32"/>
      <x:c r="S27" s="32" t="str">
        <x:v>ok</x:v>
      </x:c>
      <x:c r="T27" s="32" t="str">
        <x:v>ok</x:v>
      </x:c>
      <x:c r="U27" s="32" t="str">
        <x:v>ok</x:v>
      </x:c>
      <x:c r="V27" s="32" t="str">
        <x:v>ok</x:v>
      </x:c>
      <x:c r="W27" s="154" t="str">
        <x:v>{"schema_version":1,"imei":"862323089930724","timestamp":1786014953,"report_sequence":1,"task_version":"rice_tension_soil_demo","sensor_mode":"tension_soil","soil_moisture_percent":32.5,"soil_temperature_c":24.7,"soil_ec_us_cm":1042,"soil_ph":6.48,"battery_mv":3920,"csq":17,"soil_rs485_status":"ok","cycle_status":"ok","soil_tension_kpa":-36.5,"soil_tension_rs485_status":"ok"}</x:v>
      </x:c>
    </x:row>
    <x:row r="28">
      <x:c r="A28" s="72" t="n">
        <x:v>46240.80616898148</x:v>
      </x:c>
      <x:c r="B28" s="72" t="n">
        <x:v>46240.80618287037</x:v>
      </x:c>
      <x:c r="C28" s="32" t="str">
        <x:v>P01</x:v>
      </x:c>
      <x:c r="D28" s="32" t="str">
        <x:v>B1-W0-V1</x:v>
      </x:c>
      <x:c r="E28" s="32" t="str">
        <x:v>B1</x:v>
      </x:c>
      <x:c r="F28" s="32" t="str">
        <x:v>W0</x:v>
      </x:c>
      <x:c r="G28" s="32" t="str">
        <x:v>V1</x:v>
      </x:c>
      <x:c r="H28" s="32" t="str">
        <x:v>water_soil</x:v>
      </x:c>
      <x:c r="I28" s="32" t="str">
        <x:v>862323089930701</x:v>
      </x:c>
      <x:c r="J28" s="82" t="n">
        <x:v>28.3</x:v>
      </x:c>
      <x:c r="K28" s="82"/>
      <x:c r="L28" s="82" t="n">
        <x:v>33.9</x:v>
      </x:c>
      <x:c r="M28" s="82" t="n">
        <x:v>24.8</x:v>
      </x:c>
      <x:c r="N28" s="86" t="n">
        <x:v>773</x:v>
      </x:c>
      <x:c r="O28" s="90" t="n">
        <x:v>6.33</x:v>
      </x:c>
      <x:c r="P28" s="150" t="n">
        <x:v>3.938</x:v>
      </x:c>
      <x:c r="Q28" s="86" t="n">
        <x:v>18</x:v>
      </x:c>
      <x:c r="R28" s="32" t="str">
        <x:v>ok</x:v>
      </x:c>
      <x:c r="S28" s="32"/>
      <x:c r="T28" s="32" t="str">
        <x:v>ok</x:v>
      </x:c>
      <x:c r="U28" s="32" t="str">
        <x:v>ok</x:v>
      </x:c>
      <x:c r="V28" s="32" t="str">
        <x:v>ok</x:v>
      </x:c>
      <x:c r="W28" s="154" t="str">
        <x:v>{"schema_version":1,"imei":"862323089930701","timestamp":1786015253,"report_sequence":2,"task_version":"rice_w0_water_soil_demo","sensor_mode":"water_soil","soil_moisture_percent":33.9,"soil_temperature_c":24.8,"soil_ec_us_cm":773,"soil_ph":6.33,"battery_mv":3938,"csq":18,"soil_rs485_status":"ok","cycle_status":"ok","water_level_mm":28.3,"water_4_20ma_status":"ok"}</x:v>
      </x:c>
    </x:row>
    <x:row r="29">
      <x:c r="A29" s="72" t="n">
        <x:v>46240.80616898148</x:v>
      </x:c>
      <x:c r="B29" s="72" t="n">
        <x:v>46240.80618287037</x:v>
      </x:c>
      <x:c r="C29" s="32" t="str">
        <x:v>P02</x:v>
      </x:c>
      <x:c r="D29" s="32" t="str">
        <x:v>B1-W0-V2</x:v>
      </x:c>
      <x:c r="E29" s="32" t="str">
        <x:v>B1</x:v>
      </x:c>
      <x:c r="F29" s="32" t="str">
        <x:v>W0</x:v>
      </x:c>
      <x:c r="G29" s="32" t="str">
        <x:v>V2</x:v>
      </x:c>
      <x:c r="H29" s="32" t="str">
        <x:v>water_soil</x:v>
      </x:c>
      <x:c r="I29" s="32" t="str">
        <x:v>862323089930702</x:v>
      </x:c>
      <x:c r="J29" s="82" t="n">
        <x:v>32.4</x:v>
      </x:c>
      <x:c r="K29" s="82"/>
      <x:c r="L29" s="82" t="n">
        <x:v>35.4</x:v>
      </x:c>
      <x:c r="M29" s="82" t="n">
        <x:v>24.9</x:v>
      </x:c>
      <x:c r="N29" s="86" t="n">
        <x:v>793</x:v>
      </x:c>
      <x:c r="O29" s="90" t="n">
        <x:v>6.39</x:v>
      </x:c>
      <x:c r="P29" s="150" t="n">
        <x:v>3.956</x:v>
      </x:c>
      <x:c r="Q29" s="86" t="n">
        <x:v>19</x:v>
      </x:c>
      <x:c r="R29" s="32" t="str">
        <x:v>ok</x:v>
      </x:c>
      <x:c r="S29" s="32"/>
      <x:c r="T29" s="32" t="str">
        <x:v>ok</x:v>
      </x:c>
      <x:c r="U29" s="32" t="str">
        <x:v>ok</x:v>
      </x:c>
      <x:c r="V29" s="32" t="str">
        <x:v>ok</x:v>
      </x:c>
      <x:c r="W29" s="154" t="str">
        <x:v>{"schema_version":1,"imei":"862323089930702","timestamp":1786015253,"report_sequence":2,"task_version":"rice_w0_water_soil_demo","sensor_mode":"water_soil","soil_moisture_percent":35.4,"soil_temperature_c":24.9,"soil_ec_us_cm":793,"soil_ph":6.39,"battery_mv":3956,"csq":19,"soil_rs485_status":"ok","cycle_status":"ok","water_level_mm":32.4,"water_4_20ma_status":"ok"}</x:v>
      </x:c>
    </x:row>
    <x:row r="30">
      <x:c r="A30" s="72" t="n">
        <x:v>46240.80616898148</x:v>
      </x:c>
      <x:c r="B30" s="72" t="n">
        <x:v>46240.80618287037</x:v>
      </x:c>
      <x:c r="C30" s="32" t="str">
        <x:v>P03</x:v>
      </x:c>
      <x:c r="D30" s="32" t="str">
        <x:v>B1-W1-V1</x:v>
      </x:c>
      <x:c r="E30" s="32" t="str">
        <x:v>B1</x:v>
      </x:c>
      <x:c r="F30" s="32" t="str">
        <x:v>W1</x:v>
      </x:c>
      <x:c r="G30" s="32" t="str">
        <x:v>V1</x:v>
      </x:c>
      <x:c r="H30" s="32" t="str">
        <x:v>tension_soil</x:v>
      </x:c>
      <x:c r="I30" s="32" t="str">
        <x:v>862323089930703</x:v>
      </x:c>
      <x:c r="J30" s="82"/>
      <x:c r="K30" s="82" t="n">
        <x:v>-25.9</x:v>
      </x:c>
      <x:c r="L30" s="82" t="n">
        <x:v>36.9</x:v>
      </x:c>
      <x:c r="M30" s="82" t="n">
        <x:v>25.1</x:v>
      </x:c>
      <x:c r="N30" s="86" t="n">
        <x:v>814</x:v>
      </x:c>
      <x:c r="O30" s="90" t="n">
        <x:v>6.45</x:v>
      </x:c>
      <x:c r="P30" s="150" t="n">
        <x:v>3.974</x:v>
      </x:c>
      <x:c r="Q30" s="86" t="n">
        <x:v>20</x:v>
      </x:c>
      <x:c r="R30" s="32"/>
      <x:c r="S30" s="32" t="str">
        <x:v>ok</x:v>
      </x:c>
      <x:c r="T30" s="32" t="str">
        <x:v>ok</x:v>
      </x:c>
      <x:c r="U30" s="32" t="str">
        <x:v>ok</x:v>
      </x:c>
      <x:c r="V30" s="32" t="str">
        <x:v>ok</x:v>
      </x:c>
      <x:c r="W30" s="154" t="str">
        <x:v>{"schema_version":1,"imei":"862323089930703","timestamp":1786015253,"report_sequence":2,"task_version":"rice_tension_soil_demo","sensor_mode":"tension_soil","soil_moisture_percent":36.9,"soil_temperature_c":25.1,"soil_ec_us_cm":814,"soil_ph":6.45,"battery_mv":3974,"csq":20,"soil_rs485_status":"ok","cycle_status":"ok","soil_tension_kpa":-25.9,"soil_tension_rs485_status":"ok"}</x:v>
      </x:c>
    </x:row>
    <x:row r="31">
      <x:c r="A31" s="72" t="n">
        <x:v>46240.80616898148</x:v>
      </x:c>
      <x:c r="B31" s="72" t="n">
        <x:v>46240.80618287037</x:v>
      </x:c>
      <x:c r="C31" s="32" t="str">
        <x:v>P04</x:v>
      </x:c>
      <x:c r="D31" s="32" t="str">
        <x:v>B1-W1-V2</x:v>
      </x:c>
      <x:c r="E31" s="32" t="str">
        <x:v>B1</x:v>
      </x:c>
      <x:c r="F31" s="32" t="str">
        <x:v>W1</x:v>
      </x:c>
      <x:c r="G31" s="32" t="str">
        <x:v>V2</x:v>
      </x:c>
      <x:c r="H31" s="32" t="str">
        <x:v>tension_soil</x:v>
      </x:c>
      <x:c r="I31" s="32" t="str">
        <x:v>862323089930704</x:v>
      </x:c>
      <x:c r="J31" s="82"/>
      <x:c r="K31" s="82" t="n">
        <x:v>-27.4</x:v>
      </x:c>
      <x:c r="L31" s="82" t="n">
        <x:v>38.4</x:v>
      </x:c>
      <x:c r="M31" s="82" t="n">
        <x:v>25.2</x:v>
      </x:c>
      <x:c r="N31" s="86" t="n">
        <x:v>834</x:v>
      </x:c>
      <x:c r="O31" s="90" t="n">
        <x:v>6.51</x:v>
      </x:c>
      <x:c r="P31" s="150" t="n">
        <x:v>3.992</x:v>
      </x:c>
      <x:c r="Q31" s="86" t="n">
        <x:v>21</x:v>
      </x:c>
      <x:c r="R31" s="32"/>
      <x:c r="S31" s="32" t="str">
        <x:v>ok</x:v>
      </x:c>
      <x:c r="T31" s="32" t="str">
        <x:v>ok</x:v>
      </x:c>
      <x:c r="U31" s="32" t="str">
        <x:v>ok</x:v>
      </x:c>
      <x:c r="V31" s="32" t="str">
        <x:v>ok</x:v>
      </x:c>
      <x:c r="W31" s="154" t="str">
        <x:v>{"schema_version":1,"imei":"862323089930704","timestamp":1786015253,"report_sequence":2,"task_version":"rice_tension_soil_demo","sensor_mode":"tension_soil","soil_moisture_percent":38.4,"soil_temperature_c":25.2,"soil_ec_us_cm":834,"soil_ph":6.51,"battery_mv":3992,"csq":21,"soil_rs485_status":"ok","cycle_status":"ok","soil_tension_kpa":-27.4,"soil_tension_rs485_status":"ok"}</x:v>
      </x:c>
    </x:row>
    <x:row r="32">
      <x:c r="A32" s="72" t="n">
        <x:v>46240.80616898148</x:v>
      </x:c>
      <x:c r="B32" s="72" t="n">
        <x:v>46240.80618287037</x:v>
      </x:c>
      <x:c r="C32" s="32" t="str">
        <x:v>P05</x:v>
      </x:c>
      <x:c r="D32" s="32" t="str">
        <x:v>B1-W2-V1</x:v>
      </x:c>
      <x:c r="E32" s="32" t="str">
        <x:v>B1</x:v>
      </x:c>
      <x:c r="F32" s="32" t="str">
        <x:v>W2</x:v>
      </x:c>
      <x:c r="G32" s="32" t="str">
        <x:v>V1</x:v>
      </x:c>
      <x:c r="H32" s="32" t="str">
        <x:v>tension_soil</x:v>
      </x:c>
      <x:c r="I32" s="32" t="str">
        <x:v>862323089930705</x:v>
      </x:c>
      <x:c r="J32" s="82"/>
      <x:c r="K32" s="82" t="n">
        <x:v>-34.8</x:v>
      </x:c>
      <x:c r="L32" s="82" t="n">
        <x:v>39.8</x:v>
      </x:c>
      <x:c r="M32" s="82" t="n">
        <x:v>25.3</x:v>
      </x:c>
      <x:c r="N32" s="86" t="n">
        <x:v>855</x:v>
      </x:c>
      <x:c r="O32" s="90" t="n">
        <x:v>6.31</x:v>
      </x:c>
      <x:c r="P32" s="150" t="n">
        <x:v>4.01</x:v>
      </x:c>
      <x:c r="Q32" s="86" t="n">
        <x:v>22</x:v>
      </x:c>
      <x:c r="R32" s="32"/>
      <x:c r="S32" s="32" t="str">
        <x:v>ok</x:v>
      </x:c>
      <x:c r="T32" s="32" t="str">
        <x:v>ok</x:v>
      </x:c>
      <x:c r="U32" s="32" t="str">
        <x:v>ok</x:v>
      </x:c>
      <x:c r="V32" s="32" t="str">
        <x:v>ok</x:v>
      </x:c>
      <x:c r="W32" s="154" t="str">
        <x:v>{"schema_version":1,"imei":"862323089930705","timestamp":1786015253,"report_sequence":2,"task_version":"rice_tension_soil_demo","sensor_mode":"tension_soil","soil_moisture_percent":39.8,"soil_temperature_c":25.3,"soil_ec_us_cm":855,"soil_ph":6.31,"battery_mv":4010,"csq":22,"soil_rs485_status":"ok","cycle_status":"ok","soil_tension_kpa":-34.8,"soil_tension_rs485_status":"ok"}</x:v>
      </x:c>
    </x:row>
    <x:row r="33">
      <x:c r="A33" s="72" t="n">
        <x:v>46240.80616898148</x:v>
      </x:c>
      <x:c r="B33" s="72" t="n">
        <x:v>46240.80618287037</x:v>
      </x:c>
      <x:c r="C33" s="32" t="str">
        <x:v>P06</x:v>
      </x:c>
      <x:c r="D33" s="32" t="str">
        <x:v>B1-W2-V2</x:v>
      </x:c>
      <x:c r="E33" s="32" t="str">
        <x:v>B1</x:v>
      </x:c>
      <x:c r="F33" s="32" t="str">
        <x:v>W2</x:v>
      </x:c>
      <x:c r="G33" s="32" t="str">
        <x:v>V2</x:v>
      </x:c>
      <x:c r="H33" s="32" t="str">
        <x:v>tension_soil</x:v>
      </x:c>
      <x:c r="I33" s="32" t="str">
        <x:v>862323089930706</x:v>
      </x:c>
      <x:c r="J33" s="82"/>
      <x:c r="K33" s="82" t="n">
        <x:v>-36.3</x:v>
      </x:c>
      <x:c r="L33" s="82" t="n">
        <x:v>41.3</x:v>
      </x:c>
      <x:c r="M33" s="82" t="n">
        <x:v>25.4</x:v>
      </x:c>
      <x:c r="N33" s="86" t="n">
        <x:v>874</x:v>
      </x:c>
      <x:c r="O33" s="90" t="n">
        <x:v>6.37</x:v>
      </x:c>
      <x:c r="P33" s="150" t="n">
        <x:v>3.92</x:v>
      </x:c>
      <x:c r="Q33" s="86" t="n">
        <x:v>23</x:v>
      </x:c>
      <x:c r="R33" s="32"/>
      <x:c r="S33" s="32" t="str">
        <x:v>ok</x:v>
      </x:c>
      <x:c r="T33" s="32" t="str">
        <x:v>ok</x:v>
      </x:c>
      <x:c r="U33" s="32" t="str">
        <x:v>ok</x:v>
      </x:c>
      <x:c r="V33" s="32" t="str">
        <x:v>ok</x:v>
      </x:c>
      <x:c r="W33" s="154" t="str">
        <x:v>{"schema_version":1,"imei":"862323089930706","timestamp":1786015253,"report_sequence":2,"task_version":"rice_tension_soil_demo","sensor_mode":"tension_soil","soil_moisture_percent":41.3,"soil_temperature_c":25.4,"soil_ec_us_cm":874,"soil_ph":6.37,"battery_mv":3920,"csq":23,"soil_rs485_status":"ok","cycle_status":"ok","soil_tension_kpa":-36.3,"soil_tension_rs485_status":"ok"}</x:v>
      </x:c>
    </x:row>
    <x:row r="34">
      <x:c r="A34" s="72" t="n">
        <x:v>46240.80616898148</x:v>
      </x:c>
      <x:c r="B34" s="72" t="n">
        <x:v>46240.80618287037</x:v>
      </x:c>
      <x:c r="C34" s="32" t="str">
        <x:v>P07</x:v>
      </x:c>
      <x:c r="D34" s="32" t="str">
        <x:v>B2-W0-V1</x:v>
      </x:c>
      <x:c r="E34" s="32" t="str">
        <x:v>B2</x:v>
      </x:c>
      <x:c r="F34" s="32" t="str">
        <x:v>W0</x:v>
      </x:c>
      <x:c r="G34" s="32" t="str">
        <x:v>V1</x:v>
      </x:c>
      <x:c r="H34" s="32" t="str">
        <x:v>water_soil</x:v>
      </x:c>
      <x:c r="I34" s="32" t="str">
        <x:v>862323089930707</x:v>
      </x:c>
      <x:c r="J34" s="82" t="n">
        <x:v>41</x:v>
      </x:c>
      <x:c r="K34" s="82"/>
      <x:c r="L34" s="82" t="n">
        <x:v>42.6</x:v>
      </x:c>
      <x:c r="M34" s="82" t="n">
        <x:v>25.5</x:v>
      </x:c>
      <x:c r="N34" s="86" t="n">
        <x:v>892</x:v>
      </x:c>
      <x:c r="O34" s="90" t="n">
        <x:v>6.42</x:v>
      </x:c>
      <x:c r="P34" s="150" t="n">
        <x:v>3.938</x:v>
      </x:c>
      <x:c r="Q34" s="86" t="n">
        <x:v>24</x:v>
      </x:c>
      <x:c r="R34" s="32" t="str">
        <x:v>ok</x:v>
      </x:c>
      <x:c r="S34" s="32"/>
      <x:c r="T34" s="32" t="str">
        <x:v>ok</x:v>
      </x:c>
      <x:c r="U34" s="32" t="str">
        <x:v>ok</x:v>
      </x:c>
      <x:c r="V34" s="32" t="str">
        <x:v>ok</x:v>
      </x:c>
      <x:c r="W34" s="154" t="str">
        <x:v>{"schema_version":1,"imei":"862323089930707","timestamp":1786015253,"report_sequence":2,"task_version":"rice_w0_water_soil_demo","sensor_mode":"water_soil","soil_moisture_percent":42.6,"soil_temperature_c":25.5,"soil_ec_us_cm":892,"soil_ph":6.42,"battery_mv":3938,"csq":24,"soil_rs485_status":"ok","cycle_status":"ok","water_level_mm":41,"water_4_20ma_status":"ok"}</x:v>
      </x:c>
    </x:row>
    <x:row r="35">
      <x:c r="A35" s="72" t="n">
        <x:v>46240.80616898148</x:v>
      </x:c>
      <x:c r="B35" s="72" t="n">
        <x:v>46240.80618287037</x:v>
      </x:c>
      <x:c r="C35" s="32" t="str">
        <x:v>P08</x:v>
      </x:c>
      <x:c r="D35" s="32" t="str">
        <x:v>B2-W0-V2</x:v>
      </x:c>
      <x:c r="E35" s="32" t="str">
        <x:v>B2</x:v>
      </x:c>
      <x:c r="F35" s="32" t="str">
        <x:v>W0</x:v>
      </x:c>
      <x:c r="G35" s="32" t="str">
        <x:v>V2</x:v>
      </x:c>
      <x:c r="H35" s="32" t="str">
        <x:v>water_soil</x:v>
      </x:c>
      <x:c r="I35" s="32" t="str">
        <x:v>862323089930708</x:v>
      </x:c>
      <x:c r="J35" s="82" t="n">
        <x:v>32.6</x:v>
      </x:c>
      <x:c r="K35" s="82"/>
      <x:c r="L35" s="82" t="n">
        <x:v>35.9</x:v>
      </x:c>
      <x:c r="M35" s="82" t="n">
        <x:v>25.6</x:v>
      </x:c>
      <x:c r="N35" s="86" t="n">
        <x:v>908</x:v>
      </x:c>
      <x:c r="O35" s="90" t="n">
        <x:v>6.48</x:v>
      </x:c>
      <x:c r="P35" s="150" t="n">
        <x:v>3.956</x:v>
      </x:c>
      <x:c r="Q35" s="86" t="n">
        <x:v>17</x:v>
      </x:c>
      <x:c r="R35" s="32" t="str">
        <x:v>ok</x:v>
      </x:c>
      <x:c r="S35" s="32"/>
      <x:c r="T35" s="32" t="str">
        <x:v>ok</x:v>
      </x:c>
      <x:c r="U35" s="32" t="str">
        <x:v>ok</x:v>
      </x:c>
      <x:c r="V35" s="32" t="str">
        <x:v>ok</x:v>
      </x:c>
      <x:c r="W35" s="154" t="str">
        <x:v>{"schema_version":1,"imei":"862323089930708","timestamp":1786015253,"report_sequence":2,"task_version":"rice_w0_water_soil_demo","sensor_mode":"water_soil","soil_moisture_percent":35.9,"soil_temperature_c":25.6,"soil_ec_us_cm":908,"soil_ph":6.48,"battery_mv":3956,"csq":17,"soil_rs485_status":"ok","cycle_status":"ok","water_level_mm":32.6,"water_4_20ma_status":"ok"}</x:v>
      </x:c>
    </x:row>
    <x:row r="36">
      <x:c r="A36" s="72" t="n">
        <x:v>46240.80616898148</x:v>
      </x:c>
      <x:c r="B36" s="72" t="n">
        <x:v>46240.80618287037</x:v>
      </x:c>
      <x:c r="C36" s="32" t="str">
        <x:v>P09</x:v>
      </x:c>
      <x:c r="D36" s="32" t="str">
        <x:v>B2-W1-V1</x:v>
      </x:c>
      <x:c r="E36" s="32" t="str">
        <x:v>B2</x:v>
      </x:c>
      <x:c r="F36" s="32" t="str">
        <x:v>W1</x:v>
      </x:c>
      <x:c r="G36" s="32" t="str">
        <x:v>V1</x:v>
      </x:c>
      <x:c r="H36" s="32" t="str">
        <x:v>tension_soil</x:v>
      </x:c>
      <x:c r="I36" s="32" t="str">
        <x:v>862323089930709</x:v>
      </x:c>
      <x:c r="J36" s="82"/>
      <x:c r="K36" s="82" t="n">
        <x:v>-29</x:v>
      </x:c>
      <x:c r="L36" s="82" t="n">
        <x:v>37</x:v>
      </x:c>
      <x:c r="M36" s="82" t="n">
        <x:v>25.6</x:v>
      </x:c>
      <x:c r="N36" s="86" t="n">
        <x:v>923</x:v>
      </x:c>
      <x:c r="O36" s="90" t="n">
        <x:v>6.53</x:v>
      </x:c>
      <x:c r="P36" s="150" t="n">
        <x:v>3.974</x:v>
      </x:c>
      <x:c r="Q36" s="86" t="n">
        <x:v>18</x:v>
      </x:c>
      <x:c r="R36" s="32"/>
      <x:c r="S36" s="32" t="str">
        <x:v>ok</x:v>
      </x:c>
      <x:c r="T36" s="32" t="str">
        <x:v>ok</x:v>
      </x:c>
      <x:c r="U36" s="32" t="str">
        <x:v>ok</x:v>
      </x:c>
      <x:c r="V36" s="32" t="str">
        <x:v>ok</x:v>
      </x:c>
      <x:c r="W36" s="154" t="str">
        <x:v>{"schema_version":1,"imei":"862323089930709","timestamp":1786015253,"report_sequence":2,"task_version":"rice_tension_soil_demo","sensor_mode":"tension_soil","soil_moisture_percent":37,"soil_temperature_c":25.6,"soil_ec_us_cm":923,"soil_ph":6.53,"battery_mv":3974,"csq":18,"soil_rs485_status":"ok","cycle_status":"ok","soil_tension_kpa":-29,"soil_tension_rs485_status":"ok"}</x:v>
      </x:c>
    </x:row>
    <x:row r="37">
      <x:c r="A37" s="72" t="n">
        <x:v>46240.80616898148</x:v>
      </x:c>
      <x:c r="B37" s="72" t="n">
        <x:v>46240.80618287037</x:v>
      </x:c>
      <x:c r="C37" s="32" t="str">
        <x:v>P10</x:v>
      </x:c>
      <x:c r="D37" s="32" t="str">
        <x:v>B2-W1-V2</x:v>
      </x:c>
      <x:c r="E37" s="32" t="str">
        <x:v>B2</x:v>
      </x:c>
      <x:c r="F37" s="32" t="str">
        <x:v>W1</x:v>
      </x:c>
      <x:c r="G37" s="32" t="str">
        <x:v>V2</x:v>
      </x:c>
      <x:c r="H37" s="32" t="str">
        <x:v>tension_soil</x:v>
      </x:c>
      <x:c r="I37" s="32" t="str">
        <x:v>862323089930710</x:v>
      </x:c>
      <x:c r="J37" s="82"/>
      <x:c r="K37" s="82" t="n">
        <x:v>-25</x:v>
      </x:c>
      <x:c r="L37" s="82" t="n">
        <x:v>38</x:v>
      </x:c>
      <x:c r="M37" s="82" t="n">
        <x:v>25.6</x:v>
      </x:c>
      <x:c r="N37" s="86" t="n">
        <x:v>935</x:v>
      </x:c>
      <x:c r="O37" s="90" t="n">
        <x:v>6.33</x:v>
      </x:c>
      <x:c r="P37" s="150" t="n">
        <x:v>3.992</x:v>
      </x:c>
      <x:c r="Q37" s="86" t="n">
        <x:v>19</x:v>
      </x:c>
      <x:c r="R37" s="32"/>
      <x:c r="S37" s="32" t="str">
        <x:v>ok</x:v>
      </x:c>
      <x:c r="T37" s="32" t="str">
        <x:v>ok</x:v>
      </x:c>
      <x:c r="U37" s="32" t="str">
        <x:v>ok</x:v>
      </x:c>
      <x:c r="V37" s="32" t="str">
        <x:v>ok</x:v>
      </x:c>
      <x:c r="W37" s="154" t="str">
        <x:v>{"schema_version":1,"imei":"862323089930710","timestamp":1786015253,"report_sequence":2,"task_version":"rice_tension_soil_demo","sensor_mode":"tension_soil","soil_moisture_percent":38,"soil_temperature_c":25.6,"soil_ec_us_cm":935,"soil_ph":6.33,"battery_mv":3992,"csq":19,"soil_rs485_status":"ok","cycle_status":"ok","soil_tension_kpa":-25,"soil_tension_rs485_status":"ok"}</x:v>
      </x:c>
    </x:row>
    <x:row r="38">
      <x:c r="A38" s="72" t="n">
        <x:v>46240.80616898148</x:v>
      </x:c>
      <x:c r="B38" s="72" t="n">
        <x:v>46240.80618287037</x:v>
      </x:c>
      <x:c r="C38" s="32" t="str">
        <x:v>P11</x:v>
      </x:c>
      <x:c r="D38" s="32" t="str">
        <x:v>B2-W2-V1</x:v>
      </x:c>
      <x:c r="E38" s="32" t="str">
        <x:v>B2</x:v>
      </x:c>
      <x:c r="F38" s="32" t="str">
        <x:v>W2</x:v>
      </x:c>
      <x:c r="G38" s="32" t="str">
        <x:v>V1</x:v>
      </x:c>
      <x:c r="H38" s="32" t="str">
        <x:v>tension_soil</x:v>
      </x:c>
      <x:c r="I38" s="32" t="str">
        <x:v>862323089930711</x:v>
      </x:c>
      <x:c r="J38" s="82"/>
      <x:c r="K38" s="82" t="n">
        <x:v>-36.9</x:v>
      </x:c>
      <x:c r="L38" s="82" t="n">
        <x:v>38.9</x:v>
      </x:c>
      <x:c r="M38" s="82" t="n">
        <x:v>25.6</x:v>
      </x:c>
      <x:c r="N38" s="86" t="n">
        <x:v>945</x:v>
      </x:c>
      <x:c r="O38" s="90" t="n">
        <x:v>6.38</x:v>
      </x:c>
      <x:c r="P38" s="150" t="n">
        <x:v>4.01</x:v>
      </x:c>
      <x:c r="Q38" s="86" t="n">
        <x:v>20</x:v>
      </x:c>
      <x:c r="R38" s="32"/>
      <x:c r="S38" s="32" t="str">
        <x:v>ok</x:v>
      </x:c>
      <x:c r="T38" s="32" t="str">
        <x:v>ok</x:v>
      </x:c>
      <x:c r="U38" s="32" t="str">
        <x:v>ok</x:v>
      </x:c>
      <x:c r="V38" s="32" t="str">
        <x:v>ok</x:v>
      </x:c>
      <x:c r="W38" s="154" t="str">
        <x:v>{"schema_version":1,"imei":"862323089930711","timestamp":1786015253,"report_sequence":2,"task_version":"rice_tension_soil_demo","sensor_mode":"tension_soil","soil_moisture_percent":38.9,"soil_temperature_c":25.6,"soil_ec_us_cm":945,"soil_ph":6.38,"battery_mv":4010,"csq":20,"soil_rs485_status":"ok","cycle_status":"ok","soil_tension_kpa":-36.9,"soil_tension_rs485_status":"ok"}</x:v>
      </x:c>
    </x:row>
    <x:row r="39">
      <x:c r="A39" s="72" t="n">
        <x:v>46240.80616898148</x:v>
      </x:c>
      <x:c r="B39" s="72" t="n">
        <x:v>46240.80618287037</x:v>
      </x:c>
      <x:c r="C39" s="32" t="str">
        <x:v>P12</x:v>
      </x:c>
      <x:c r="D39" s="32" t="str">
        <x:v>B2-W2-V2</x:v>
      </x:c>
      <x:c r="E39" s="32" t="str">
        <x:v>B2</x:v>
      </x:c>
      <x:c r="F39" s="32" t="str">
        <x:v>W2</x:v>
      </x:c>
      <x:c r="G39" s="32" t="str">
        <x:v>V2</x:v>
      </x:c>
      <x:c r="H39" s="32" t="str">
        <x:v>tension_soil</x:v>
      </x:c>
      <x:c r="I39" s="32" t="str">
        <x:v>862323089930712</x:v>
      </x:c>
      <x:c r="J39" s="82"/>
      <x:c r="K39" s="82" t="n">
        <x:v>-37.6</x:v>
      </x:c>
      <x:c r="L39" s="82" t="n">
        <x:v>39.6</x:v>
      </x:c>
      <x:c r="M39" s="82" t="n">
        <x:v>25.5</x:v>
      </x:c>
      <x:c r="N39" s="86" t="n">
        <x:v>953</x:v>
      </x:c>
      <x:c r="O39" s="90" t="n">
        <x:v>6.42</x:v>
      </x:c>
      <x:c r="P39" s="150" t="n">
        <x:v>3.92</x:v>
      </x:c>
      <x:c r="Q39" s="86" t="n">
        <x:v>21</x:v>
      </x:c>
      <x:c r="R39" s="32"/>
      <x:c r="S39" s="32" t="str">
        <x:v>ok</x:v>
      </x:c>
      <x:c r="T39" s="32" t="str">
        <x:v>ok</x:v>
      </x:c>
      <x:c r="U39" s="32" t="str">
        <x:v>ok</x:v>
      </x:c>
      <x:c r="V39" s="32" t="str">
        <x:v>ok</x:v>
      </x:c>
      <x:c r="W39" s="154" t="str">
        <x:v>{"schema_version":1,"imei":"862323089930712","timestamp":1786015253,"report_sequence":2,"task_version":"rice_tension_soil_demo","sensor_mode":"tension_soil","soil_moisture_percent":39.6,"soil_temperature_c":25.5,"soil_ec_us_cm":953,"soil_ph":6.42,"battery_mv":3920,"csq":21,"soil_rs485_status":"ok","cycle_status":"ok","soil_tension_kpa":-37.6,"soil_tension_rs485_status":"ok"}</x:v>
      </x:c>
    </x:row>
    <x:row r="40">
      <x:c r="A40" s="72" t="n">
        <x:v>46240.80616898148</x:v>
      </x:c>
      <x:c r="B40" s="72" t="n">
        <x:v>46240.80618287037</x:v>
      </x:c>
      <x:c r="C40" s="32" t="str">
        <x:v>P13</x:v>
      </x:c>
      <x:c r="D40" s="32" t="str">
        <x:v>B3-W0-V1</x:v>
      </x:c>
      <x:c r="E40" s="32" t="str">
        <x:v>B3</x:v>
      </x:c>
      <x:c r="F40" s="32" t="str">
        <x:v>W0</x:v>
      </x:c>
      <x:c r="G40" s="32" t="str">
        <x:v>V1</x:v>
      </x:c>
      <x:c r="H40" s="32" t="str">
        <x:v>water_soil</x:v>
      </x:c>
      <x:c r="I40" s="32" t="str">
        <x:v>862323089930713</x:v>
      </x:c>
      <x:c r="J40" s="82" t="n">
        <x:v>34.3</x:v>
      </x:c>
      <x:c r="K40" s="82"/>
      <x:c r="L40" s="82" t="n">
        <x:v>40.3</x:v>
      </x:c>
      <x:c r="M40" s="82" t="n">
        <x:v>25.4</x:v>
      </x:c>
      <x:c r="N40" s="86" t="n">
        <x:v>959</x:v>
      </x:c>
      <x:c r="O40" s="90" t="n">
        <x:v>6.47</x:v>
      </x:c>
      <x:c r="P40" s="150" t="n">
        <x:v>3.938</x:v>
      </x:c>
      <x:c r="Q40" s="86" t="n">
        <x:v>22</x:v>
      </x:c>
      <x:c r="R40" s="32" t="str">
        <x:v>ok</x:v>
      </x:c>
      <x:c r="S40" s="32"/>
      <x:c r="T40" s="32" t="str">
        <x:v>ok</x:v>
      </x:c>
      <x:c r="U40" s="32" t="str">
        <x:v>ok</x:v>
      </x:c>
      <x:c r="V40" s="32" t="str">
        <x:v>ok</x:v>
      </x:c>
      <x:c r="W40" s="154" t="str">
        <x:v>{"schema_version":1,"imei":"862323089930713","timestamp":1786015253,"report_sequence":2,"task_version":"rice_w0_water_soil_demo","sensor_mode":"water_soil","soil_moisture_percent":40.3,"soil_temperature_c":25.4,"soil_ec_us_cm":959,"soil_ph":6.47,"battery_mv":3938,"csq":22,"soil_rs485_status":"ok","cycle_status":"ok","water_level_mm":34.3,"water_4_20ma_status":"ok"}</x:v>
      </x:c>
    </x:row>
    <x:row r="41">
      <x:c r="A41" s="72" t="n">
        <x:v>46240.80616898148</x:v>
      </x:c>
      <x:c r="B41" s="72" t="n">
        <x:v>46240.80618287037</x:v>
      </x:c>
      <x:c r="C41" s="32" t="str">
        <x:v>P14</x:v>
      </x:c>
      <x:c r="D41" s="32" t="str">
        <x:v>B3-W0-V2</x:v>
      </x:c>
      <x:c r="E41" s="32" t="str">
        <x:v>B3</x:v>
      </x:c>
      <x:c r="F41" s="32" t="str">
        <x:v>W0</x:v>
      </x:c>
      <x:c r="G41" s="32" t="str">
        <x:v>V2</x:v>
      </x:c>
      <x:c r="H41" s="32" t="str">
        <x:v>water_soil</x:v>
      </x:c>
      <x:c r="I41" s="32" t="str">
        <x:v>862323089930714</x:v>
      </x:c>
      <x:c r="J41" s="82" t="n">
        <x:v>36.2</x:v>
      </x:c>
      <x:c r="K41" s="82"/>
      <x:c r="L41" s="82" t="n">
        <x:v>40.9</x:v>
      </x:c>
      <x:c r="M41" s="82" t="n">
        <x:v>25.3</x:v>
      </x:c>
      <x:c r="N41" s="86" t="n">
        <x:v>963</x:v>
      </x:c>
      <x:c r="O41" s="90" t="n">
        <x:v>6.51</x:v>
      </x:c>
      <x:c r="P41" s="150" t="n">
        <x:v>3.956</x:v>
      </x:c>
      <x:c r="Q41" s="86" t="n">
        <x:v>23</x:v>
      </x:c>
      <x:c r="R41" s="32" t="str">
        <x:v>ok</x:v>
      </x:c>
      <x:c r="S41" s="32"/>
      <x:c r="T41" s="32" t="str">
        <x:v>ok</x:v>
      </x:c>
      <x:c r="U41" s="32" t="str">
        <x:v>ok</x:v>
      </x:c>
      <x:c r="V41" s="32" t="str">
        <x:v>ok</x:v>
      </x:c>
      <x:c r="W41" s="154" t="str">
        <x:v>{"schema_version":1,"imei":"862323089930714","timestamp":1786015253,"report_sequence":2,"task_version":"rice_w0_water_soil_demo","sensor_mode":"water_soil","soil_moisture_percent":40.9,"soil_temperature_c":25.3,"soil_ec_us_cm":963,"soil_ph":6.51,"battery_mv":3956,"csq":23,"soil_rs485_status":"ok","cycle_status":"ok","water_level_mm":36.2,"water_4_20ma_status":"ok"}</x:v>
      </x:c>
    </x:row>
    <x:row r="42">
      <x:c r="A42" s="72" t="n">
        <x:v>46240.80616898148</x:v>
      </x:c>
      <x:c r="B42" s="72" t="n">
        <x:v>46240.80618287037</x:v>
      </x:c>
      <x:c r="C42" s="32" t="str">
        <x:v>P15</x:v>
      </x:c>
      <x:c r="D42" s="32" t="str">
        <x:v>B3-W1-V1</x:v>
      </x:c>
      <x:c r="E42" s="32" t="str">
        <x:v>B3</x:v>
      </x:c>
      <x:c r="F42" s="32" t="str">
        <x:v>W1</x:v>
      </x:c>
      <x:c r="G42" s="32" t="str">
        <x:v>V1</x:v>
      </x:c>
      <x:c r="H42" s="32" t="str">
        <x:v>tension_soil</x:v>
      </x:c>
      <x:c r="I42" s="32" t="str">
        <x:v>862323089930715</x:v>
      </x:c>
      <x:c r="J42" s="82"/>
      <x:c r="K42" s="82" t="n">
        <x:v>-23.4</x:v>
      </x:c>
      <x:c r="L42" s="82" t="n">
        <x:v>41.4</x:v>
      </x:c>
      <x:c r="M42" s="82" t="n">
        <x:v>25.2</x:v>
      </x:c>
      <x:c r="N42" s="86" t="n">
        <x:v>967</x:v>
      </x:c>
      <x:c r="O42" s="90" t="n">
        <x:v>6.31</x:v>
      </x:c>
      <x:c r="P42" s="150" t="n">
        <x:v>3.974</x:v>
      </x:c>
      <x:c r="Q42" s="86" t="n">
        <x:v>24</x:v>
      </x:c>
      <x:c r="R42" s="32"/>
      <x:c r="S42" s="32" t="str">
        <x:v>ok</x:v>
      </x:c>
      <x:c r="T42" s="32" t="str">
        <x:v>ok</x:v>
      </x:c>
      <x:c r="U42" s="32" t="str">
        <x:v>ok</x:v>
      </x:c>
      <x:c r="V42" s="32" t="str">
        <x:v>ok</x:v>
      </x:c>
      <x:c r="W42" s="154" t="str">
        <x:v>{"schema_version":1,"imei":"862323089930715","timestamp":1786015253,"report_sequence":2,"task_version":"rice_tension_soil_demo","sensor_mode":"tension_soil","soil_moisture_percent":41.4,"soil_temperature_c":25.2,"soil_ec_us_cm":967,"soil_ph":6.31,"battery_mv":3974,"csq":24,"soil_rs485_status":"ok","cycle_status":"ok","soil_tension_kpa":-23.4,"soil_tension_rs485_status":"ok"}</x:v>
      </x:c>
    </x:row>
    <x:row r="43">
      <x:c r="A43" s="72" t="n">
        <x:v>46240.80616898148</x:v>
      </x:c>
      <x:c r="B43" s="72" t="n">
        <x:v>46240.80618287037</x:v>
      </x:c>
      <x:c r="C43" s="32" t="str">
        <x:v>P16</x:v>
      </x:c>
      <x:c r="D43" s="32" t="str">
        <x:v>B3-W1-V2</x:v>
      </x:c>
      <x:c r="E43" s="32" t="str">
        <x:v>B3</x:v>
      </x:c>
      <x:c r="F43" s="32" t="str">
        <x:v>W1</x:v>
      </x:c>
      <x:c r="G43" s="32" t="str">
        <x:v>V2</x:v>
      </x:c>
      <x:c r="H43" s="32" t="str">
        <x:v>tension_soil</x:v>
      </x:c>
      <x:c r="I43" s="32" t="str">
        <x:v>862323089930716</x:v>
      </x:c>
      <x:c r="J43" s="82"/>
      <x:c r="K43" s="82" t="n">
        <x:v>-23.9</x:v>
      </x:c>
      <x:c r="L43" s="82" t="n">
        <x:v>33.9</x:v>
      </x:c>
      <x:c r="M43" s="82" t="n">
        <x:v>25.1</x:v>
      </x:c>
      <x:c r="N43" s="86" t="n">
        <x:v>971</x:v>
      </x:c>
      <x:c r="O43" s="90" t="n">
        <x:v>6.35</x:v>
      </x:c>
      <x:c r="P43" s="150" t="n">
        <x:v>3.992</x:v>
      </x:c>
      <x:c r="Q43" s="86" t="n">
        <x:v>17</x:v>
      </x:c>
      <x:c r="R43" s="32"/>
      <x:c r="S43" s="32" t="str">
        <x:v>ok</x:v>
      </x:c>
      <x:c r="T43" s="32" t="str">
        <x:v>ok</x:v>
      </x:c>
      <x:c r="U43" s="32" t="str">
        <x:v>ok</x:v>
      </x:c>
      <x:c r="V43" s="32" t="str">
        <x:v>ok</x:v>
      </x:c>
      <x:c r="W43" s="154" t="str">
        <x:v>{"schema_version":1,"imei":"862323089930716","timestamp":1786015253,"report_sequence":2,"task_version":"rice_tension_soil_demo","sensor_mode":"tension_soil","soil_moisture_percent":33.9,"soil_temperature_c":25.1,"soil_ec_us_cm":971,"soil_ph":6.35,"battery_mv":3992,"csq":17,"soil_rs485_status":"ok","cycle_status":"ok","soil_tension_kpa":-23.9,"soil_tension_rs485_status":"ok"}</x:v>
      </x:c>
    </x:row>
    <x:row r="44">
      <x:c r="A44" s="72" t="n">
        <x:v>46240.80616898148</x:v>
      </x:c>
      <x:c r="B44" s="72" t="n">
        <x:v>46240.80618287037</x:v>
      </x:c>
      <x:c r="C44" s="32" t="str">
        <x:v>P17</x:v>
      </x:c>
      <x:c r="D44" s="32" t="str">
        <x:v>B3-W2-V1</x:v>
      </x:c>
      <x:c r="E44" s="32" t="str">
        <x:v>B3</x:v>
      </x:c>
      <x:c r="F44" s="32" t="str">
        <x:v>W2</x:v>
      </x:c>
      <x:c r="G44" s="32" t="str">
        <x:v>V1</x:v>
      </x:c>
      <x:c r="H44" s="32" t="str">
        <x:v>tension_soil</x:v>
      </x:c>
      <x:c r="I44" s="32" t="str">
        <x:v>862323089930717</x:v>
      </x:c>
      <x:c r="J44" s="82"/>
      <x:c r="K44" s="82" t="n">
        <x:v>-35.4</x:v>
      </x:c>
      <x:c r="L44" s="82" t="n">
        <x:v>34.4</x:v>
      </x:c>
      <x:c r="M44" s="82" t="n">
        <x:v>25</x:v>
      </x:c>
      <x:c r="N44" s="86" t="n">
        <x:v>974</x:v>
      </x:c>
      <x:c r="O44" s="90" t="n">
        <x:v>6.39</x:v>
      </x:c>
      <x:c r="P44" s="150" t="n">
        <x:v>4.01</x:v>
      </x:c>
      <x:c r="Q44" s="86" t="n">
        <x:v>18</x:v>
      </x:c>
      <x:c r="R44" s="32"/>
      <x:c r="S44" s="32" t="str">
        <x:v>ok</x:v>
      </x:c>
      <x:c r="T44" s="32" t="str">
        <x:v>ok</x:v>
      </x:c>
      <x:c r="U44" s="32" t="str">
        <x:v>ok</x:v>
      </x:c>
      <x:c r="V44" s="32" t="str">
        <x:v>ok</x:v>
      </x:c>
      <x:c r="W44" s="154" t="str">
        <x:v>{"schema_version":1,"imei":"862323089930717","timestamp":1786015253,"report_sequence":2,"task_version":"rice_tension_soil_demo","sensor_mode":"tension_soil","soil_moisture_percent":34.4,"soil_temperature_c":25,"soil_ec_us_cm":974,"soil_ph":6.39,"battery_mv":4010,"csq":18,"soil_rs485_status":"ok","cycle_status":"ok","soil_tension_kpa":-35.4,"soil_tension_rs485_status":"ok"}</x:v>
      </x:c>
    </x:row>
    <x:row r="45">
      <x:c r="A45" s="72" t="n">
        <x:v>46240.80616898148</x:v>
      </x:c>
      <x:c r="B45" s="72" t="n">
        <x:v>46240.80618287037</x:v>
      </x:c>
      <x:c r="C45" s="32" t="str">
        <x:v>P18</x:v>
      </x:c>
      <x:c r="D45" s="32" t="str">
        <x:v>B3-W2-V2</x:v>
      </x:c>
      <x:c r="E45" s="32" t="str">
        <x:v>B3</x:v>
      </x:c>
      <x:c r="F45" s="32" t="str">
        <x:v>W2</x:v>
      </x:c>
      <x:c r="G45" s="32" t="str">
        <x:v>V2</x:v>
      </x:c>
      <x:c r="H45" s="32" t="str">
        <x:v>tension_soil</x:v>
      </x:c>
      <x:c r="I45" s="32" t="str">
        <x:v>862323089930718</x:v>
      </x:c>
      <x:c r="J45" s="82"/>
      <x:c r="K45" s="82" t="n">
        <x:v>-36</x:v>
      </x:c>
      <x:c r="L45" s="82" t="n">
        <x:v>35</x:v>
      </x:c>
      <x:c r="M45" s="82" t="n">
        <x:v>24.8</x:v>
      </x:c>
      <x:c r="N45" s="86" t="n">
        <x:v>978</x:v>
      </x:c>
      <x:c r="O45" s="90" t="n">
        <x:v>6.43</x:v>
      </x:c>
      <x:c r="P45" s="150" t="n">
        <x:v>3.92</x:v>
      </x:c>
      <x:c r="Q45" s="86" t="n">
        <x:v>19</x:v>
      </x:c>
      <x:c r="R45" s="32"/>
      <x:c r="S45" s="32" t="str">
        <x:v>ok</x:v>
      </x:c>
      <x:c r="T45" s="32" t="str">
        <x:v>ok</x:v>
      </x:c>
      <x:c r="U45" s="32" t="str">
        <x:v>ok</x:v>
      </x:c>
      <x:c r="V45" s="32" t="str">
        <x:v>ok</x:v>
      </x:c>
      <x:c r="W45" s="154" t="str">
        <x:v>{"schema_version":1,"imei":"862323089930718","timestamp":1786015253,"report_sequence":2,"task_version":"rice_tension_soil_demo","sensor_mode":"tension_soil","soil_moisture_percent":35,"soil_temperature_c":24.8,"soil_ec_us_cm":978,"soil_ph":6.43,"battery_mv":3920,"csq":19,"soil_rs485_status":"ok","cycle_status":"ok","soil_tension_kpa":-36,"soil_tension_rs485_status":"ok"}</x:v>
      </x:c>
    </x:row>
    <x:row r="46">
      <x:c r="A46" s="72" t="n">
        <x:v>46240.80616898148</x:v>
      </x:c>
      <x:c r="B46" s="72" t="n">
        <x:v>46240.80618287037</x:v>
      </x:c>
      <x:c r="C46" s="32" t="str">
        <x:v>P19</x:v>
      </x:c>
      <x:c r="D46" s="32" t="str">
        <x:v>B4-W0-V1</x:v>
      </x:c>
      <x:c r="E46" s="32" t="str">
        <x:v>B4</x:v>
      </x:c>
      <x:c r="F46" s="32" t="str">
        <x:v>W0</x:v>
      </x:c>
      <x:c r="G46" s="32" t="str">
        <x:v>V1</x:v>
      </x:c>
      <x:c r="H46" s="32" t="str">
        <x:v>water_soil</x:v>
      </x:c>
      <x:c r="I46" s="32" t="str">
        <x:v>862323089930719</x:v>
      </x:c>
      <x:c r="J46" s="82" t="n">
        <x:v>33.4</x:v>
      </x:c>
      <x:c r="K46" s="82"/>
      <x:c r="L46" s="82" t="n">
        <x:v>35.6</x:v>
      </x:c>
      <x:c r="M46" s="82" t="n">
        <x:v>24.7</x:v>
      </x:c>
      <x:c r="N46" s="86" t="n">
        <x:v>983</x:v>
      </x:c>
      <x:c r="O46" s="90" t="n">
        <x:v>6.48</x:v>
      </x:c>
      <x:c r="P46" s="150" t="n">
        <x:v>3.938</x:v>
      </x:c>
      <x:c r="Q46" s="86" t="n">
        <x:v>20</x:v>
      </x:c>
      <x:c r="R46" s="32" t="str">
        <x:v>ok</x:v>
      </x:c>
      <x:c r="S46" s="32"/>
      <x:c r="T46" s="32" t="str">
        <x:v>ok</x:v>
      </x:c>
      <x:c r="U46" s="32" t="str">
        <x:v>ok</x:v>
      </x:c>
      <x:c r="V46" s="32" t="str">
        <x:v>ok</x:v>
      </x:c>
      <x:c r="W46" s="154" t="str">
        <x:v>{"schema_version":1,"imei":"862323089930719","timestamp":1786015253,"report_sequence":2,"task_version":"rice_w0_water_soil_demo","sensor_mode":"water_soil","soil_moisture_percent":35.6,"soil_temperature_c":24.7,"soil_ec_us_cm":983,"soil_ph":6.48,"battery_mv":3938,"csq":20,"soil_rs485_status":"ok","cycle_status":"ok","water_level_mm":33.4,"water_4_20ma_status":"ok"}</x:v>
      </x:c>
    </x:row>
    <x:row r="47">
      <x:c r="A47" s="72" t="n">
        <x:v>46240.80616898148</x:v>
      </x:c>
      <x:c r="B47" s="72" t="n">
        <x:v>46240.80618287037</x:v>
      </x:c>
      <x:c r="C47" s="32" t="str">
        <x:v>P20</x:v>
      </x:c>
      <x:c r="D47" s="32" t="str">
        <x:v>B4-W0-V2</x:v>
      </x:c>
      <x:c r="E47" s="32" t="str">
        <x:v>B4</x:v>
      </x:c>
      <x:c r="F47" s="32" t="str">
        <x:v>W0</x:v>
      </x:c>
      <x:c r="G47" s="32" t="str">
        <x:v>V2</x:v>
      </x:c>
      <x:c r="H47" s="32" t="str">
        <x:v>water_soil</x:v>
      </x:c>
      <x:c r="I47" s="32" t="str">
        <x:v>862323089930720</x:v>
      </x:c>
      <x:c r="J47" s="82" t="n">
        <x:v>23.7</x:v>
      </x:c>
      <x:c r="K47" s="82"/>
      <x:c r="L47" s="82" t="n">
        <x:v>36.3</x:v>
      </x:c>
      <x:c r="M47" s="82" t="n">
        <x:v>24.7</x:v>
      </x:c>
      <x:c r="N47" s="86" t="n">
        <x:v>990</x:v>
      </x:c>
      <x:c r="O47" s="90" t="n">
        <x:v>6.27</x:v>
      </x:c>
      <x:c r="P47" s="150" t="n">
        <x:v>3.956</x:v>
      </x:c>
      <x:c r="Q47" s="86" t="n">
        <x:v>21</x:v>
      </x:c>
      <x:c r="R47" s="32" t="str">
        <x:v>ok</x:v>
      </x:c>
      <x:c r="S47" s="32"/>
      <x:c r="T47" s="32" t="str">
        <x:v>ok</x:v>
      </x:c>
      <x:c r="U47" s="32" t="str">
        <x:v>ok</x:v>
      </x:c>
      <x:c r="V47" s="32" t="str">
        <x:v>ok</x:v>
      </x:c>
      <x:c r="W47" s="154" t="str">
        <x:v>{"schema_version":1,"imei":"862323089930720","timestamp":1786015253,"report_sequence":2,"task_version":"rice_w0_water_soil_demo","sensor_mode":"water_soil","soil_moisture_percent":36.3,"soil_temperature_c":24.7,"soil_ec_us_cm":990,"soil_ph":6.27,"battery_mv":3956,"csq":21,"soil_rs485_status":"ok","cycle_status":"ok","water_level_mm":23.7,"water_4_20ma_status":"ok"}</x:v>
      </x:c>
    </x:row>
    <x:row r="48">
      <x:c r="A48" s="72" t="n">
        <x:v>46240.80616898148</x:v>
      </x:c>
      <x:c r="B48" s="72" t="n">
        <x:v>46240.80618287037</x:v>
      </x:c>
      <x:c r="C48" s="32" t="str">
        <x:v>P21</x:v>
      </x:c>
      <x:c r="D48" s="32" t="str">
        <x:v>B4-W1-V1</x:v>
      </x:c>
      <x:c r="E48" s="32" t="str">
        <x:v>B4</x:v>
      </x:c>
      <x:c r="F48" s="32" t="str">
        <x:v>W1</x:v>
      </x:c>
      <x:c r="G48" s="32" t="str">
        <x:v>V1</x:v>
      </x:c>
      <x:c r="H48" s="32" t="str">
        <x:v>tension_soil</x:v>
      </x:c>
      <x:c r="I48" s="32" t="str">
        <x:v>862323089930721</x:v>
      </x:c>
      <x:c r="J48" s="82"/>
      <x:c r="K48" s="82" t="n">
        <x:v>-22.1</x:v>
      </x:c>
      <x:c r="L48" s="82" t="n">
        <x:v>37.1</x:v>
      </x:c>
      <x:c r="M48" s="82" t="n">
        <x:v>24.6</x:v>
      </x:c>
      <x:c r="N48" s="86" t="n">
        <x:v>998</x:v>
      </x:c>
      <x:c r="O48" s="90" t="n">
        <x:v>6.32</x:v>
      </x:c>
      <x:c r="P48" s="150" t="n">
        <x:v>3.974</x:v>
      </x:c>
      <x:c r="Q48" s="86" t="n">
        <x:v>22</x:v>
      </x:c>
      <x:c r="R48" s="32"/>
      <x:c r="S48" s="32" t="str">
        <x:v>ok</x:v>
      </x:c>
      <x:c r="T48" s="32" t="str">
        <x:v>ok</x:v>
      </x:c>
      <x:c r="U48" s="32" t="str">
        <x:v>ok</x:v>
      </x:c>
      <x:c r="V48" s="32" t="str">
        <x:v>ok</x:v>
      </x:c>
      <x:c r="W48" s="154" t="str">
        <x:v>{"schema_version":1,"imei":"862323089930721","timestamp":1786015253,"report_sequence":2,"task_version":"rice_tension_soil_demo","sensor_mode":"tension_soil","soil_moisture_percent":37.1,"soil_temperature_c":24.6,"soil_ec_us_cm":998,"soil_ph":6.32,"battery_mv":3974,"csq":22,"soil_rs485_status":"ok","cycle_status":"ok","soil_tension_kpa":-22.1,"soil_tension_rs485_status":"ok"}</x:v>
      </x:c>
    </x:row>
    <x:row r="49">
      <x:c r="A49" s="72" t="n">
        <x:v>46240.80616898148</x:v>
      </x:c>
      <x:c r="B49" s="72" t="n">
        <x:v>46240.80618287037</x:v>
      </x:c>
      <x:c r="C49" s="32" t="str">
        <x:v>P22</x:v>
      </x:c>
      <x:c r="D49" s="32" t="str">
        <x:v>B4-W1-V2</x:v>
      </x:c>
      <x:c r="E49" s="32" t="str">
        <x:v>B4</x:v>
      </x:c>
      <x:c r="F49" s="32" t="str">
        <x:v>W1</x:v>
      </x:c>
      <x:c r="G49" s="32" t="str">
        <x:v>V2</x:v>
      </x:c>
      <x:c r="H49" s="32" t="str">
        <x:v>tension_soil</x:v>
      </x:c>
      <x:c r="I49" s="32" t="str">
        <x:v>862323089930722</x:v>
      </x:c>
      <x:c r="J49" s="82"/>
      <x:c r="K49" s="82" t="n">
        <x:v>-23</x:v>
      </x:c>
      <x:c r="L49" s="82" t="n">
        <x:v>38</x:v>
      </x:c>
      <x:c r="M49" s="82" t="n">
        <x:v>24.6</x:v>
      </x:c>
      <x:c r="N49" s="86" t="n">
        <x:v>1009</x:v>
      </x:c>
      <x:c r="O49" s="90" t="n">
        <x:v>6.37</x:v>
      </x:c>
      <x:c r="P49" s="150" t="n">
        <x:v>3.992</x:v>
      </x:c>
      <x:c r="Q49" s="86" t="n">
        <x:v>23</x:v>
      </x:c>
      <x:c r="R49" s="32"/>
      <x:c r="S49" s="32" t="str">
        <x:v>ok</x:v>
      </x:c>
      <x:c r="T49" s="32" t="str">
        <x:v>ok</x:v>
      </x:c>
      <x:c r="U49" s="32" t="str">
        <x:v>ok</x:v>
      </x:c>
      <x:c r="V49" s="32" t="str">
        <x:v>ok</x:v>
      </x:c>
      <x:c r="W49" s="154" t="str">
        <x:v>{"schema_version":1,"imei":"862323089930722","timestamp":1786015253,"report_sequence":2,"task_version":"rice_tension_soil_demo","sensor_mode":"tension_soil","soil_moisture_percent":38,"soil_temperature_c":24.6,"soil_ec_us_cm":1009,"soil_ph":6.37,"battery_mv":3992,"csq":23,"soil_rs485_status":"ok","cycle_status":"ok","soil_tension_kpa":-23,"soil_tension_rs485_status":"ok"}</x:v>
      </x:c>
    </x:row>
    <x:row r="50">
      <x:c r="A50" s="72" t="n">
        <x:v>46240.80616898148</x:v>
      </x:c>
      <x:c r="B50" s="72" t="n">
        <x:v>46240.80618287037</x:v>
      </x:c>
      <x:c r="C50" s="32" t="str">
        <x:v>P23</x:v>
      </x:c>
      <x:c r="D50" s="32" t="str">
        <x:v>B4-W2-V1</x:v>
      </x:c>
      <x:c r="E50" s="32" t="str">
        <x:v>B4</x:v>
      </x:c>
      <x:c r="F50" s="32" t="str">
        <x:v>W2</x:v>
      </x:c>
      <x:c r="G50" s="32" t="str">
        <x:v>V1</x:v>
      </x:c>
      <x:c r="H50" s="32" t="str">
        <x:v>tension_soil</x:v>
      </x:c>
      <x:c r="I50" s="32" t="str">
        <x:v>862323089930723</x:v>
      </x:c>
      <x:c r="J50" s="82"/>
      <x:c r="K50" s="82" t="n">
        <x:v>-35</x:v>
      </x:c>
      <x:c r="L50" s="82" t="n">
        <x:v>39</x:v>
      </x:c>
      <x:c r="M50" s="82" t="n">
        <x:v>24.6</x:v>
      </x:c>
      <x:c r="N50" s="86" t="n">
        <x:v>1022</x:v>
      </x:c>
      <x:c r="O50" s="90" t="n">
        <x:v>6.42</x:v>
      </x:c>
      <x:c r="P50" s="150" t="n">
        <x:v>4.01</x:v>
      </x:c>
      <x:c r="Q50" s="86" t="n">
        <x:v>24</x:v>
      </x:c>
      <x:c r="R50" s="32"/>
      <x:c r="S50" s="32" t="str">
        <x:v>ok</x:v>
      </x:c>
      <x:c r="T50" s="32" t="str">
        <x:v>ok</x:v>
      </x:c>
      <x:c r="U50" s="32" t="str">
        <x:v>ok</x:v>
      </x:c>
      <x:c r="V50" s="32" t="str">
        <x:v>ok</x:v>
      </x:c>
      <x:c r="W50" s="154" t="str">
        <x:v>{"schema_version":1,"imei":"862323089930723","timestamp":1786015253,"report_sequence":2,"task_version":"rice_tension_soil_demo","sensor_mode":"tension_soil","soil_moisture_percent":39,"soil_temperature_c":24.6,"soil_ec_us_cm":1022,"soil_ph":6.42,"battery_mv":4010,"csq":24,"soil_rs485_status":"ok","cycle_status":"ok","soil_tension_kpa":-35,"soil_tension_rs485_status":"ok"}</x:v>
      </x:c>
    </x:row>
    <x:row r="51">
      <x:c r="A51" s="72" t="n">
        <x:v>46240.80616898148</x:v>
      </x:c>
      <x:c r="B51" s="72" t="n">
        <x:v>46240.80618287037</x:v>
      </x:c>
      <x:c r="C51" s="32" t="str">
        <x:v>P24</x:v>
      </x:c>
      <x:c r="D51" s="32" t="str">
        <x:v>B4-W2-V2</x:v>
      </x:c>
      <x:c r="E51" s="32" t="str">
        <x:v>B4</x:v>
      </x:c>
      <x:c r="F51" s="32" t="str">
        <x:v>W2</x:v>
      </x:c>
      <x:c r="G51" s="32" t="str">
        <x:v>V2</x:v>
      </x:c>
      <x:c r="H51" s="32" t="str">
        <x:v>tension_soil</x:v>
      </x:c>
      <x:c r="I51" s="32" t="str">
        <x:v>862323089930724</x:v>
      </x:c>
      <x:c r="J51" s="82"/>
      <x:c r="K51" s="82" t="n">
        <x:v>-36.2</x:v>
      </x:c>
      <x:c r="L51" s="82" t="n">
        <x:v>32.2</x:v>
      </x:c>
      <x:c r="M51" s="82" t="n">
        <x:v>24.7</x:v>
      </x:c>
      <x:c r="N51" s="86" t="n">
        <x:v>1037</x:v>
      </x:c>
      <x:c r="O51" s="90" t="n">
        <x:v>6.47</x:v>
      </x:c>
      <x:c r="P51" s="150" t="n">
        <x:v>3.92</x:v>
      </x:c>
      <x:c r="Q51" s="86" t="n">
        <x:v>17</x:v>
      </x:c>
      <x:c r="R51" s="32"/>
      <x:c r="S51" s="32" t="str">
        <x:v>ok</x:v>
      </x:c>
      <x:c r="T51" s="32" t="str">
        <x:v>ok</x:v>
      </x:c>
      <x:c r="U51" s="32" t="str">
        <x:v>ok</x:v>
      </x:c>
      <x:c r="V51" s="32" t="str">
        <x:v>ok</x:v>
      </x:c>
      <x:c r="W51" s="154" t="str">
        <x:v>{"schema_version":1,"imei":"862323089930724","timestamp":1786015253,"report_sequence":2,"task_version":"rice_tension_soil_demo","sensor_mode":"tension_soil","soil_moisture_percent":32.2,"soil_temperature_c":24.7,"soil_ec_us_cm":1037,"soil_ph":6.47,"battery_mv":3920,"csq":17,"soil_rs485_status":"ok","cycle_status":"ok","soil_tension_kpa":-36.2,"soil_tension_rs485_status":"ok"}</x:v>
      </x:c>
    </x:row>
    <x:row r="52">
      <x:c r="A52" s="72" t="n">
        <x:v>46240.809641203705</x:v>
      </x:c>
      <x:c r="B52" s="72" t="n">
        <x:v>46240.80965509259</x:v>
      </x:c>
      <x:c r="C52" s="32" t="str">
        <x:v>P01</x:v>
      </x:c>
      <x:c r="D52" s="32" t="str">
        <x:v>B1-W0-V1</x:v>
      </x:c>
      <x:c r="E52" s="32" t="str">
        <x:v>B1</x:v>
      </x:c>
      <x:c r="F52" s="32" t="str">
        <x:v>W0</x:v>
      </x:c>
      <x:c r="G52" s="32" t="str">
        <x:v>V1</x:v>
      </x:c>
      <x:c r="H52" s="32" t="str">
        <x:v>water_soil</x:v>
      </x:c>
      <x:c r="I52" s="32" t="str">
        <x:v>862323089930701</x:v>
      </x:c>
      <x:c r="J52" s="82" t="n">
        <x:v>27.4</x:v>
      </x:c>
      <x:c r="K52" s="82"/>
      <x:c r="L52" s="82" t="n">
        <x:v>33.5</x:v>
      </x:c>
      <x:c r="M52" s="82" t="n">
        <x:v>24.7</x:v>
      </x:c>
      <x:c r="N52" s="86" t="n">
        <x:v>766</x:v>
      </x:c>
      <x:c r="O52" s="90" t="n">
        <x:v>6.33</x:v>
      </x:c>
      <x:c r="P52" s="150" t="n">
        <x:v>3.938</x:v>
      </x:c>
      <x:c r="Q52" s="86" t="n">
        <x:v>18</x:v>
      </x:c>
      <x:c r="R52" s="32" t="str">
        <x:v>ok</x:v>
      </x:c>
      <x:c r="S52" s="32"/>
      <x:c r="T52" s="32" t="str">
        <x:v>ok</x:v>
      </x:c>
      <x:c r="U52" s="32" t="str">
        <x:v>ok</x:v>
      </x:c>
      <x:c r="V52" s="32" t="str">
        <x:v>ok</x:v>
      </x:c>
      <x:c r="W52" s="154" t="str">
        <x:v>{"schema_version":1,"imei":"862323089930701","timestamp":1786015553,"report_sequence":3,"task_version":"rice_w0_water_soil_demo","sensor_mode":"water_soil","soil_moisture_percent":33.5,"soil_temperature_c":24.7,"soil_ec_us_cm":766,"soil_ph":6.33,"battery_mv":3938,"csq":18,"soil_rs485_status":"ok","cycle_status":"ok","water_level_mm":27.4,"water_4_20ma_status":"ok"}</x:v>
      </x:c>
    </x:row>
    <x:row r="53">
      <x:c r="A53" s="72" t="n">
        <x:v>46240.809641203705</x:v>
      </x:c>
      <x:c r="B53" s="72" t="n">
        <x:v>46240.80965509259</x:v>
      </x:c>
      <x:c r="C53" s="32" t="str">
        <x:v>P02</x:v>
      </x:c>
      <x:c r="D53" s="32" t="str">
        <x:v>B1-W0-V2</x:v>
      </x:c>
      <x:c r="E53" s="32" t="str">
        <x:v>B1</x:v>
      </x:c>
      <x:c r="F53" s="32" t="str">
        <x:v>W0</x:v>
      </x:c>
      <x:c r="G53" s="32" t="str">
        <x:v>V2</x:v>
      </x:c>
      <x:c r="H53" s="32" t="str">
        <x:v>water_soil</x:v>
      </x:c>
      <x:c r="I53" s="32" t="str">
        <x:v>862323089930702</x:v>
      </x:c>
      <x:c r="J53" s="82" t="n">
        <x:v>31.3</x:v>
      </x:c>
      <x:c r="K53" s="82"/>
      <x:c r="L53" s="82" t="n">
        <x:v>34.9</x:v>
      </x:c>
      <x:c r="M53" s="82" t="n">
        <x:v>24.8</x:v>
      </x:c>
      <x:c r="N53" s="86" t="n">
        <x:v>785</x:v>
      </x:c>
      <x:c r="O53" s="90" t="n">
        <x:v>6.38</x:v>
      </x:c>
      <x:c r="P53" s="150" t="n">
        <x:v>3.956</x:v>
      </x:c>
      <x:c r="Q53" s="86" t="n">
        <x:v>19</x:v>
      </x:c>
      <x:c r="R53" s="32" t="str">
        <x:v>ok</x:v>
      </x:c>
      <x:c r="S53" s="32"/>
      <x:c r="T53" s="32" t="str">
        <x:v>ok</x:v>
      </x:c>
      <x:c r="U53" s="32" t="str">
        <x:v>ok</x:v>
      </x:c>
      <x:c r="V53" s="32" t="str">
        <x:v>ok</x:v>
      </x:c>
      <x:c r="W53" s="154" t="str">
        <x:v>{"schema_version":1,"imei":"862323089930702","timestamp":1786015553,"report_sequence":3,"task_version":"rice_w0_water_soil_demo","sensor_mode":"water_soil","soil_moisture_percent":34.9,"soil_temperature_c":24.8,"soil_ec_us_cm":785,"soil_ph":6.38,"battery_mv":3956,"csq":19,"soil_rs485_status":"ok","cycle_status":"ok","water_level_mm":31.3,"water_4_20ma_status":"ok"}</x:v>
      </x:c>
    </x:row>
    <x:row r="54">
      <x:c r="A54" s="72" t="n">
        <x:v>46240.809641203705</x:v>
      </x:c>
      <x:c r="B54" s="72" t="n">
        <x:v>46240.80965509259</x:v>
      </x:c>
      <x:c r="C54" s="32" t="str">
        <x:v>P03</x:v>
      </x:c>
      <x:c r="D54" s="32" t="str">
        <x:v>B1-W1-V1</x:v>
      </x:c>
      <x:c r="E54" s="32" t="str">
        <x:v>B1</x:v>
      </x:c>
      <x:c r="F54" s="32" t="str">
        <x:v>W1</x:v>
      </x:c>
      <x:c r="G54" s="32" t="str">
        <x:v>V1</x:v>
      </x:c>
      <x:c r="H54" s="32" t="str">
        <x:v>tension_soil</x:v>
      </x:c>
      <x:c r="I54" s="32" t="str">
        <x:v>862323089930703</x:v>
      </x:c>
      <x:c r="J54" s="82"/>
      <x:c r="K54" s="82" t="n">
        <x:v>-25.4</x:v>
      </x:c>
      <x:c r="L54" s="82" t="n">
        <x:v>36.4</x:v>
      </x:c>
      <x:c r="M54" s="82" t="n">
        <x:v>24.9</x:v>
      </x:c>
      <x:c r="N54" s="86" t="n">
        <x:v>805</x:v>
      </x:c>
      <x:c r="O54" s="90" t="n">
        <x:v>6.44</x:v>
      </x:c>
      <x:c r="P54" s="150" t="n">
        <x:v>3.974</x:v>
      </x:c>
      <x:c r="Q54" s="86" t="n">
        <x:v>20</x:v>
      </x:c>
      <x:c r="R54" s="32"/>
      <x:c r="S54" s="32" t="str">
        <x:v>ok</x:v>
      </x:c>
      <x:c r="T54" s="32" t="str">
        <x:v>ok</x:v>
      </x:c>
      <x:c r="U54" s="32" t="str">
        <x:v>ok</x:v>
      </x:c>
      <x:c r="V54" s="32" t="str">
        <x:v>ok</x:v>
      </x:c>
      <x:c r="W54" s="154" t="str">
        <x:v>{"schema_version":1,"imei":"862323089930703","timestamp":1786015553,"report_sequence":3,"task_version":"rice_tension_soil_demo","sensor_mode":"tension_soil","soil_moisture_percent":36.4,"soil_temperature_c":24.9,"soil_ec_us_cm":805,"soil_ph":6.44,"battery_mv":3974,"csq":20,"soil_rs485_status":"ok","cycle_status":"ok","soil_tension_kpa":-25.4,"soil_tension_rs485_status":"ok"}</x:v>
      </x:c>
    </x:row>
    <x:row r="55">
      <x:c r="A55" s="72" t="n">
        <x:v>46240.809641203705</x:v>
      </x:c>
      <x:c r="B55" s="72" t="n">
        <x:v>46240.80965509259</x:v>
      </x:c>
      <x:c r="C55" s="32" t="str">
        <x:v>P04</x:v>
      </x:c>
      <x:c r="D55" s="32" t="str">
        <x:v>B1-W1-V2</x:v>
      </x:c>
      <x:c r="E55" s="32" t="str">
        <x:v>B1</x:v>
      </x:c>
      <x:c r="F55" s="32" t="str">
        <x:v>W1</x:v>
      </x:c>
      <x:c r="G55" s="32" t="str">
        <x:v>V2</x:v>
      </x:c>
      <x:c r="H55" s="32" t="str">
        <x:v>tension_soil</x:v>
      </x:c>
      <x:c r="I55" s="32" t="str">
        <x:v>862323089930704</x:v>
      </x:c>
      <x:c r="J55" s="82"/>
      <x:c r="K55" s="82" t="n">
        <x:v>-26.9</x:v>
      </x:c>
      <x:c r="L55" s="82" t="n">
        <x:v>37.9</x:v>
      </x:c>
      <x:c r="M55" s="82" t="n">
        <x:v>25.1</x:v>
      </x:c>
      <x:c r="N55" s="86" t="n">
        <x:v>826</x:v>
      </x:c>
      <x:c r="O55" s="90" t="n">
        <x:v>6.5</x:v>
      </x:c>
      <x:c r="P55" s="150" t="n">
        <x:v>3.992</x:v>
      </x:c>
      <x:c r="Q55" s="86" t="n">
        <x:v>21</x:v>
      </x:c>
      <x:c r="R55" s="32"/>
      <x:c r="S55" s="32" t="str">
        <x:v>ok</x:v>
      </x:c>
      <x:c r="T55" s="32" t="str">
        <x:v>ok</x:v>
      </x:c>
      <x:c r="U55" s="32" t="str">
        <x:v>ok</x:v>
      </x:c>
      <x:c r="V55" s="32" t="str">
        <x:v>ok</x:v>
      </x:c>
      <x:c r="W55" s="154" t="str">
        <x:v>{"schema_version":1,"imei":"862323089930704","timestamp":1786015553,"report_sequence":3,"task_version":"rice_tension_soil_demo","sensor_mode":"tension_soil","soil_moisture_percent":37.9,"soil_temperature_c":25.1,"soil_ec_us_cm":826,"soil_ph":6.5,"battery_mv":3992,"csq":21,"soil_rs485_status":"ok","cycle_status":"ok","soil_tension_kpa":-26.9,"soil_tension_rs485_status":"ok"}</x:v>
      </x:c>
    </x:row>
    <x:row r="56">
      <x:c r="A56" s="72" t="n">
        <x:v>46240.809641203705</x:v>
      </x:c>
      <x:c r="B56" s="72" t="n">
        <x:v>46240.80965509259</x:v>
      </x:c>
      <x:c r="C56" s="32" t="str">
        <x:v>P05</x:v>
      </x:c>
      <x:c r="D56" s="32" t="str">
        <x:v>B1-W2-V1</x:v>
      </x:c>
      <x:c r="E56" s="32" t="str">
        <x:v>B1</x:v>
      </x:c>
      <x:c r="F56" s="32" t="str">
        <x:v>W2</x:v>
      </x:c>
      <x:c r="G56" s="32" t="str">
        <x:v>V1</x:v>
      </x:c>
      <x:c r="H56" s="32" t="str">
        <x:v>tension_soil</x:v>
      </x:c>
      <x:c r="I56" s="32" t="str">
        <x:v>862323089930705</x:v>
      </x:c>
      <x:c r="J56" s="82"/>
      <x:c r="K56" s="82" t="n">
        <x:v>-34.4</x:v>
      </x:c>
      <x:c r="L56" s="82" t="n">
        <x:v>39.4</x:v>
      </x:c>
      <x:c r="M56" s="82" t="n">
        <x:v>25.2</x:v>
      </x:c>
      <x:c r="N56" s="86" t="n">
        <x:v>846</x:v>
      </x:c>
      <x:c r="O56" s="90" t="n">
        <x:v>6.31</x:v>
      </x:c>
      <x:c r="P56" s="150" t="n">
        <x:v>4.01</x:v>
      </x:c>
      <x:c r="Q56" s="86" t="n">
        <x:v>22</x:v>
      </x:c>
      <x:c r="R56" s="32"/>
      <x:c r="S56" s="32" t="str">
        <x:v>ok</x:v>
      </x:c>
      <x:c r="T56" s="32" t="str">
        <x:v>ok</x:v>
      </x:c>
      <x:c r="U56" s="32" t="str">
        <x:v>ok</x:v>
      </x:c>
      <x:c r="V56" s="32" t="str">
        <x:v>ok</x:v>
      </x:c>
      <x:c r="W56" s="154" t="str">
        <x:v>{"schema_version":1,"imei":"862323089930705","timestamp":1786015553,"report_sequence":3,"task_version":"rice_tension_soil_demo","sensor_mode":"tension_soil","soil_moisture_percent":39.4,"soil_temperature_c":25.2,"soil_ec_us_cm":846,"soil_ph":6.31,"battery_mv":4010,"csq":22,"soil_rs485_status":"ok","cycle_status":"ok","soil_tension_kpa":-34.4,"soil_tension_rs485_status":"ok"}</x:v>
      </x:c>
    </x:row>
    <x:row r="57">
      <x:c r="A57" s="72" t="n">
        <x:v>46240.809641203705</x:v>
      </x:c>
      <x:c r="B57" s="72" t="n">
        <x:v>46240.80965509259</x:v>
      </x:c>
      <x:c r="C57" s="32" t="str">
        <x:v>P06</x:v>
      </x:c>
      <x:c r="D57" s="32" t="str">
        <x:v>B1-W2-V2</x:v>
      </x:c>
      <x:c r="E57" s="32" t="str">
        <x:v>B1</x:v>
      </x:c>
      <x:c r="F57" s="32" t="str">
        <x:v>W2</x:v>
      </x:c>
      <x:c r="G57" s="32" t="str">
        <x:v>V2</x:v>
      </x:c>
      <x:c r="H57" s="32" t="str">
        <x:v>tension_soil</x:v>
      </x:c>
      <x:c r="I57" s="32" t="str">
        <x:v>862323089930706</x:v>
      </x:c>
      <x:c r="J57" s="82"/>
      <x:c r="K57" s="82" t="n">
        <x:v>-35.8</x:v>
      </x:c>
      <x:c r="L57" s="82" t="n">
        <x:v>40.8</x:v>
      </x:c>
      <x:c r="M57" s="82" t="n">
        <x:v>25.3</x:v>
      </x:c>
      <x:c r="N57" s="86" t="n">
        <x:v>867</x:v>
      </x:c>
      <x:c r="O57" s="90" t="n">
        <x:v>6.36</x:v>
      </x:c>
      <x:c r="P57" s="150" t="n">
        <x:v>3.92</x:v>
      </x:c>
      <x:c r="Q57" s="86" t="n">
        <x:v>23</x:v>
      </x:c>
      <x:c r="R57" s="32"/>
      <x:c r="S57" s="32" t="str">
        <x:v>ok</x:v>
      </x:c>
      <x:c r="T57" s="32" t="str">
        <x:v>ok</x:v>
      </x:c>
      <x:c r="U57" s="32" t="str">
        <x:v>ok</x:v>
      </x:c>
      <x:c r="V57" s="32" t="str">
        <x:v>ok</x:v>
      </x:c>
      <x:c r="W57" s="154" t="str">
        <x:v>{"schema_version":1,"imei":"862323089930706","timestamp":1786015553,"report_sequence":3,"task_version":"rice_tension_soil_demo","sensor_mode":"tension_soil","soil_moisture_percent":40.8,"soil_temperature_c":25.3,"soil_ec_us_cm":867,"soil_ph":6.36,"battery_mv":3920,"csq":23,"soil_rs485_status":"ok","cycle_status":"ok","soil_tension_kpa":-35.8,"soil_tension_rs485_status":"ok"}</x:v>
      </x:c>
    </x:row>
    <x:row r="58">
      <x:c r="A58" s="72" t="n">
        <x:v>46240.809641203705</x:v>
      </x:c>
      <x:c r="B58" s="72" t="n">
        <x:v>46240.80965509259</x:v>
      </x:c>
      <x:c r="C58" s="32" t="str">
        <x:v>P07</x:v>
      </x:c>
      <x:c r="D58" s="32" t="str">
        <x:v>B2-W0-V1</x:v>
      </x:c>
      <x:c r="E58" s="32" t="str">
        <x:v>B2</x:v>
      </x:c>
      <x:c r="F58" s="32" t="str">
        <x:v>W0</x:v>
      </x:c>
      <x:c r="G58" s="32" t="str">
        <x:v>V1</x:v>
      </x:c>
      <x:c r="H58" s="32" t="str">
        <x:v>water_soil</x:v>
      </x:c>
      <x:c r="I58" s="32" t="str">
        <x:v>862323089930707</x:v>
      </x:c>
      <x:c r="J58" s="82" t="n">
        <x:v>40.2</x:v>
      </x:c>
      <x:c r="K58" s="82"/>
      <x:c r="L58" s="82" t="n">
        <x:v>42.3</x:v>
      </x:c>
      <x:c r="M58" s="82" t="n">
        <x:v>25.4</x:v>
      </x:c>
      <x:c r="N58" s="86" t="n">
        <x:v>886</x:v>
      </x:c>
      <x:c r="O58" s="90" t="n">
        <x:v>6.42</x:v>
      </x:c>
      <x:c r="P58" s="150" t="n">
        <x:v>3.938</x:v>
      </x:c>
      <x:c r="Q58" s="86" t="n">
        <x:v>24</x:v>
      </x:c>
      <x:c r="R58" s="32" t="str">
        <x:v>ok</x:v>
      </x:c>
      <x:c r="S58" s="32"/>
      <x:c r="T58" s="32" t="str">
        <x:v>ok</x:v>
      </x:c>
      <x:c r="U58" s="32" t="str">
        <x:v>ok</x:v>
      </x:c>
      <x:c r="V58" s="32" t="str">
        <x:v>ok</x:v>
      </x:c>
      <x:c r="W58" s="154" t="str">
        <x:v>{"schema_version":1,"imei":"862323089930707","timestamp":1786015553,"report_sequence":3,"task_version":"rice_w0_water_soil_demo","sensor_mode":"water_soil","soil_moisture_percent":42.3,"soil_temperature_c":25.4,"soil_ec_us_cm":886,"soil_ph":6.42,"battery_mv":3938,"csq":24,"soil_rs485_status":"ok","cycle_status":"ok","water_level_mm":40.2,"water_4_20ma_status":"ok"}</x:v>
      </x:c>
    </x:row>
    <x:row r="59">
      <x:c r="A59" s="72" t="n">
        <x:v>46240.809641203705</x:v>
      </x:c>
      <x:c r="B59" s="72" t="n">
        <x:v>46240.80965509259</x:v>
      </x:c>
      <x:c r="C59" s="32" t="str">
        <x:v>P08</x:v>
      </x:c>
      <x:c r="D59" s="32" t="str">
        <x:v>B2-W0-V2</x:v>
      </x:c>
      <x:c r="E59" s="32" t="str">
        <x:v>B2</x:v>
      </x:c>
      <x:c r="F59" s="32" t="str">
        <x:v>W0</x:v>
      </x:c>
      <x:c r="G59" s="32" t="str">
        <x:v>V2</x:v>
      </x:c>
      <x:c r="H59" s="32" t="str">
        <x:v>water_soil</x:v>
      </x:c>
      <x:c r="I59" s="32" t="str">
        <x:v>862323089930708</x:v>
      </x:c>
      <x:c r="J59" s="82" t="n">
        <x:v>32</x:v>
      </x:c>
      <x:c r="K59" s="82"/>
      <x:c r="L59" s="82" t="n">
        <x:v>35.6</x:v>
      </x:c>
      <x:c r="M59" s="82" t="n">
        <x:v>25.5</x:v>
      </x:c>
      <x:c r="N59" s="86" t="n">
        <x:v>904</x:v>
      </x:c>
      <x:c r="O59" s="90" t="n">
        <x:v>6.47</x:v>
      </x:c>
      <x:c r="P59" s="150" t="n">
        <x:v>3.956</x:v>
      </x:c>
      <x:c r="Q59" s="86" t="n">
        <x:v>17</x:v>
      </x:c>
      <x:c r="R59" s="32" t="str">
        <x:v>ok</x:v>
      </x:c>
      <x:c r="S59" s="32"/>
      <x:c r="T59" s="32" t="str">
        <x:v>ok</x:v>
      </x:c>
      <x:c r="U59" s="32" t="str">
        <x:v>ok</x:v>
      </x:c>
      <x:c r="V59" s="32" t="str">
        <x:v>ok</x:v>
      </x:c>
      <x:c r="W59" s="154" t="str">
        <x:v>{"schema_version":1,"imei":"862323089930708","timestamp":1786015553,"report_sequence":3,"task_version":"rice_w0_water_soil_demo","sensor_mode":"water_soil","soil_moisture_percent":35.6,"soil_temperature_c":25.5,"soil_ec_us_cm":904,"soil_ph":6.47,"battery_mv":3956,"csq":17,"soil_rs485_status":"ok","cycle_status":"ok","water_level_mm":32,"water_4_20ma_status":"ok"}</x:v>
      </x:c>
    </x:row>
    <x:row r="60">
      <x:c r="A60" s="72" t="n">
        <x:v>46240.809641203705</x:v>
      </x:c>
      <x:c r="B60" s="72" t="n">
        <x:v>46240.80965509259</x:v>
      </x:c>
      <x:c r="C60" s="32" t="str">
        <x:v>P09</x:v>
      </x:c>
      <x:c r="D60" s="32" t="str">
        <x:v>B2-W1-V1</x:v>
      </x:c>
      <x:c r="E60" s="32" t="str">
        <x:v>B2</x:v>
      </x:c>
      <x:c r="F60" s="32" t="str">
        <x:v>W1</x:v>
      </x:c>
      <x:c r="G60" s="32" t="str">
        <x:v>V1</x:v>
      </x:c>
      <x:c r="H60" s="32" t="str">
        <x:v>tension_soil</x:v>
      </x:c>
      <x:c r="I60" s="32" t="str">
        <x:v>862323089930709</x:v>
      </x:c>
      <x:c r="J60" s="82"/>
      <x:c r="K60" s="82" t="n">
        <x:v>-28.9</x:v>
      </x:c>
      <x:c r="L60" s="82" t="n">
        <x:v>36.9</x:v>
      </x:c>
      <x:c r="M60" s="82" t="n">
        <x:v>25.6</x:v>
      </x:c>
      <x:c r="N60" s="86" t="n">
        <x:v>920</x:v>
      </x:c>
      <x:c r="O60" s="90" t="n">
        <x:v>6.53</x:v>
      </x:c>
      <x:c r="P60" s="150" t="n">
        <x:v>3.974</x:v>
      </x:c>
      <x:c r="Q60" s="86" t="n">
        <x:v>18</x:v>
      </x:c>
      <x:c r="R60" s="32"/>
      <x:c r="S60" s="32" t="str">
        <x:v>ok</x:v>
      </x:c>
      <x:c r="T60" s="32" t="str">
        <x:v>ok</x:v>
      </x:c>
      <x:c r="U60" s="32" t="str">
        <x:v>ok</x:v>
      </x:c>
      <x:c r="V60" s="32" t="str">
        <x:v>ok</x:v>
      </x:c>
      <x:c r="W60" s="154" t="str">
        <x:v>{"schema_version":1,"imei":"862323089930709","timestamp":1786015553,"report_sequence":3,"task_version":"rice_tension_soil_demo","sensor_mode":"tension_soil","soil_moisture_percent":36.9,"soil_temperature_c":25.6,"soil_ec_us_cm":920,"soil_ph":6.53,"battery_mv":3974,"csq":18,"soil_rs485_status":"ok","cycle_status":"ok","soil_tension_kpa":-28.9,"soil_tension_rs485_status":"ok"}</x:v>
      </x:c>
    </x:row>
    <x:row r="61">
      <x:c r="A61" s="72" t="n">
        <x:v>46240.809641203705</x:v>
      </x:c>
      <x:c r="B61" s="72" t="n">
        <x:v>46240.80965509259</x:v>
      </x:c>
      <x:c r="C61" s="32" t="str">
        <x:v>P10</x:v>
      </x:c>
      <x:c r="D61" s="32" t="str">
        <x:v>B2-W1-V2</x:v>
      </x:c>
      <x:c r="E61" s="32" t="str">
        <x:v>B2</x:v>
      </x:c>
      <x:c r="F61" s="32" t="str">
        <x:v>W1</x:v>
      </x:c>
      <x:c r="G61" s="32" t="str">
        <x:v>V2</x:v>
      </x:c>
      <x:c r="H61" s="32" t="str">
        <x:v>tension_soil</x:v>
      </x:c>
      <x:c r="I61" s="32" t="str">
        <x:v>862323089930710</x:v>
      </x:c>
      <x:c r="J61" s="82"/>
      <x:c r="K61" s="82" t="n">
        <x:v>-25</x:v>
      </x:c>
      <x:c r="L61" s="82" t="n">
        <x:v>38</x:v>
      </x:c>
      <x:c r="M61" s="82" t="n">
        <x:v>25.6</x:v>
      </x:c>
      <x:c r="N61" s="86" t="n">
        <x:v>935</x:v>
      </x:c>
      <x:c r="O61" s="90" t="n">
        <x:v>6.33</x:v>
      </x:c>
      <x:c r="P61" s="150" t="n">
        <x:v>3.992</x:v>
      </x:c>
      <x:c r="Q61" s="86" t="n">
        <x:v>19</x:v>
      </x:c>
      <x:c r="R61" s="32"/>
      <x:c r="S61" s="32" t="str">
        <x:v>ok</x:v>
      </x:c>
      <x:c r="T61" s="32" t="str">
        <x:v>ok</x:v>
      </x:c>
      <x:c r="U61" s="32" t="str">
        <x:v>ok</x:v>
      </x:c>
      <x:c r="V61" s="32" t="str">
        <x:v>ok</x:v>
      </x:c>
      <x:c r="W61" s="154" t="str">
        <x:v>{"schema_version":1,"imei":"862323089930710","timestamp":1786015553,"report_sequence":3,"task_version":"rice_tension_soil_demo","sensor_mode":"tension_soil","soil_moisture_percent":38,"soil_temperature_c":25.6,"soil_ec_us_cm":935,"soil_ph":6.33,"battery_mv":3992,"csq":19,"soil_rs485_status":"ok","cycle_status":"ok","soil_tension_kpa":-25,"soil_tension_rs485_status":"ok"}</x:v>
      </x:c>
    </x:row>
    <x:row r="62">
      <x:c r="A62" s="72" t="n">
        <x:v>46240.809641203705</x:v>
      </x:c>
      <x:c r="B62" s="72" t="n">
        <x:v>46240.80965509259</x:v>
      </x:c>
      <x:c r="C62" s="32" t="str">
        <x:v>P11</x:v>
      </x:c>
      <x:c r="D62" s="32" t="str">
        <x:v>B2-W2-V1</x:v>
      </x:c>
      <x:c r="E62" s="32" t="str">
        <x:v>B2</x:v>
      </x:c>
      <x:c r="F62" s="32" t="str">
        <x:v>W2</x:v>
      </x:c>
      <x:c r="G62" s="32" t="str">
        <x:v>V1</x:v>
      </x:c>
      <x:c r="H62" s="32" t="str">
        <x:v>tension_soil</x:v>
      </x:c>
      <x:c r="I62" s="32" t="str">
        <x:v>862323089930711</x:v>
      </x:c>
      <x:c r="J62" s="82"/>
      <x:c r="K62" s="82" t="n">
        <x:v>-37</x:v>
      </x:c>
      <x:c r="L62" s="82" t="n">
        <x:v>39</x:v>
      </x:c>
      <x:c r="M62" s="82" t="n">
        <x:v>25.6</x:v>
      </x:c>
      <x:c r="N62" s="86" t="n">
        <x:v>947</x:v>
      </x:c>
      <x:c r="O62" s="90" t="n">
        <x:v>6.38</x:v>
      </x:c>
      <x:c r="P62" s="150" t="n">
        <x:v>4.01</x:v>
      </x:c>
      <x:c r="Q62" s="86" t="n">
        <x:v>20</x:v>
      </x:c>
      <x:c r="R62" s="32"/>
      <x:c r="S62" s="32" t="str">
        <x:v>ok</x:v>
      </x:c>
      <x:c r="T62" s="32" t="str">
        <x:v>ok</x:v>
      </x:c>
      <x:c r="U62" s="32" t="str">
        <x:v>ok</x:v>
      </x:c>
      <x:c r="V62" s="32" t="str">
        <x:v>ok</x:v>
      </x:c>
      <x:c r="W62" s="154" t="str">
        <x:v>{"schema_version":1,"imei":"862323089930711","timestamp":1786015553,"report_sequence":3,"task_version":"rice_tension_soil_demo","sensor_mode":"tension_soil","soil_moisture_percent":39,"soil_temperature_c":25.6,"soil_ec_us_cm":947,"soil_ph":6.38,"battery_mv":4010,"csq":20,"soil_rs485_status":"ok","cycle_status":"ok","soil_tension_kpa":-37,"soil_tension_rs485_status":"ok"}</x:v>
      </x:c>
    </x:row>
    <x:row r="63">
      <x:c r="A63" s="72" t="n">
        <x:v>46240.809641203705</x:v>
      </x:c>
      <x:c r="B63" s="72" t="n">
        <x:v>46240.80965509259</x:v>
      </x:c>
      <x:c r="C63" s="32" t="str">
        <x:v>P12</x:v>
      </x:c>
      <x:c r="D63" s="32" t="str">
        <x:v>B2-W2-V2</x:v>
      </x:c>
      <x:c r="E63" s="32" t="str">
        <x:v>B2</x:v>
      </x:c>
      <x:c r="F63" s="32" t="str">
        <x:v>W2</x:v>
      </x:c>
      <x:c r="G63" s="32" t="str">
        <x:v>V2</x:v>
      </x:c>
      <x:c r="H63" s="32" t="str">
        <x:v>tension_soil</x:v>
      </x:c>
      <x:c r="I63" s="32" t="str">
        <x:v>862323089930712</x:v>
      </x:c>
      <x:c r="J63" s="82"/>
      <x:c r="K63" s="82" t="n">
        <x:v>-37.9</x:v>
      </x:c>
      <x:c r="L63" s="82" t="n">
        <x:v>39.9</x:v>
      </x:c>
      <x:c r="M63" s="82" t="n">
        <x:v>25.6</x:v>
      </x:c>
      <x:c r="N63" s="86" t="n">
        <x:v>957</x:v>
      </x:c>
      <x:c r="O63" s="90" t="n">
        <x:v>6.43</x:v>
      </x:c>
      <x:c r="P63" s="150" t="n">
        <x:v>3.92</x:v>
      </x:c>
      <x:c r="Q63" s="86" t="n">
        <x:v>21</x:v>
      </x:c>
      <x:c r="R63" s="32"/>
      <x:c r="S63" s="32" t="str">
        <x:v>ok</x:v>
      </x:c>
      <x:c r="T63" s="32" t="str">
        <x:v>ok</x:v>
      </x:c>
      <x:c r="U63" s="32" t="str">
        <x:v>ok</x:v>
      </x:c>
      <x:c r="V63" s="32" t="str">
        <x:v>ok</x:v>
      </x:c>
      <x:c r="W63" s="154" t="str">
        <x:v>{"schema_version":1,"imei":"862323089930712","timestamp":1786015553,"report_sequence":3,"task_version":"rice_tension_soil_demo","sensor_mode":"tension_soil","soil_moisture_percent":39.9,"soil_temperature_c":25.6,"soil_ec_us_cm":957,"soil_ph":6.43,"battery_mv":3920,"csq":21,"soil_rs485_status":"ok","cycle_status":"ok","soil_tension_kpa":-37.9,"soil_tension_rs485_status":"ok"}</x:v>
      </x:c>
    </x:row>
    <x:row r="64">
      <x:c r="A64" s="72" t="n">
        <x:v>46240.809641203705</x:v>
      </x:c>
      <x:c r="B64" s="72" t="n">
        <x:v>46240.80965509259</x:v>
      </x:c>
      <x:c r="C64" s="32" t="str">
        <x:v>P13</x:v>
      </x:c>
      <x:c r="D64" s="32" t="str">
        <x:v>B3-W0-V1</x:v>
      </x:c>
      <x:c r="E64" s="32" t="str">
        <x:v>B3</x:v>
      </x:c>
      <x:c r="F64" s="32" t="str">
        <x:v>W0</x:v>
      </x:c>
      <x:c r="G64" s="32" t="str">
        <x:v>V1</x:v>
      </x:c>
      <x:c r="H64" s="32" t="str">
        <x:v>water_soil</x:v>
      </x:c>
      <x:c r="I64" s="32" t="str">
        <x:v>862323089930713</x:v>
      </x:c>
      <x:c r="J64" s="82" t="n">
        <x:v>35.1</x:v>
      </x:c>
      <x:c r="K64" s="82"/>
      <x:c r="L64" s="82" t="n">
        <x:v>40.6</x:v>
      </x:c>
      <x:c r="M64" s="82" t="n">
        <x:v>25.5</x:v>
      </x:c>
      <x:c r="N64" s="86" t="n">
        <x:v>965</x:v>
      </x:c>
      <x:c r="O64" s="90" t="n">
        <x:v>6.47</x:v>
      </x:c>
      <x:c r="P64" s="150" t="n">
        <x:v>3.938</x:v>
      </x:c>
      <x:c r="Q64" s="86" t="n">
        <x:v>22</x:v>
      </x:c>
      <x:c r="R64" s="32" t="str">
        <x:v>ok</x:v>
      </x:c>
      <x:c r="S64" s="32"/>
      <x:c r="T64" s="32" t="str">
        <x:v>ok</x:v>
      </x:c>
      <x:c r="U64" s="32" t="str">
        <x:v>ok</x:v>
      </x:c>
      <x:c r="V64" s="32" t="str">
        <x:v>ok</x:v>
      </x:c>
      <x:c r="W64" s="154" t="str">
        <x:v>{"schema_version":1,"imei":"862323089930713","timestamp":1786015553,"report_sequence":3,"task_version":"rice_w0_water_soil_demo","sensor_mode":"water_soil","soil_moisture_percent":40.6,"soil_temperature_c":25.5,"soil_ec_us_cm":965,"soil_ph":6.47,"battery_mv":3938,"csq":22,"soil_rs485_status":"ok","cycle_status":"ok","water_level_mm":35.1,"water_4_20ma_status":"ok"}</x:v>
      </x:c>
    </x:row>
    <x:row r="65">
      <x:c r="A65" s="72" t="n">
        <x:v>46240.809641203705</x:v>
      </x:c>
      <x:c r="B65" s="72" t="n">
        <x:v>46240.80965509259</x:v>
      </x:c>
      <x:c r="C65" s="32" t="str">
        <x:v>P14</x:v>
      </x:c>
      <x:c r="D65" s="32" t="str">
        <x:v>B3-W0-V2</x:v>
      </x:c>
      <x:c r="E65" s="32" t="str">
        <x:v>B3</x:v>
      </x:c>
      <x:c r="F65" s="32" t="str">
        <x:v>W0</x:v>
      </x:c>
      <x:c r="G65" s="32" t="str">
        <x:v>V2</x:v>
      </x:c>
      <x:c r="H65" s="32" t="str">
        <x:v>water_soil</x:v>
      </x:c>
      <x:c r="I65" s="32" t="str">
        <x:v>862323089930714</x:v>
      </x:c>
      <x:c r="J65" s="82" t="n">
        <x:v>37.3</x:v>
      </x:c>
      <x:c r="K65" s="82"/>
      <x:c r="L65" s="82" t="n">
        <x:v>41.3</x:v>
      </x:c>
      <x:c r="M65" s="82" t="n">
        <x:v>25.4</x:v>
      </x:c>
      <x:c r="N65" s="86" t="n">
        <x:v>971</x:v>
      </x:c>
      <x:c r="O65" s="90" t="n">
        <x:v>6.52</x:v>
      </x:c>
      <x:c r="P65" s="150" t="n">
        <x:v>3.956</x:v>
      </x:c>
      <x:c r="Q65" s="86" t="n">
        <x:v>23</x:v>
      </x:c>
      <x:c r="R65" s="32" t="str">
        <x:v>ok</x:v>
      </x:c>
      <x:c r="S65" s="32"/>
      <x:c r="T65" s="32" t="str">
        <x:v>ok</x:v>
      </x:c>
      <x:c r="U65" s="32" t="str">
        <x:v>ok</x:v>
      </x:c>
      <x:c r="V65" s="32" t="str">
        <x:v>ok</x:v>
      </x:c>
      <x:c r="W65" s="154" t="str">
        <x:v>{"schema_version":1,"imei":"862323089930714","timestamp":1786015553,"report_sequence":3,"task_version":"rice_w0_water_soil_demo","sensor_mode":"water_soil","soil_moisture_percent":41.3,"soil_temperature_c":25.4,"soil_ec_us_cm":971,"soil_ph":6.52,"battery_mv":3956,"csq":23,"soil_rs485_status":"ok","cycle_status":"ok","water_level_mm":37.3,"water_4_20ma_status":"ok"}</x:v>
      </x:c>
    </x:row>
    <x:row r="66">
      <x:c r="A66" s="72" t="n">
        <x:v>46240.809641203705</x:v>
      </x:c>
      <x:c r="B66" s="72" t="n">
        <x:v>46240.80965509259</x:v>
      </x:c>
      <x:c r="C66" s="32" t="str">
        <x:v>P15</x:v>
      </x:c>
      <x:c r="D66" s="32" t="str">
        <x:v>B3-W1-V1</x:v>
      </x:c>
      <x:c r="E66" s="32" t="str">
        <x:v>B3</x:v>
      </x:c>
      <x:c r="F66" s="32" t="str">
        <x:v>W1</x:v>
      </x:c>
      <x:c r="G66" s="32" t="str">
        <x:v>V1</x:v>
      </x:c>
      <x:c r="H66" s="32" t="str">
        <x:v>tension_soil</x:v>
      </x:c>
      <x:c r="I66" s="32" t="str">
        <x:v>862323089930715</x:v>
      </x:c>
      <x:c r="J66" s="82"/>
      <x:c r="K66" s="82" t="n">
        <x:v>-23.9</x:v>
      </x:c>
      <x:c r="L66" s="82" t="n">
        <x:v>41.9</x:v>
      </x:c>
      <x:c r="M66" s="82" t="n">
        <x:v>25.3</x:v>
      </x:c>
      <x:c r="N66" s="86" t="n">
        <x:v>975</x:v>
      </x:c>
      <x:c r="O66" s="90" t="n">
        <x:v>6.31</x:v>
      </x:c>
      <x:c r="P66" s="150" t="n">
        <x:v>3.974</x:v>
      </x:c>
      <x:c r="Q66" s="86" t="n">
        <x:v>24</x:v>
      </x:c>
      <x:c r="R66" s="32"/>
      <x:c r="S66" s="32" t="str">
        <x:v>ok</x:v>
      </x:c>
      <x:c r="T66" s="32" t="str">
        <x:v>ok</x:v>
      </x:c>
      <x:c r="U66" s="32" t="str">
        <x:v>ok</x:v>
      </x:c>
      <x:c r="V66" s="32" t="str">
        <x:v>ok</x:v>
      </x:c>
      <x:c r="W66" s="154" t="str">
        <x:v>{"schema_version":1,"imei":"862323089930715","timestamp":1786015553,"report_sequence":3,"task_version":"rice_tension_soil_demo","sensor_mode":"tension_soil","soil_moisture_percent":41.9,"soil_temperature_c":25.3,"soil_ec_us_cm":975,"soil_ph":6.31,"battery_mv":3974,"csq":24,"soil_rs485_status":"ok","cycle_status":"ok","soil_tension_kpa":-23.9,"soil_tension_rs485_status":"ok"}</x:v>
      </x:c>
    </x:row>
    <x:row r="67">
      <x:c r="A67" s="72" t="n">
        <x:v>46240.809641203705</x:v>
      </x:c>
      <x:c r="B67" s="72" t="n">
        <x:v>46240.80965509259</x:v>
      </x:c>
      <x:c r="C67" s="32" t="str">
        <x:v>P16</x:v>
      </x:c>
      <x:c r="D67" s="32" t="str">
        <x:v>B3-W1-V2</x:v>
      </x:c>
      <x:c r="E67" s="32" t="str">
        <x:v>B3</x:v>
      </x:c>
      <x:c r="F67" s="32" t="str">
        <x:v>W1</x:v>
      </x:c>
      <x:c r="G67" s="32" t="str">
        <x:v>V2</x:v>
      </x:c>
      <x:c r="H67" s="32" t="str">
        <x:v>tension_soil</x:v>
      </x:c>
      <x:c r="I67" s="32" t="str">
        <x:v>862323089930716</x:v>
      </x:c>
      <x:c r="J67" s="82"/>
      <x:c r="K67" s="82" t="n">
        <x:v>-24.4</x:v>
      </x:c>
      <x:c r="L67" s="82" t="n">
        <x:v>34.4</x:v>
      </x:c>
      <x:c r="M67" s="82" t="n">
        <x:v>25.2</x:v>
      </x:c>
      <x:c r="N67" s="86" t="n">
        <x:v>979</x:v>
      </x:c>
      <x:c r="O67" s="90" t="n">
        <x:v>6.36</x:v>
      </x:c>
      <x:c r="P67" s="150" t="n">
        <x:v>3.992</x:v>
      </x:c>
      <x:c r="Q67" s="86" t="n">
        <x:v>17</x:v>
      </x:c>
      <x:c r="R67" s="32"/>
      <x:c r="S67" s="32" t="str">
        <x:v>ok</x:v>
      </x:c>
      <x:c r="T67" s="32" t="str">
        <x:v>ok</x:v>
      </x:c>
      <x:c r="U67" s="32" t="str">
        <x:v>ok</x:v>
      </x:c>
      <x:c r="V67" s="32" t="str">
        <x:v>ok</x:v>
      </x:c>
      <x:c r="W67" s="154" t="str">
        <x:v>{"schema_version":1,"imei":"862323089930716","timestamp":1786015553,"report_sequence":3,"task_version":"rice_tension_soil_demo","sensor_mode":"tension_soil","soil_moisture_percent":34.4,"soil_temperature_c":25.2,"soil_ec_us_cm":979,"soil_ph":6.36,"battery_mv":3992,"csq":17,"soil_rs485_status":"ok","cycle_status":"ok","soil_tension_kpa":-24.4,"soil_tension_rs485_status":"ok"}</x:v>
      </x:c>
    </x:row>
    <x:row r="68">
      <x:c r="A68" s="72" t="n">
        <x:v>46240.809641203705</x:v>
      </x:c>
      <x:c r="B68" s="72" t="n">
        <x:v>46240.80965509259</x:v>
      </x:c>
      <x:c r="C68" s="32" t="str">
        <x:v>P17</x:v>
      </x:c>
      <x:c r="D68" s="32" t="str">
        <x:v>B3-W2-V1</x:v>
      </x:c>
      <x:c r="E68" s="32" t="str">
        <x:v>B3</x:v>
      </x:c>
      <x:c r="F68" s="32" t="str">
        <x:v>W2</x:v>
      </x:c>
      <x:c r="G68" s="32" t="str">
        <x:v>V1</x:v>
      </x:c>
      <x:c r="H68" s="32" t="str">
        <x:v>tension_soil</x:v>
      </x:c>
      <x:c r="I68" s="32" t="str">
        <x:v>862323089930717</x:v>
      </x:c>
      <x:c r="J68" s="82"/>
      <x:c r="K68" s="82" t="n">
        <x:v>-35.9</x:v>
      </x:c>
      <x:c r="L68" s="82" t="n">
        <x:v>34.9</x:v>
      </x:c>
      <x:c r="M68" s="82" t="n">
        <x:v>25.1</x:v>
      </x:c>
      <x:c r="N68" s="86" t="n">
        <x:v>983</x:v>
      </x:c>
      <x:c r="O68" s="90" t="n">
        <x:v>6.4</x:v>
      </x:c>
      <x:c r="P68" s="150" t="n">
        <x:v>4.01</x:v>
      </x:c>
      <x:c r="Q68" s="86" t="n">
        <x:v>18</x:v>
      </x:c>
      <x:c r="R68" s="32"/>
      <x:c r="S68" s="32" t="str">
        <x:v>ok</x:v>
      </x:c>
      <x:c r="T68" s="32" t="str">
        <x:v>ok</x:v>
      </x:c>
      <x:c r="U68" s="32" t="str">
        <x:v>ok</x:v>
      </x:c>
      <x:c r="V68" s="32" t="str">
        <x:v>ok</x:v>
      </x:c>
      <x:c r="W68" s="154" t="str">
        <x:v>{"schema_version":1,"imei":"862323089930717","timestamp":1786015553,"report_sequence":3,"task_version":"rice_tension_soil_demo","sensor_mode":"tension_soil","soil_moisture_percent":34.9,"soil_temperature_c":25.1,"soil_ec_us_cm":983,"soil_ph":6.4,"battery_mv":4010,"csq":18,"soil_rs485_status":"ok","cycle_status":"ok","soil_tension_kpa":-35.9,"soil_tension_rs485_status":"ok"}</x:v>
      </x:c>
    </x:row>
    <x:row r="69">
      <x:c r="A69" s="72" t="n">
        <x:v>46240.809641203705</x:v>
      </x:c>
      <x:c r="B69" s="72" t="n">
        <x:v>46240.80965509259</x:v>
      </x:c>
      <x:c r="C69" s="32" t="str">
        <x:v>P18</x:v>
      </x:c>
      <x:c r="D69" s="32" t="str">
        <x:v>B3-W2-V2</x:v>
      </x:c>
      <x:c r="E69" s="32" t="str">
        <x:v>B3</x:v>
      </x:c>
      <x:c r="F69" s="32" t="str">
        <x:v>W2</x:v>
      </x:c>
      <x:c r="G69" s="32" t="str">
        <x:v>V2</x:v>
      </x:c>
      <x:c r="H69" s="32" t="str">
        <x:v>tension_soil</x:v>
      </x:c>
      <x:c r="I69" s="32" t="str">
        <x:v>862323089930718</x:v>
      </x:c>
      <x:c r="J69" s="82"/>
      <x:c r="K69" s="82" t="n">
        <x:v>-36.4</x:v>
      </x:c>
      <x:c r="L69" s="82" t="n">
        <x:v>35.4</x:v>
      </x:c>
      <x:c r="M69" s="82" t="n">
        <x:v>25</x:v>
      </x:c>
      <x:c r="N69" s="86" t="n">
        <x:v>986</x:v>
      </x:c>
      <x:c r="O69" s="90" t="n">
        <x:v>6.44</x:v>
      </x:c>
      <x:c r="P69" s="150" t="n">
        <x:v>3.92</x:v>
      </x:c>
      <x:c r="Q69" s="86" t="n">
        <x:v>19</x:v>
      </x:c>
      <x:c r="R69" s="32"/>
      <x:c r="S69" s="32" t="str">
        <x:v>ok</x:v>
      </x:c>
      <x:c r="T69" s="32" t="str">
        <x:v>ok</x:v>
      </x:c>
      <x:c r="U69" s="32" t="str">
        <x:v>ok</x:v>
      </x:c>
      <x:c r="V69" s="32" t="str">
        <x:v>ok</x:v>
      </x:c>
      <x:c r="W69" s="154" t="str">
        <x:v>{"schema_version":1,"imei":"862323089930718","timestamp":1786015553,"report_sequence":3,"task_version":"rice_tension_soil_demo","sensor_mode":"tension_soil","soil_moisture_percent":35.4,"soil_temperature_c":25,"soil_ec_us_cm":986,"soil_ph":6.44,"battery_mv":3920,"csq":19,"soil_rs485_status":"ok","cycle_status":"ok","soil_tension_kpa":-36.4,"soil_tension_rs485_status":"ok"}</x:v>
      </x:c>
    </x:row>
    <x:row r="70">
      <x:c r="A70" s="72" t="n">
        <x:v>46240.809641203705</x:v>
      </x:c>
      <x:c r="B70" s="72" t="n">
        <x:v>46240.80965509259</x:v>
      </x:c>
      <x:c r="C70" s="32" t="str">
        <x:v>P19</x:v>
      </x:c>
      <x:c r="D70" s="32" t="str">
        <x:v>B4-W0-V1</x:v>
      </x:c>
      <x:c r="E70" s="32" t="str">
        <x:v>B4</x:v>
      </x:c>
      <x:c r="F70" s="32" t="str">
        <x:v>W0</x:v>
      </x:c>
      <x:c r="G70" s="32" t="str">
        <x:v>V1</x:v>
      </x:c>
      <x:c r="H70" s="32" t="str">
        <x:v>water_soil</x:v>
      </x:c>
      <x:c r="I70" s="32" t="str">
        <x:v>862323089930719</x:v>
      </x:c>
      <x:c r="J70" s="82" t="n">
        <x:v>34.4</x:v>
      </x:c>
      <x:c r="K70" s="82"/>
      <x:c r="L70" s="82" t="n">
        <x:v>36</x:v>
      </x:c>
      <x:c r="M70" s="82" t="n">
        <x:v>24.8</x:v>
      </x:c>
      <x:c r="N70" s="86" t="n">
        <x:v>990</x:v>
      </x:c>
      <x:c r="O70" s="90" t="n">
        <x:v>6.48</x:v>
      </x:c>
      <x:c r="P70" s="150" t="n">
        <x:v>3.938</x:v>
      </x:c>
      <x:c r="Q70" s="86" t="n">
        <x:v>20</x:v>
      </x:c>
      <x:c r="R70" s="32" t="str">
        <x:v>ok</x:v>
      </x:c>
      <x:c r="S70" s="32"/>
      <x:c r="T70" s="32" t="str">
        <x:v>ok</x:v>
      </x:c>
      <x:c r="U70" s="32" t="str">
        <x:v>ok</x:v>
      </x:c>
      <x:c r="V70" s="32" t="str">
        <x:v>ok</x:v>
      </x:c>
      <x:c r="W70" s="154" t="str">
        <x:v>{"schema_version":1,"imei":"862323089930719","timestamp":1786015553,"report_sequence":3,"task_version":"rice_w0_water_soil_demo","sensor_mode":"water_soil","soil_moisture_percent":36,"soil_temperature_c":24.8,"soil_ec_us_cm":990,"soil_ph":6.48,"battery_mv":3938,"csq":20,"soil_rs485_status":"ok","cycle_status":"ok","water_level_mm":34.4,"water_4_20ma_status":"ok"}</x:v>
      </x:c>
    </x:row>
    <x:row r="71">
      <x:c r="A71" s="72" t="n">
        <x:v>46240.809641203705</x:v>
      </x:c>
      <x:c r="B71" s="72" t="n">
        <x:v>46240.80965509259</x:v>
      </x:c>
      <x:c r="C71" s="32" t="str">
        <x:v>P20</x:v>
      </x:c>
      <x:c r="D71" s="32" t="str">
        <x:v>B4-W0-V2</x:v>
      </x:c>
      <x:c r="E71" s="32" t="str">
        <x:v>B4</x:v>
      </x:c>
      <x:c r="F71" s="32" t="str">
        <x:v>W0</x:v>
      </x:c>
      <x:c r="G71" s="32" t="str">
        <x:v>V2</x:v>
      </x:c>
      <x:c r="H71" s="32" t="str">
        <x:v>water_soil</x:v>
      </x:c>
      <x:c r="I71" s="32" t="str">
        <x:v>862323089930720</x:v>
      </x:c>
      <x:c r="J71" s="82" t="n">
        <x:v>24.4</x:v>
      </x:c>
      <x:c r="K71" s="82"/>
      <x:c r="L71" s="82" t="n">
        <x:v>36.6</x:v>
      </x:c>
      <x:c r="M71" s="82" t="n">
        <x:v>24.7</x:v>
      </x:c>
      <x:c r="N71" s="86" t="n">
        <x:v>995</x:v>
      </x:c>
      <x:c r="O71" s="90" t="n">
        <x:v>6.28</x:v>
      </x:c>
      <x:c r="P71" s="150" t="n">
        <x:v>3.956</x:v>
      </x:c>
      <x:c r="Q71" s="86" t="n">
        <x:v>21</x:v>
      </x:c>
      <x:c r="R71" s="32" t="str">
        <x:v>ok</x:v>
      </x:c>
      <x:c r="S71" s="32"/>
      <x:c r="T71" s="32" t="str">
        <x:v>ok</x:v>
      </x:c>
      <x:c r="U71" s="32" t="str">
        <x:v>ok</x:v>
      </x:c>
      <x:c r="V71" s="32" t="str">
        <x:v>ok</x:v>
      </x:c>
      <x:c r="W71" s="154" t="str">
        <x:v>{"schema_version":1,"imei":"862323089930720","timestamp":1786015553,"report_sequence":3,"task_version":"rice_w0_water_soil_demo","sensor_mode":"water_soil","soil_moisture_percent":36.6,"soil_temperature_c":24.7,"soil_ec_us_cm":995,"soil_ph":6.28,"battery_mv":3956,"csq":21,"soil_rs485_status":"ok","cycle_status":"ok","water_level_mm":24.4,"water_4_20ma_status":"ok"}</x:v>
      </x:c>
    </x:row>
    <x:row r="72">
      <x:c r="A72" s="72" t="n">
        <x:v>46240.809641203705</x:v>
      </x:c>
      <x:c r="B72" s="72" t="n">
        <x:v>46240.80965509259</x:v>
      </x:c>
      <x:c r="C72" s="32" t="str">
        <x:v>P21</x:v>
      </x:c>
      <x:c r="D72" s="32" t="str">
        <x:v>B4-W1-V1</x:v>
      </x:c>
      <x:c r="E72" s="32" t="str">
        <x:v>B4</x:v>
      </x:c>
      <x:c r="F72" s="32" t="str">
        <x:v>W1</x:v>
      </x:c>
      <x:c r="G72" s="32" t="str">
        <x:v>V1</x:v>
      </x:c>
      <x:c r="H72" s="32" t="str">
        <x:v>tension_soil</x:v>
      </x:c>
      <x:c r="I72" s="32" t="str">
        <x:v>862323089930721</x:v>
      </x:c>
      <x:c r="J72" s="82"/>
      <x:c r="K72" s="82" t="n">
        <x:v>-22.3</x:v>
      </x:c>
      <x:c r="L72" s="82" t="n">
        <x:v>37.3</x:v>
      </x:c>
      <x:c r="M72" s="82" t="n">
        <x:v>24.7</x:v>
      </x:c>
      <x:c r="N72" s="86" t="n">
        <x:v>1002</x:v>
      </x:c>
      <x:c r="O72" s="90" t="n">
        <x:v>6.32</x:v>
      </x:c>
      <x:c r="P72" s="150" t="n">
        <x:v>3.974</x:v>
      </x:c>
      <x:c r="Q72" s="86" t="n">
        <x:v>22</x:v>
      </x:c>
      <x:c r="R72" s="32"/>
      <x:c r="S72" s="32" t="str">
        <x:v>ok</x:v>
      </x:c>
      <x:c r="T72" s="32" t="str">
        <x:v>ok</x:v>
      </x:c>
      <x:c r="U72" s="32" t="str">
        <x:v>ok</x:v>
      </x:c>
      <x:c r="V72" s="32" t="str">
        <x:v>ok</x:v>
      </x:c>
      <x:c r="W72" s="154" t="str">
        <x:v>{"schema_version":1,"imei":"862323089930721","timestamp":1786015553,"report_sequence":3,"task_version":"rice_tension_soil_demo","sensor_mode":"tension_soil","soil_moisture_percent":37.3,"soil_temperature_c":24.7,"soil_ec_us_cm":1002,"soil_ph":6.32,"battery_mv":3974,"csq":22,"soil_rs485_status":"ok","cycle_status":"ok","soil_tension_kpa":-22.3,"soil_tension_rs485_status":"ok"}</x:v>
      </x:c>
    </x:row>
    <x:row r="73">
      <x:c r="A73" s="72" t="n">
        <x:v>46240.809641203705</x:v>
      </x:c>
      <x:c r="B73" s="72" t="n">
        <x:v>46240.80965509259</x:v>
      </x:c>
      <x:c r="C73" s="32" t="str">
        <x:v>P22</x:v>
      </x:c>
      <x:c r="D73" s="32" t="str">
        <x:v>B4-W1-V2</x:v>
      </x:c>
      <x:c r="E73" s="32" t="str">
        <x:v>B4</x:v>
      </x:c>
      <x:c r="F73" s="32" t="str">
        <x:v>W1</x:v>
      </x:c>
      <x:c r="G73" s="32" t="str">
        <x:v>V2</x:v>
      </x:c>
      <x:c r="H73" s="32" t="str">
        <x:v>tension_soil</x:v>
      </x:c>
      <x:c r="I73" s="32" t="str">
        <x:v>862323089930722</x:v>
      </x:c>
      <x:c r="J73" s="82"/>
      <x:c r="K73" s="82" t="n">
        <x:v>-23.1</x:v>
      </x:c>
      <x:c r="L73" s="82" t="n">
        <x:v>38.1</x:v>
      </x:c>
      <x:c r="M73" s="82" t="n">
        <x:v>24.6</x:v>
      </x:c>
      <x:c r="N73" s="86" t="n">
        <x:v>1010</x:v>
      </x:c>
      <x:c r="O73" s="90" t="n">
        <x:v>6.37</x:v>
      </x:c>
      <x:c r="P73" s="150" t="n">
        <x:v>3.992</x:v>
      </x:c>
      <x:c r="Q73" s="86" t="n">
        <x:v>23</x:v>
      </x:c>
      <x:c r="R73" s="32"/>
      <x:c r="S73" s="32" t="str">
        <x:v>ok</x:v>
      </x:c>
      <x:c r="T73" s="32" t="str">
        <x:v>ok</x:v>
      </x:c>
      <x:c r="U73" s="32" t="str">
        <x:v>ok</x:v>
      </x:c>
      <x:c r="V73" s="32" t="str">
        <x:v>ok</x:v>
      </x:c>
      <x:c r="W73" s="154" t="str">
        <x:v>{"schema_version":1,"imei":"862323089930722","timestamp":1786015553,"report_sequence":3,"task_version":"rice_tension_soil_demo","sensor_mode":"tension_soil","soil_moisture_percent":38.1,"soil_temperature_c":24.6,"soil_ec_us_cm":1010,"soil_ph":6.37,"battery_mv":3992,"csq":23,"soil_rs485_status":"ok","cycle_status":"ok","soil_tension_kpa":-23.1,"soil_tension_rs485_status":"ok"}</x:v>
      </x:c>
    </x:row>
    <x:row r="74">
      <x:c r="A74" s="72" t="n">
        <x:v>46240.809641203705</x:v>
      </x:c>
      <x:c r="B74" s="72" t="n">
        <x:v>46240.80965509259</x:v>
      </x:c>
      <x:c r="C74" s="32" t="str">
        <x:v>P23</x:v>
      </x:c>
      <x:c r="D74" s="32" t="str">
        <x:v>B4-W2-V1</x:v>
      </x:c>
      <x:c r="E74" s="32" t="str">
        <x:v>B4</x:v>
      </x:c>
      <x:c r="F74" s="32" t="str">
        <x:v>W2</x:v>
      </x:c>
      <x:c r="G74" s="32" t="str">
        <x:v>V1</x:v>
      </x:c>
      <x:c r="H74" s="32" t="str">
        <x:v>tension_soil</x:v>
      </x:c>
      <x:c r="I74" s="32" t="str">
        <x:v>862323089930723</x:v>
      </x:c>
      <x:c r="J74" s="82"/>
      <x:c r="K74" s="82" t="n">
        <x:v>-35</x:v>
      </x:c>
      <x:c r="L74" s="82" t="n">
        <x:v>39</x:v>
      </x:c>
      <x:c r="M74" s="82" t="n">
        <x:v>24.6</x:v>
      </x:c>
      <x:c r="N74" s="86" t="n">
        <x:v>1021</x:v>
      </x:c>
      <x:c r="O74" s="90" t="n">
        <x:v>6.42</x:v>
      </x:c>
      <x:c r="P74" s="150" t="n">
        <x:v>4.01</x:v>
      </x:c>
      <x:c r="Q74" s="86" t="n">
        <x:v>24</x:v>
      </x:c>
      <x:c r="R74" s="32"/>
      <x:c r="S74" s="32" t="str">
        <x:v>ok</x:v>
      </x:c>
      <x:c r="T74" s="32" t="str">
        <x:v>ok</x:v>
      </x:c>
      <x:c r="U74" s="32" t="str">
        <x:v>ok</x:v>
      </x:c>
      <x:c r="V74" s="32" t="str">
        <x:v>ok</x:v>
      </x:c>
      <x:c r="W74" s="154" t="str">
        <x:v>{"schema_version":1,"imei":"862323089930723","timestamp":1786015553,"report_sequence":3,"task_version":"rice_tension_soil_demo","sensor_mode":"tension_soil","soil_moisture_percent":39,"soil_temperature_c":24.6,"soil_ec_us_cm":1021,"soil_ph":6.42,"battery_mv":4010,"csq":24,"soil_rs485_status":"ok","cycle_status":"ok","soil_tension_kpa":-35,"soil_tension_rs485_status":"ok"}</x:v>
      </x:c>
    </x:row>
    <x:row r="75">
      <x:c r="A75" s="72" t="n">
        <x:v>46240.809641203705</x:v>
      </x:c>
      <x:c r="B75" s="72" t="n">
        <x:v>46240.80965509259</x:v>
      </x:c>
      <x:c r="C75" s="32" t="str">
        <x:v>P24</x:v>
      </x:c>
      <x:c r="D75" s="32" t="str">
        <x:v>B4-W2-V2</x:v>
      </x:c>
      <x:c r="E75" s="32" t="str">
        <x:v>B4</x:v>
      </x:c>
      <x:c r="F75" s="32" t="str">
        <x:v>W2</x:v>
      </x:c>
      <x:c r="G75" s="32" t="str">
        <x:v>V2</x:v>
      </x:c>
      <x:c r="H75" s="32" t="str">
        <x:v>tension_soil</x:v>
      </x:c>
      <x:c r="I75" s="32" t="str">
        <x:v>862323089930724</x:v>
      </x:c>
      <x:c r="J75" s="82"/>
      <x:c r="K75" s="82" t="n">
        <x:v>-36</x:v>
      </x:c>
      <x:c r="L75" s="82" t="n">
        <x:v>32</x:v>
      </x:c>
      <x:c r="M75" s="82" t="n">
        <x:v>24.6</x:v>
      </x:c>
      <x:c r="N75" s="86" t="n">
        <x:v>1034</x:v>
      </x:c>
      <x:c r="O75" s="90" t="n">
        <x:v>6.47</x:v>
      </x:c>
      <x:c r="P75" s="150" t="n">
        <x:v>3.92</x:v>
      </x:c>
      <x:c r="Q75" s="86" t="n">
        <x:v>17</x:v>
      </x:c>
      <x:c r="R75" s="32"/>
      <x:c r="S75" s="32" t="str">
        <x:v>ok</x:v>
      </x:c>
      <x:c r="T75" s="32" t="str">
        <x:v>ok</x:v>
      </x:c>
      <x:c r="U75" s="32" t="str">
        <x:v>ok</x:v>
      </x:c>
      <x:c r="V75" s="32" t="str">
        <x:v>ok</x:v>
      </x:c>
      <x:c r="W75" s="154" t="str">
        <x:v>{"schema_version":1,"imei":"862323089930724","timestamp":1786015553,"report_sequence":3,"task_version":"rice_tension_soil_demo","sensor_mode":"tension_soil","soil_moisture_percent":32,"soil_temperature_c":24.6,"soil_ec_us_cm":1034,"soil_ph":6.47,"battery_mv":3920,"csq":17,"soil_rs485_status":"ok","cycle_status":"ok","soil_tension_kpa":-36,"soil_tension_rs485_status":"ok"}</x:v>
      </x:c>
    </x:row>
    <x:row r="76">
      <x:c r="A76" s="72" t="n">
        <x:v>46240.813113425924</x:v>
      </x:c>
      <x:c r="B76" s="72" t="n">
        <x:v>46240.81312731482</x:v>
      </x:c>
      <x:c r="C76" s="32" t="str">
        <x:v>P01</x:v>
      </x:c>
      <x:c r="D76" s="32" t="str">
        <x:v>B1-W0-V1</x:v>
      </x:c>
      <x:c r="E76" s="32" t="str">
        <x:v>B1</x:v>
      </x:c>
      <x:c r="F76" s="32" t="str">
        <x:v>W0</x:v>
      </x:c>
      <x:c r="G76" s="32" t="str">
        <x:v>V1</x:v>
      </x:c>
      <x:c r="H76" s="32" t="str">
        <x:v>water_soil</x:v>
      </x:c>
      <x:c r="I76" s="32" t="str">
        <x:v>862323089930701</x:v>
      </x:c>
      <x:c r="J76" s="82" t="n">
        <x:v>26.6</x:v>
      </x:c>
      <x:c r="K76" s="82"/>
      <x:c r="L76" s="82" t="n">
        <x:v>33.2</x:v>
      </x:c>
      <x:c r="M76" s="82" t="n">
        <x:v>24.7</x:v>
      </x:c>
      <x:c r="N76" s="86" t="n">
        <x:v>761</x:v>
      </x:c>
      <x:c r="O76" s="90" t="n">
        <x:v>6.32</x:v>
      </x:c>
      <x:c r="P76" s="150" t="n">
        <x:v>3.938</x:v>
      </x:c>
      <x:c r="Q76" s="86" t="n">
        <x:v>18</x:v>
      </x:c>
      <x:c r="R76" s="32" t="str">
        <x:v>ok</x:v>
      </x:c>
      <x:c r="S76" s="32"/>
      <x:c r="T76" s="32" t="str">
        <x:v>ok</x:v>
      </x:c>
      <x:c r="U76" s="32" t="str">
        <x:v>ok</x:v>
      </x:c>
      <x:c r="V76" s="32" t="str">
        <x:v>ok</x:v>
      </x:c>
      <x:c r="W76" s="154" t="str">
        <x:v>{"schema_version":1,"imei":"862323089930701","timestamp":1786015853,"report_sequence":4,"task_version":"rice_w0_water_soil_demo","sensor_mode":"water_soil","soil_moisture_percent":33.2,"soil_temperature_c":24.7,"soil_ec_us_cm":761,"soil_ph":6.32,"battery_mv":3938,"csq":18,"soil_rs485_status":"ok","cycle_status":"ok","water_level_mm":26.6,"water_4_20ma_status":"ok"}</x:v>
      </x:c>
    </x:row>
    <x:row r="77">
      <x:c r="A77" s="72" t="n">
        <x:v>46240.813113425924</x:v>
      </x:c>
      <x:c r="B77" s="72" t="n">
        <x:v>46240.81312731482</x:v>
      </x:c>
      <x:c r="C77" s="32" t="str">
        <x:v>P02</x:v>
      </x:c>
      <x:c r="D77" s="32" t="str">
        <x:v>B1-W0-V2</x:v>
      </x:c>
      <x:c r="E77" s="32" t="str">
        <x:v>B1</x:v>
      </x:c>
      <x:c r="F77" s="32" t="str">
        <x:v>W0</x:v>
      </x:c>
      <x:c r="G77" s="32" t="str">
        <x:v>V2</x:v>
      </x:c>
      <x:c r="H77" s="32" t="str">
        <x:v>water_soil</x:v>
      </x:c>
      <x:c r="I77" s="32" t="str">
        <x:v>862323089930702</x:v>
      </x:c>
      <x:c r="J77" s="82" t="n">
        <x:v>30.4</x:v>
      </x:c>
      <x:c r="K77" s="82"/>
      <x:c r="L77" s="82" t="n">
        <x:v>34.5</x:v>
      </x:c>
      <x:c r="M77" s="82" t="n">
        <x:v>24.7</x:v>
      </x:c>
      <x:c r="N77" s="86" t="n">
        <x:v>778</x:v>
      </x:c>
      <x:c r="O77" s="90" t="n">
        <x:v>6.38</x:v>
      </x:c>
      <x:c r="P77" s="150" t="n">
        <x:v>3.956</x:v>
      </x:c>
      <x:c r="Q77" s="86" t="n">
        <x:v>19</x:v>
      </x:c>
      <x:c r="R77" s="32" t="str">
        <x:v>ok</x:v>
      </x:c>
      <x:c r="S77" s="32"/>
      <x:c r="T77" s="32" t="str">
        <x:v>ok</x:v>
      </x:c>
      <x:c r="U77" s="32" t="str">
        <x:v>ok</x:v>
      </x:c>
      <x:c r="V77" s="32" t="str">
        <x:v>ok</x:v>
      </x:c>
      <x:c r="W77" s="154" t="str">
        <x:v>{"schema_version":1,"imei":"862323089930702","timestamp":1786015853,"report_sequence":4,"task_version":"rice_w0_water_soil_demo","sensor_mode":"water_soil","soil_moisture_percent":34.5,"soil_temperature_c":24.7,"soil_ec_us_cm":778,"soil_ph":6.38,"battery_mv":3956,"csq":19,"soil_rs485_status":"ok","cycle_status":"ok","water_level_mm":30.4,"water_4_20ma_status":"ok"}</x:v>
      </x:c>
    </x:row>
    <x:row r="78">
      <x:c r="A78" s="72" t="n">
        <x:v>46240.813113425924</x:v>
      </x:c>
      <x:c r="B78" s="72" t="n">
        <x:v>46240.81312731482</x:v>
      </x:c>
      <x:c r="C78" s="32" t="str">
        <x:v>P03</x:v>
      </x:c>
      <x:c r="D78" s="32" t="str">
        <x:v>B1-W1-V1</x:v>
      </x:c>
      <x:c r="E78" s="32" t="str">
        <x:v>B1</x:v>
      </x:c>
      <x:c r="F78" s="32" t="str">
        <x:v>W1</x:v>
      </x:c>
      <x:c r="G78" s="32" t="str">
        <x:v>V1</x:v>
      </x:c>
      <x:c r="H78" s="32" t="str">
        <x:v>tension_soil</x:v>
      </x:c>
      <x:c r="I78" s="32" t="str">
        <x:v>862323089930703</x:v>
      </x:c>
      <x:c r="J78" s="82"/>
      <x:c r="K78" s="82" t="n">
        <x:v>-24.9</x:v>
      </x:c>
      <x:c r="L78" s="82" t="n">
        <x:v>35.9</x:v>
      </x:c>
      <x:c r="M78" s="82" t="n">
        <x:v>24.8</x:v>
      </x:c>
      <x:c r="N78" s="86" t="n">
        <x:v>797</x:v>
      </x:c>
      <x:c r="O78" s="90" t="n">
        <x:v>6.43</x:v>
      </x:c>
      <x:c r="P78" s="150" t="n">
        <x:v>3.974</x:v>
      </x:c>
      <x:c r="Q78" s="86" t="n">
        <x:v>20</x:v>
      </x:c>
      <x:c r="R78" s="32"/>
      <x:c r="S78" s="32" t="str">
        <x:v>ok</x:v>
      </x:c>
      <x:c r="T78" s="32" t="str">
        <x:v>ok</x:v>
      </x:c>
      <x:c r="U78" s="32" t="str">
        <x:v>ok</x:v>
      </x:c>
      <x:c r="V78" s="32" t="str">
        <x:v>ok</x:v>
      </x:c>
      <x:c r="W78" s="154" t="str">
        <x:v>{"schema_version":1,"imei":"862323089930703","timestamp":1786015853,"report_sequence":4,"task_version":"rice_tension_soil_demo","sensor_mode":"tension_soil","soil_moisture_percent":35.9,"soil_temperature_c":24.8,"soil_ec_us_cm":797,"soil_ph":6.43,"battery_mv":3974,"csq":20,"soil_rs485_status":"ok","cycle_status":"ok","soil_tension_kpa":-24.9,"soil_tension_rs485_status":"ok"}</x:v>
      </x:c>
    </x:row>
    <x:row r="79">
      <x:c r="A79" s="72" t="n">
        <x:v>46240.813113425924</x:v>
      </x:c>
      <x:c r="B79" s="72" t="n">
        <x:v>46240.81312731482</x:v>
      </x:c>
      <x:c r="C79" s="32" t="str">
        <x:v>P04</x:v>
      </x:c>
      <x:c r="D79" s="32" t="str">
        <x:v>B1-W1-V2</x:v>
      </x:c>
      <x:c r="E79" s="32" t="str">
        <x:v>B1</x:v>
      </x:c>
      <x:c r="F79" s="32" t="str">
        <x:v>W1</x:v>
      </x:c>
      <x:c r="G79" s="32" t="str">
        <x:v>V2</x:v>
      </x:c>
      <x:c r="H79" s="32" t="str">
        <x:v>tension_soil</x:v>
      </x:c>
      <x:c r="I79" s="32" t="str">
        <x:v>862323089930704</x:v>
      </x:c>
      <x:c r="J79" s="82"/>
      <x:c r="K79" s="82" t="n">
        <x:v>-26.4</x:v>
      </x:c>
      <x:c r="L79" s="82" t="n">
        <x:v>37.4</x:v>
      </x:c>
      <x:c r="M79" s="82" t="n">
        <x:v>24.9</x:v>
      </x:c>
      <x:c r="N79" s="86" t="n">
        <x:v>817</x:v>
      </x:c>
      <x:c r="O79" s="90" t="n">
        <x:v>6.49</x:v>
      </x:c>
      <x:c r="P79" s="150" t="n">
        <x:v>3.992</x:v>
      </x:c>
      <x:c r="Q79" s="86" t="n">
        <x:v>21</x:v>
      </x:c>
      <x:c r="R79" s="32"/>
      <x:c r="S79" s="32" t="str">
        <x:v>ok</x:v>
      </x:c>
      <x:c r="T79" s="32" t="str">
        <x:v>ok</x:v>
      </x:c>
      <x:c r="U79" s="32" t="str">
        <x:v>ok</x:v>
      </x:c>
      <x:c r="V79" s="32" t="str">
        <x:v>ok</x:v>
      </x:c>
      <x:c r="W79" s="154" t="str">
        <x:v>{"schema_version":1,"imei":"862323089930704","timestamp":1786015853,"report_sequence":4,"task_version":"rice_tension_soil_demo","sensor_mode":"tension_soil","soil_moisture_percent":37.4,"soil_temperature_c":24.9,"soil_ec_us_cm":817,"soil_ph":6.49,"battery_mv":3992,"csq":21,"soil_rs485_status":"ok","cycle_status":"ok","soil_tension_kpa":-26.4,"soil_tension_rs485_status":"ok"}</x:v>
      </x:c>
    </x:row>
    <x:row r="80">
      <x:c r="A80" s="72" t="n">
        <x:v>46240.813113425924</x:v>
      </x:c>
      <x:c r="B80" s="72" t="n">
        <x:v>46240.81312731482</x:v>
      </x:c>
      <x:c r="C80" s="32" t="str">
        <x:v>P05</x:v>
      </x:c>
      <x:c r="D80" s="32" t="str">
        <x:v>B1-W2-V1</x:v>
      </x:c>
      <x:c r="E80" s="32" t="str">
        <x:v>B1</x:v>
      </x:c>
      <x:c r="F80" s="32" t="str">
        <x:v>W2</x:v>
      </x:c>
      <x:c r="G80" s="32" t="str">
        <x:v>V1</x:v>
      </x:c>
      <x:c r="H80" s="32" t="str">
        <x:v>tension_soil</x:v>
      </x:c>
      <x:c r="I80" s="32" t="str">
        <x:v>862323089930705</x:v>
      </x:c>
      <x:c r="J80" s="82"/>
      <x:c r="K80" s="82" t="n">
        <x:v>-33.9</x:v>
      </x:c>
      <x:c r="L80" s="82" t="n">
        <x:v>38.9</x:v>
      </x:c>
      <x:c r="M80" s="82" t="n">
        <x:v>25.1</x:v>
      </x:c>
      <x:c r="N80" s="86" t="n">
        <x:v>838</x:v>
      </x:c>
      <x:c r="O80" s="90" t="n">
        <x:v>6.3</x:v>
      </x:c>
      <x:c r="P80" s="150" t="n">
        <x:v>4.01</x:v>
      </x:c>
      <x:c r="Q80" s="86" t="n">
        <x:v>22</x:v>
      </x:c>
      <x:c r="R80" s="32"/>
      <x:c r="S80" s="32" t="str">
        <x:v>ok</x:v>
      </x:c>
      <x:c r="T80" s="32" t="str">
        <x:v>ok</x:v>
      </x:c>
      <x:c r="U80" s="32" t="str">
        <x:v>ok</x:v>
      </x:c>
      <x:c r="V80" s="32" t="str">
        <x:v>ok</x:v>
      </x:c>
      <x:c r="W80" s="154" t="str">
        <x:v>{"schema_version":1,"imei":"862323089930705","timestamp":1786015853,"report_sequence":4,"task_version":"rice_tension_soil_demo","sensor_mode":"tension_soil","soil_moisture_percent":38.9,"soil_temperature_c":25.1,"soil_ec_us_cm":838,"soil_ph":6.3,"battery_mv":4010,"csq":22,"soil_rs485_status":"ok","cycle_status":"ok","soil_tension_kpa":-33.9,"soil_tension_rs485_status":"ok"}</x:v>
      </x:c>
    </x:row>
    <x:row r="81">
      <x:c r="A81" s="72" t="n">
        <x:v>46240.813113425924</x:v>
      </x:c>
      <x:c r="B81" s="72" t="n">
        <x:v>46240.81312731482</x:v>
      </x:c>
      <x:c r="C81" s="32" t="str">
        <x:v>P06</x:v>
      </x:c>
      <x:c r="D81" s="32" t="str">
        <x:v>B1-W2-V2</x:v>
      </x:c>
      <x:c r="E81" s="32" t="str">
        <x:v>B1</x:v>
      </x:c>
      <x:c r="F81" s="32" t="str">
        <x:v>W2</x:v>
      </x:c>
      <x:c r="G81" s="32" t="str">
        <x:v>V2</x:v>
      </x:c>
      <x:c r="H81" s="32" t="str">
        <x:v>tension_soil</x:v>
      </x:c>
      <x:c r="I81" s="32" t="str">
        <x:v>862323089930706</x:v>
      </x:c>
      <x:c r="J81" s="82"/>
      <x:c r="K81" s="82" t="n">
        <x:v>-35.4</x:v>
      </x:c>
      <x:c r="L81" s="82" t="n">
        <x:v>40.4</x:v>
      </x:c>
      <x:c r="M81" s="82" t="n">
        <x:v>25.2</x:v>
      </x:c>
      <x:c r="N81" s="86" t="n">
        <x:v>858</x:v>
      </x:c>
      <x:c r="O81" s="90" t="n">
        <x:v>6.36</x:v>
      </x:c>
      <x:c r="P81" s="150" t="n">
        <x:v>3.92</x:v>
      </x:c>
      <x:c r="Q81" s="86" t="n">
        <x:v>23</x:v>
      </x:c>
      <x:c r="R81" s="32"/>
      <x:c r="S81" s="32" t="str">
        <x:v>ok</x:v>
      </x:c>
      <x:c r="T81" s="32" t="str">
        <x:v>ok</x:v>
      </x:c>
      <x:c r="U81" s="32" t="str">
        <x:v>ok</x:v>
      </x:c>
      <x:c r="V81" s="32" t="str">
        <x:v>ok</x:v>
      </x:c>
      <x:c r="W81" s="154" t="str">
        <x:v>{"schema_version":1,"imei":"862323089930706","timestamp":1786015853,"report_sequence":4,"task_version":"rice_tension_soil_demo","sensor_mode":"tension_soil","soil_moisture_percent":40.4,"soil_temperature_c":25.2,"soil_ec_us_cm":858,"soil_ph":6.36,"battery_mv":3920,"csq":23,"soil_rs485_status":"ok","cycle_status":"ok","soil_tension_kpa":-35.4,"soil_tension_rs485_status":"ok"}</x:v>
      </x:c>
    </x:row>
    <x:row r="82">
      <x:c r="A82" s="72" t="n">
        <x:v>46240.813113425924</x:v>
      </x:c>
      <x:c r="B82" s="72" t="n">
        <x:v>46240.81312731482</x:v>
      </x:c>
      <x:c r="C82" s="32" t="str">
        <x:v>P07</x:v>
      </x:c>
      <x:c r="D82" s="32" t="str">
        <x:v>B2-W0-V1</x:v>
      </x:c>
      <x:c r="E82" s="32" t="str">
        <x:v>B2</x:v>
      </x:c>
      <x:c r="F82" s="32" t="str">
        <x:v>W0</x:v>
      </x:c>
      <x:c r="G82" s="32" t="str">
        <x:v>V1</x:v>
      </x:c>
      <x:c r="H82" s="32" t="str">
        <x:v>water_soil</x:v>
      </x:c>
      <x:c r="I82" s="32" t="str">
        <x:v>862323089930707</x:v>
      </x:c>
      <x:c r="J82" s="82" t="n">
        <x:v>39.1</x:v>
      </x:c>
      <x:c r="K82" s="82"/>
      <x:c r="L82" s="82" t="n">
        <x:v>41.8</x:v>
      </x:c>
      <x:c r="M82" s="82" t="n">
        <x:v>25.3</x:v>
      </x:c>
      <x:c r="N82" s="86" t="n">
        <x:v>879</x:v>
      </x:c>
      <x:c r="O82" s="90" t="n">
        <x:v>6.41</x:v>
      </x:c>
      <x:c r="P82" s="150" t="n">
        <x:v>3.938</x:v>
      </x:c>
      <x:c r="Q82" s="86" t="n">
        <x:v>24</x:v>
      </x:c>
      <x:c r="R82" s="32" t="str">
        <x:v>ok</x:v>
      </x:c>
      <x:c r="S82" s="32"/>
      <x:c r="T82" s="32" t="str">
        <x:v>ok</x:v>
      </x:c>
      <x:c r="U82" s="32" t="str">
        <x:v>ok</x:v>
      </x:c>
      <x:c r="V82" s="32" t="str">
        <x:v>ok</x:v>
      </x:c>
      <x:c r="W82" s="154" t="str">
        <x:v>{"schema_version":1,"imei":"862323089930707","timestamp":1786015853,"report_sequence":4,"task_version":"rice_w0_water_soil_demo","sensor_mode":"water_soil","soil_moisture_percent":41.8,"soil_temperature_c":25.3,"soil_ec_us_cm":879,"soil_ph":6.41,"battery_mv":3938,"csq":24,"soil_rs485_status":"ok","cycle_status":"ok","water_level_mm":39.1,"water_4_20ma_status":"ok"}</x:v>
      </x:c>
    </x:row>
    <x:row r="83">
      <x:c r="A83" s="72" t="n">
        <x:v>46240.813113425924</x:v>
      </x:c>
      <x:c r="B83" s="72" t="n">
        <x:v>46240.81312731482</x:v>
      </x:c>
      <x:c r="C83" s="32" t="str">
        <x:v>P08</x:v>
      </x:c>
      <x:c r="D83" s="32" t="str">
        <x:v>B2-W0-V2</x:v>
      </x:c>
      <x:c r="E83" s="32" t="str">
        <x:v>B2</x:v>
      </x:c>
      <x:c r="F83" s="32" t="str">
        <x:v>W0</x:v>
      </x:c>
      <x:c r="G83" s="32" t="str">
        <x:v>V2</x:v>
      </x:c>
      <x:c r="H83" s="32" t="str">
        <x:v>water_soil</x:v>
      </x:c>
      <x:c r="I83" s="32" t="str">
        <x:v>862323089930708</x:v>
      </x:c>
      <x:c r="J83" s="82" t="n">
        <x:v>31.2</x:v>
      </x:c>
      <x:c r="K83" s="82"/>
      <x:c r="L83" s="82" t="n">
        <x:v>35.3</x:v>
      </x:c>
      <x:c r="M83" s="82" t="n">
        <x:v>25.4</x:v>
      </x:c>
      <x:c r="N83" s="86" t="n">
        <x:v>898</x:v>
      </x:c>
      <x:c r="O83" s="90" t="n">
        <x:v>6.47</x:v>
      </x:c>
      <x:c r="P83" s="150" t="n">
        <x:v>3.956</x:v>
      </x:c>
      <x:c r="Q83" s="86" t="n">
        <x:v>17</x:v>
      </x:c>
      <x:c r="R83" s="32" t="str">
        <x:v>ok</x:v>
      </x:c>
      <x:c r="S83" s="32"/>
      <x:c r="T83" s="32" t="str">
        <x:v>ok</x:v>
      </x:c>
      <x:c r="U83" s="32" t="str">
        <x:v>ok</x:v>
      </x:c>
      <x:c r="V83" s="32" t="str">
        <x:v>ok</x:v>
      </x:c>
      <x:c r="W83" s="154" t="str">
        <x:v>{"schema_version":1,"imei":"862323089930708","timestamp":1786015853,"report_sequence":4,"task_version":"rice_w0_water_soil_demo","sensor_mode":"water_soil","soil_moisture_percent":35.3,"soil_temperature_c":25.4,"soil_ec_us_cm":898,"soil_ph":6.47,"battery_mv":3956,"csq":17,"soil_rs485_status":"ok","cycle_status":"ok","water_level_mm":31.2,"water_4_20ma_status":"ok"}</x:v>
      </x:c>
    </x:row>
    <x:row r="84">
      <x:c r="A84" s="72" t="n">
        <x:v>46240.813113425924</x:v>
      </x:c>
      <x:c r="B84" s="72" t="n">
        <x:v>46240.81312731482</x:v>
      </x:c>
      <x:c r="C84" s="32" t="str">
        <x:v>P09</x:v>
      </x:c>
      <x:c r="D84" s="32" t="str">
        <x:v>B2-W1-V1</x:v>
      </x:c>
      <x:c r="E84" s="32" t="str">
        <x:v>B2</x:v>
      </x:c>
      <x:c r="F84" s="32" t="str">
        <x:v>W1</x:v>
      </x:c>
      <x:c r="G84" s="32" t="str">
        <x:v>V1</x:v>
      </x:c>
      <x:c r="H84" s="32" t="str">
        <x:v>tension_soil</x:v>
      </x:c>
      <x:c r="I84" s="32" t="str">
        <x:v>862323089930709</x:v>
      </x:c>
      <x:c r="J84" s="82"/>
      <x:c r="K84" s="82" t="n">
        <x:v>-28.6</x:v>
      </x:c>
      <x:c r="L84" s="82" t="n">
        <x:v>36.6</x:v>
      </x:c>
      <x:c r="M84" s="82" t="n">
        <x:v>25.5</x:v>
      </x:c>
      <x:c r="N84" s="86" t="n">
        <x:v>916</x:v>
      </x:c>
      <x:c r="O84" s="90" t="n">
        <x:v>6.52</x:v>
      </x:c>
      <x:c r="P84" s="150" t="n">
        <x:v>3.974</x:v>
      </x:c>
      <x:c r="Q84" s="86" t="n">
        <x:v>18</x:v>
      </x:c>
      <x:c r="R84" s="32"/>
      <x:c r="S84" s="32" t="str">
        <x:v>ok</x:v>
      </x:c>
      <x:c r="T84" s="32" t="str">
        <x:v>ok</x:v>
      </x:c>
      <x:c r="U84" s="32" t="str">
        <x:v>ok</x:v>
      </x:c>
      <x:c r="V84" s="32" t="str">
        <x:v>ok</x:v>
      </x:c>
      <x:c r="W84" s="154" t="str">
        <x:v>{"schema_version":1,"imei":"862323089930709","timestamp":1786015853,"report_sequence":4,"task_version":"rice_tension_soil_demo","sensor_mode":"tension_soil","soil_moisture_percent":36.6,"soil_temperature_c":25.5,"soil_ec_us_cm":916,"soil_ph":6.52,"battery_mv":3974,"csq":18,"soil_rs485_status":"ok","cycle_status":"ok","soil_tension_kpa":-28.6,"soil_tension_rs485_status":"ok"}</x:v>
      </x:c>
    </x:row>
    <x:row r="85">
      <x:c r="A85" s="72" t="n">
        <x:v>46240.813113425924</x:v>
      </x:c>
      <x:c r="B85" s="72" t="n">
        <x:v>46240.81312731482</x:v>
      </x:c>
      <x:c r="C85" s="32" t="str">
        <x:v>P10</x:v>
      </x:c>
      <x:c r="D85" s="32" t="str">
        <x:v>B2-W1-V2</x:v>
      </x:c>
      <x:c r="E85" s="32" t="str">
        <x:v>B2</x:v>
      </x:c>
      <x:c r="F85" s="32" t="str">
        <x:v>W1</x:v>
      </x:c>
      <x:c r="G85" s="32" t="str">
        <x:v>V2</x:v>
      </x:c>
      <x:c r="H85" s="32" t="str">
        <x:v>tension_soil</x:v>
      </x:c>
      <x:c r="I85" s="32" t="str">
        <x:v>862323089930710</x:v>
      </x:c>
      <x:c r="J85" s="82"/>
      <x:c r="K85" s="82" t="n">
        <x:v>-24.9</x:v>
      </x:c>
      <x:c r="L85" s="82" t="n">
        <x:v>37.9</x:v>
      </x:c>
      <x:c r="M85" s="82" t="n">
        <x:v>25.6</x:v>
      </x:c>
      <x:c r="N85" s="86" t="n">
        <x:v>932</x:v>
      </x:c>
      <x:c r="O85" s="90" t="n">
        <x:v>6.33</x:v>
      </x:c>
      <x:c r="P85" s="150" t="n">
        <x:v>3.992</x:v>
      </x:c>
      <x:c r="Q85" s="86" t="n">
        <x:v>19</x:v>
      </x:c>
      <x:c r="R85" s="32"/>
      <x:c r="S85" s="32" t="str">
        <x:v>ok</x:v>
      </x:c>
      <x:c r="T85" s="32" t="str">
        <x:v>ok</x:v>
      </x:c>
      <x:c r="U85" s="32" t="str">
        <x:v>ok</x:v>
      </x:c>
      <x:c r="V85" s="32" t="str">
        <x:v>ok</x:v>
      </x:c>
      <x:c r="W85" s="154" t="str">
        <x:v>{"schema_version":1,"imei":"862323089930710","timestamp":1786015853,"report_sequence":4,"task_version":"rice_tension_soil_demo","sensor_mode":"tension_soil","soil_moisture_percent":37.9,"soil_temperature_c":25.6,"soil_ec_us_cm":932,"soil_ph":6.33,"battery_mv":3992,"csq":19,"soil_rs485_status":"ok","cycle_status":"ok","soil_tension_kpa":-24.9,"soil_tension_rs485_status":"ok"}</x:v>
      </x:c>
    </x:row>
    <x:row r="86">
      <x:c r="A86" s="72" t="n">
        <x:v>46240.813113425924</x:v>
      </x:c>
      <x:c r="B86" s="72" t="n">
        <x:v>46240.81312731482</x:v>
      </x:c>
      <x:c r="C86" s="32" t="str">
        <x:v>P11</x:v>
      </x:c>
      <x:c r="D86" s="32" t="str">
        <x:v>B2-W2-V1</x:v>
      </x:c>
      <x:c r="E86" s="32" t="str">
        <x:v>B2</x:v>
      </x:c>
      <x:c r="F86" s="32" t="str">
        <x:v>W2</x:v>
      </x:c>
      <x:c r="G86" s="32" t="str">
        <x:v>V1</x:v>
      </x:c>
      <x:c r="H86" s="32" t="str">
        <x:v>tension_soil</x:v>
      </x:c>
      <x:c r="I86" s="32" t="str">
        <x:v>862323089930711</x:v>
      </x:c>
      <x:c r="J86" s="82"/>
      <x:c r="K86" s="82" t="n">
        <x:v>-37</x:v>
      </x:c>
      <x:c r="L86" s="82" t="n">
        <x:v>39</x:v>
      </x:c>
      <x:c r="M86" s="82" t="n">
        <x:v>25.6</x:v>
      </x:c>
      <x:c r="N86" s="86" t="n">
        <x:v>947</x:v>
      </x:c>
      <x:c r="O86" s="90" t="n">
        <x:v>6.38</x:v>
      </x:c>
      <x:c r="P86" s="150" t="n">
        <x:v>4.01</x:v>
      </x:c>
      <x:c r="Q86" s="86" t="n">
        <x:v>20</x:v>
      </x:c>
      <x:c r="R86" s="32"/>
      <x:c r="S86" s="32" t="str">
        <x:v>ok</x:v>
      </x:c>
      <x:c r="T86" s="32" t="str">
        <x:v>ok</x:v>
      </x:c>
      <x:c r="U86" s="32" t="str">
        <x:v>ok</x:v>
      </x:c>
      <x:c r="V86" s="32" t="str">
        <x:v>ok</x:v>
      </x:c>
      <x:c r="W86" s="154" t="str">
        <x:v>{"schema_version":1,"imei":"862323089930711","timestamp":1786015853,"report_sequence":4,"task_version":"rice_tension_soil_demo","sensor_mode":"tension_soil","soil_moisture_percent":39,"soil_temperature_c":25.6,"soil_ec_us_cm":947,"soil_ph":6.38,"battery_mv":4010,"csq":20,"soil_rs485_status":"ok","cycle_status":"ok","soil_tension_kpa":-37,"soil_tension_rs485_status":"ok"}</x:v>
      </x:c>
    </x:row>
    <x:row r="87">
      <x:c r="A87" s="72" t="n">
        <x:v>46240.813113425924</x:v>
      </x:c>
      <x:c r="B87" s="72" t="n">
        <x:v>46240.81312731482</x:v>
      </x:c>
      <x:c r="C87" s="32" t="str">
        <x:v>P12</x:v>
      </x:c>
      <x:c r="D87" s="32" t="str">
        <x:v>B2-W2-V2</x:v>
      </x:c>
      <x:c r="E87" s="32" t="str">
        <x:v>B2</x:v>
      </x:c>
      <x:c r="F87" s="32" t="str">
        <x:v>W2</x:v>
      </x:c>
      <x:c r="G87" s="32" t="str">
        <x:v>V2</x:v>
      </x:c>
      <x:c r="H87" s="32" t="str">
        <x:v>tension_soil</x:v>
      </x:c>
      <x:c r="I87" s="32" t="str">
        <x:v>862323089930712</x:v>
      </x:c>
      <x:c r="J87" s="82"/>
      <x:c r="K87" s="82" t="n">
        <x:v>-38</x:v>
      </x:c>
      <x:c r="L87" s="82" t="n">
        <x:v>40</x:v>
      </x:c>
      <x:c r="M87" s="82" t="n">
        <x:v>25.6</x:v>
      </x:c>
      <x:c r="N87" s="86" t="n">
        <x:v>959</x:v>
      </x:c>
      <x:c r="O87" s="90" t="n">
        <x:v>6.43</x:v>
      </x:c>
      <x:c r="P87" s="150" t="n">
        <x:v>3.92</x:v>
      </x:c>
      <x:c r="Q87" s="86" t="n">
        <x:v>21</x:v>
      </x:c>
      <x:c r="R87" s="32"/>
      <x:c r="S87" s="32" t="str">
        <x:v>ok</x:v>
      </x:c>
      <x:c r="T87" s="32" t="str">
        <x:v>ok</x:v>
      </x:c>
      <x:c r="U87" s="32" t="str">
        <x:v>ok</x:v>
      </x:c>
      <x:c r="V87" s="32" t="str">
        <x:v>ok</x:v>
      </x:c>
      <x:c r="W87" s="154" t="str">
        <x:v>{"schema_version":1,"imei":"862323089930712","timestamp":1786015853,"report_sequence":4,"task_version":"rice_tension_soil_demo","sensor_mode":"tension_soil","soil_moisture_percent":40,"soil_temperature_c":25.6,"soil_ec_us_cm":959,"soil_ph":6.43,"battery_mv":3920,"csq":21,"soil_rs485_status":"ok","cycle_status":"ok","soil_tension_kpa":-38,"soil_tension_rs485_status":"ok"}</x:v>
      </x:c>
    </x:row>
    <x:row r="88">
      <x:c r="A88" s="72" t="n">
        <x:v>46240.813113425924</x:v>
      </x:c>
      <x:c r="B88" s="72" t="n">
        <x:v>46240.81312731482</x:v>
      </x:c>
      <x:c r="C88" s="32" t="str">
        <x:v>P13</x:v>
      </x:c>
      <x:c r="D88" s="32" t="str">
        <x:v>B3-W0-V1</x:v>
      </x:c>
      <x:c r="E88" s="32" t="str">
        <x:v>B3</x:v>
      </x:c>
      <x:c r="F88" s="32" t="str">
        <x:v>W0</x:v>
      </x:c>
      <x:c r="G88" s="32" t="str">
        <x:v>V1</x:v>
      </x:c>
      <x:c r="H88" s="32" t="str">
        <x:v>water_soil</x:v>
      </x:c>
      <x:c r="I88" s="32" t="str">
        <x:v>862323089930713</x:v>
      </x:c>
      <x:c r="J88" s="82" t="n">
        <x:v>35.7</x:v>
      </x:c>
      <x:c r="K88" s="82"/>
      <x:c r="L88" s="82" t="n">
        <x:v>40.9</x:v>
      </x:c>
      <x:c r="M88" s="82" t="n">
        <x:v>25.6</x:v>
      </x:c>
      <x:c r="N88" s="86" t="n">
        <x:v>969</x:v>
      </x:c>
      <x:c r="O88" s="90" t="n">
        <x:v>6.48</x:v>
      </x:c>
      <x:c r="P88" s="150" t="n">
        <x:v>3.938</x:v>
      </x:c>
      <x:c r="Q88" s="86" t="n">
        <x:v>22</x:v>
      </x:c>
      <x:c r="R88" s="32" t="str">
        <x:v>ok</x:v>
      </x:c>
      <x:c r="S88" s="32"/>
      <x:c r="T88" s="32" t="str">
        <x:v>ok</x:v>
      </x:c>
      <x:c r="U88" s="32" t="str">
        <x:v>ok</x:v>
      </x:c>
      <x:c r="V88" s="32" t="str">
        <x:v>ok</x:v>
      </x:c>
      <x:c r="W88" s="154" t="str">
        <x:v>{"schema_version":1,"imei":"862323089930713","timestamp":1786015853,"report_sequence":4,"task_version":"rice_w0_water_soil_demo","sensor_mode":"water_soil","soil_moisture_percent":40.9,"soil_temperature_c":25.6,"soil_ec_us_cm":969,"soil_ph":6.48,"battery_mv":3938,"csq":22,"soil_rs485_status":"ok","cycle_status":"ok","water_level_mm":35.7,"water_4_20ma_status":"ok"}</x:v>
      </x:c>
    </x:row>
    <x:row r="89">
      <x:c r="A89" s="72" t="n">
        <x:v>46240.813113425924</x:v>
      </x:c>
      <x:c r="B89" s="72" t="n">
        <x:v>46240.81312731482</x:v>
      </x:c>
      <x:c r="C89" s="32" t="str">
        <x:v>P14</x:v>
      </x:c>
      <x:c r="D89" s="32" t="str">
        <x:v>B3-W0-V2</x:v>
      </x:c>
      <x:c r="E89" s="32" t="str">
        <x:v>B3</x:v>
      </x:c>
      <x:c r="F89" s="32" t="str">
        <x:v>W0</x:v>
      </x:c>
      <x:c r="G89" s="32" t="str">
        <x:v>V2</x:v>
      </x:c>
      <x:c r="H89" s="32" t="str">
        <x:v>water_soil</x:v>
      </x:c>
      <x:c r="I89" s="32" t="str">
        <x:v>862323089930714</x:v>
      </x:c>
      <x:c r="J89" s="82" t="n">
        <x:v>38.1</x:v>
      </x:c>
      <x:c r="K89" s="82"/>
      <x:c r="L89" s="82" t="n">
        <x:v>41.6</x:v>
      </x:c>
      <x:c r="M89" s="82" t="n">
        <x:v>25.5</x:v>
      </x:c>
      <x:c r="N89" s="86" t="n">
        <x:v>977</x:v>
      </x:c>
      <x:c r="O89" s="90" t="n">
        <x:v>6.52</x:v>
      </x:c>
      <x:c r="P89" s="150" t="n">
        <x:v>3.956</x:v>
      </x:c>
      <x:c r="Q89" s="86" t="n">
        <x:v>23</x:v>
      </x:c>
      <x:c r="R89" s="32" t="str">
        <x:v>ok</x:v>
      </x:c>
      <x:c r="S89" s="32"/>
      <x:c r="T89" s="32" t="str">
        <x:v>ok</x:v>
      </x:c>
      <x:c r="U89" s="32" t="str">
        <x:v>ok</x:v>
      </x:c>
      <x:c r="V89" s="32" t="str">
        <x:v>ok</x:v>
      </x:c>
      <x:c r="W89" s="154" t="str">
        <x:v>{"schema_version":1,"imei":"862323089930714","timestamp":1786015853,"report_sequence":4,"task_version":"rice_w0_water_soil_demo","sensor_mode":"water_soil","soil_moisture_percent":41.6,"soil_temperature_c":25.5,"soil_ec_us_cm":977,"soil_ph":6.52,"battery_mv":3956,"csq":23,"soil_rs485_status":"ok","cycle_status":"ok","water_level_mm":38.1,"water_4_20ma_status":"ok"}</x:v>
      </x:c>
    </x:row>
    <x:row r="90">
      <x:c r="A90" s="72" t="n">
        <x:v>46240.813113425924</x:v>
      </x:c>
      <x:c r="B90" s="72" t="n">
        <x:v>46240.81312731482</x:v>
      </x:c>
      <x:c r="C90" s="32" t="str">
        <x:v>P15</x:v>
      </x:c>
      <x:c r="D90" s="32" t="str">
        <x:v>B3-W1-V1</x:v>
      </x:c>
      <x:c r="E90" s="32" t="str">
        <x:v>B3</x:v>
      </x:c>
      <x:c r="F90" s="32" t="str">
        <x:v>W1</x:v>
      </x:c>
      <x:c r="G90" s="32" t="str">
        <x:v>V1</x:v>
      </x:c>
      <x:c r="H90" s="32" t="str">
        <x:v>tension_soil</x:v>
      </x:c>
      <x:c r="I90" s="32" t="str">
        <x:v>862323089930715</x:v>
      </x:c>
      <x:c r="J90" s="82"/>
      <x:c r="K90" s="82" t="n">
        <x:v>-24.3</x:v>
      </x:c>
      <x:c r="L90" s="82" t="n">
        <x:v>42.3</x:v>
      </x:c>
      <x:c r="M90" s="82" t="n">
        <x:v>25.4</x:v>
      </x:c>
      <x:c r="N90" s="86" t="n">
        <x:v>983</x:v>
      </x:c>
      <x:c r="O90" s="90" t="n">
        <x:v>6.32</x:v>
      </x:c>
      <x:c r="P90" s="150" t="n">
        <x:v>3.974</x:v>
      </x:c>
      <x:c r="Q90" s="86" t="n">
        <x:v>24</x:v>
      </x:c>
      <x:c r="R90" s="32"/>
      <x:c r="S90" s="32" t="str">
        <x:v>ok</x:v>
      </x:c>
      <x:c r="T90" s="32" t="str">
        <x:v>ok</x:v>
      </x:c>
      <x:c r="U90" s="32" t="str">
        <x:v>ok</x:v>
      </x:c>
      <x:c r="V90" s="32" t="str">
        <x:v>ok</x:v>
      </x:c>
      <x:c r="W90" s="154" t="str">
        <x:v>{"schema_version":1,"imei":"862323089930715","timestamp":1786015853,"report_sequence":4,"task_version":"rice_tension_soil_demo","sensor_mode":"tension_soil","soil_moisture_percent":42.3,"soil_temperature_c":25.4,"soil_ec_us_cm":983,"soil_ph":6.32,"battery_mv":3974,"csq":24,"soil_rs485_status":"ok","cycle_status":"ok","soil_tension_kpa":-24.3,"soil_tension_rs485_status":"ok"}</x:v>
      </x:c>
    </x:row>
    <x:row r="91">
      <x:c r="A91" s="72" t="n">
        <x:v>46240.813113425924</x:v>
      </x:c>
      <x:c r="B91" s="72" t="n">
        <x:v>46240.81312731482</x:v>
      </x:c>
      <x:c r="C91" s="32" t="str">
        <x:v>P16</x:v>
      </x:c>
      <x:c r="D91" s="32" t="str">
        <x:v>B3-W1-V2</x:v>
      </x:c>
      <x:c r="E91" s="32" t="str">
        <x:v>B3</x:v>
      </x:c>
      <x:c r="F91" s="32" t="str">
        <x:v>W1</x:v>
      </x:c>
      <x:c r="G91" s="32" t="str">
        <x:v>V2</x:v>
      </x:c>
      <x:c r="H91" s="32" t="str">
        <x:v>tension_soil</x:v>
      </x:c>
      <x:c r="I91" s="32" t="str">
        <x:v>862323089930716</x:v>
      </x:c>
      <x:c r="J91" s="82"/>
      <x:c r="K91" s="82" t="n">
        <x:v>-24.9</x:v>
      </x:c>
      <x:c r="L91" s="82" t="n">
        <x:v>34.9</x:v>
      </x:c>
      <x:c r="M91" s="82" t="n">
        <x:v>25.3</x:v>
      </x:c>
      <x:c r="N91" s="86" t="n">
        <x:v>987</x:v>
      </x:c>
      <x:c r="O91" s="90" t="n">
        <x:v>6.36</x:v>
      </x:c>
      <x:c r="P91" s="150" t="n">
        <x:v>3.992</x:v>
      </x:c>
      <x:c r="Q91" s="86" t="n">
        <x:v>17</x:v>
      </x:c>
      <x:c r="R91" s="32"/>
      <x:c r="S91" s="32" t="str">
        <x:v>ok</x:v>
      </x:c>
      <x:c r="T91" s="32" t="str">
        <x:v>ok</x:v>
      </x:c>
      <x:c r="U91" s="32" t="str">
        <x:v>ok</x:v>
      </x:c>
      <x:c r="V91" s="32" t="str">
        <x:v>ok</x:v>
      </x:c>
      <x:c r="W91" s="154" t="str">
        <x:v>{"schema_version":1,"imei":"862323089930716","timestamp":1786015853,"report_sequence":4,"task_version":"rice_tension_soil_demo","sensor_mode":"tension_soil","soil_moisture_percent":34.9,"soil_temperature_c":25.3,"soil_ec_us_cm":987,"soil_ph":6.36,"battery_mv":3992,"csq":17,"soil_rs485_status":"ok","cycle_status":"ok","soil_tension_kpa":-24.9,"soil_tension_rs485_status":"ok"}</x:v>
      </x:c>
    </x:row>
    <x:row r="92">
      <x:c r="A92" s="72" t="n">
        <x:v>46240.813113425924</x:v>
      </x:c>
      <x:c r="B92" s="72" t="n">
        <x:v>46240.81312731482</x:v>
      </x:c>
      <x:c r="C92" s="32" t="str">
        <x:v>P17</x:v>
      </x:c>
      <x:c r="D92" s="32" t="str">
        <x:v>B3-W2-V1</x:v>
      </x:c>
      <x:c r="E92" s="32" t="str">
        <x:v>B3</x:v>
      </x:c>
      <x:c r="F92" s="32" t="str">
        <x:v>W2</x:v>
      </x:c>
      <x:c r="G92" s="32" t="str">
        <x:v>V1</x:v>
      </x:c>
      <x:c r="H92" s="32" t="str">
        <x:v>tension_soil</x:v>
      </x:c>
      <x:c r="I92" s="32" t="str">
        <x:v>862323089930717</x:v>
      </x:c>
      <x:c r="J92" s="82"/>
      <x:c r="K92" s="82" t="n">
        <x:v>-36.4</x:v>
      </x:c>
      <x:c r="L92" s="82" t="n">
        <x:v>35.4</x:v>
      </x:c>
      <x:c r="M92" s="82" t="n">
        <x:v>25.2</x:v>
      </x:c>
      <x:c r="N92" s="86" t="n">
        <x:v>991</x:v>
      </x:c>
      <x:c r="O92" s="90" t="n">
        <x:v>6.41</x:v>
      </x:c>
      <x:c r="P92" s="150" t="n">
        <x:v>4.01</x:v>
      </x:c>
      <x:c r="Q92" s="86" t="n">
        <x:v>18</x:v>
      </x:c>
      <x:c r="R92" s="32"/>
      <x:c r="S92" s="32" t="str">
        <x:v>ok</x:v>
      </x:c>
      <x:c r="T92" s="32" t="str">
        <x:v>ok</x:v>
      </x:c>
      <x:c r="U92" s="32" t="str">
        <x:v>ok</x:v>
      </x:c>
      <x:c r="V92" s="32" t="str">
        <x:v>ok</x:v>
      </x:c>
      <x:c r="W92" s="154" t="str">
        <x:v>{"schema_version":1,"imei":"862323089930717","timestamp":1786015853,"report_sequence":4,"task_version":"rice_tension_soil_demo","sensor_mode":"tension_soil","soil_moisture_percent":35.4,"soil_temperature_c":25.2,"soil_ec_us_cm":991,"soil_ph":6.41,"battery_mv":4010,"csq":18,"soil_rs485_status":"ok","cycle_status":"ok","soil_tension_kpa":-36.4,"soil_tension_rs485_status":"ok"}</x:v>
      </x:c>
    </x:row>
    <x:row r="93">
      <x:c r="A93" s="72" t="n">
        <x:v>46240.813113425924</x:v>
      </x:c>
      <x:c r="B93" s="72" t="n">
        <x:v>46240.81312731482</x:v>
      </x:c>
      <x:c r="C93" s="32" t="str">
        <x:v>P18</x:v>
      </x:c>
      <x:c r="D93" s="32" t="str">
        <x:v>B3-W2-V2</x:v>
      </x:c>
      <x:c r="E93" s="32" t="str">
        <x:v>B3</x:v>
      </x:c>
      <x:c r="F93" s="32" t="str">
        <x:v>W2</x:v>
      </x:c>
      <x:c r="G93" s="32" t="str">
        <x:v>V2</x:v>
      </x:c>
      <x:c r="H93" s="32" t="str">
        <x:v>tension_soil</x:v>
      </x:c>
      <x:c r="I93" s="32" t="str">
        <x:v>862323089930718</x:v>
      </x:c>
      <x:c r="J93" s="82"/>
      <x:c r="K93" s="82" t="n">
        <x:v>-36.9</x:v>
      </x:c>
      <x:c r="L93" s="82" t="n">
        <x:v>35.9</x:v>
      </x:c>
      <x:c r="M93" s="82" t="n">
        <x:v>25.1</x:v>
      </x:c>
      <x:c r="N93" s="86" t="n">
        <x:v>995</x:v>
      </x:c>
      <x:c r="O93" s="90" t="n">
        <x:v>6.45</x:v>
      </x:c>
      <x:c r="P93" s="150" t="n">
        <x:v>3.92</x:v>
      </x:c>
      <x:c r="Q93" s="86" t="n">
        <x:v>19</x:v>
      </x:c>
      <x:c r="R93" s="32"/>
      <x:c r="S93" s="32" t="str">
        <x:v>ok</x:v>
      </x:c>
      <x:c r="T93" s="32" t="str">
        <x:v>ok</x:v>
      </x:c>
      <x:c r="U93" s="32" t="str">
        <x:v>ok</x:v>
      </x:c>
      <x:c r="V93" s="32" t="str">
        <x:v>ok</x:v>
      </x:c>
      <x:c r="W93" s="154" t="str">
        <x:v>{"schema_version":1,"imei":"862323089930718","timestamp":1786015853,"report_sequence":4,"task_version":"rice_tension_soil_demo","sensor_mode":"tension_soil","soil_moisture_percent":35.9,"soil_temperature_c":25.1,"soil_ec_us_cm":995,"soil_ph":6.45,"battery_mv":3920,"csq":19,"soil_rs485_status":"ok","cycle_status":"ok","soil_tension_kpa":-36.9,"soil_tension_rs485_status":"ok"}</x:v>
      </x:c>
    </x:row>
    <x:row r="94">
      <x:c r="A94" s="72" t="n">
        <x:v>46240.813113425924</x:v>
      </x:c>
      <x:c r="B94" s="72" t="n">
        <x:v>46240.81312731482</x:v>
      </x:c>
      <x:c r="C94" s="32" t="str">
        <x:v>P19</x:v>
      </x:c>
      <x:c r="D94" s="32" t="str">
        <x:v>B4-W0-V1</x:v>
      </x:c>
      <x:c r="E94" s="32" t="str">
        <x:v>B4</x:v>
      </x:c>
      <x:c r="F94" s="32" t="str">
        <x:v>W0</x:v>
      </x:c>
      <x:c r="G94" s="32" t="str">
        <x:v>V1</x:v>
      </x:c>
      <x:c r="H94" s="32" t="str">
        <x:v>water_soil</x:v>
      </x:c>
      <x:c r="I94" s="32" t="str">
        <x:v>862323089930719</x:v>
      </x:c>
      <x:c r="J94" s="82" t="n">
        <x:v>35.6</x:v>
      </x:c>
      <x:c r="K94" s="82"/>
      <x:c r="L94" s="82" t="n">
        <x:v>36.4</x:v>
      </x:c>
      <x:c r="M94" s="82" t="n">
        <x:v>25</x:v>
      </x:c>
      <x:c r="N94" s="86" t="n">
        <x:v>998</x:v>
      </x:c>
      <x:c r="O94" s="90" t="n">
        <x:v>6.49</x:v>
      </x:c>
      <x:c r="P94" s="150" t="n">
        <x:v>3.938</x:v>
      </x:c>
      <x:c r="Q94" s="86" t="n">
        <x:v>20</x:v>
      </x:c>
      <x:c r="R94" s="32" t="str">
        <x:v>ok</x:v>
      </x:c>
      <x:c r="S94" s="32"/>
      <x:c r="T94" s="32" t="str">
        <x:v>ok</x:v>
      </x:c>
      <x:c r="U94" s="32" t="str">
        <x:v>ok</x:v>
      </x:c>
      <x:c r="V94" s="32" t="str">
        <x:v>ok</x:v>
      </x:c>
      <x:c r="W94" s="154" t="str">
        <x:v>{"schema_version":1,"imei":"862323089930719","timestamp":1786015853,"report_sequence":4,"task_version":"rice_w0_water_soil_demo","sensor_mode":"water_soil","soil_moisture_percent":36.4,"soil_temperature_c":25,"soil_ec_us_cm":998,"soil_ph":6.49,"battery_mv":3938,"csq":20,"soil_rs485_status":"ok","cycle_status":"ok","water_level_mm":35.6,"water_4_20ma_status":"ok"}</x:v>
      </x:c>
    </x:row>
    <x:row r="95">
      <x:c r="A95" s="72" t="n">
        <x:v>46240.813113425924</x:v>
      </x:c>
      <x:c r="B95" s="72" t="n">
        <x:v>46240.81312731482</x:v>
      </x:c>
      <x:c r="C95" s="32" t="str">
        <x:v>P20</x:v>
      </x:c>
      <x:c r="D95" s="32" t="str">
        <x:v>B4-W0-V2</x:v>
      </x:c>
      <x:c r="E95" s="32" t="str">
        <x:v>B4</x:v>
      </x:c>
      <x:c r="F95" s="32" t="str">
        <x:v>W0</x:v>
      </x:c>
      <x:c r="G95" s="32" t="str">
        <x:v>V2</x:v>
      </x:c>
      <x:c r="H95" s="32" t="str">
        <x:v>water_soil</x:v>
      </x:c>
      <x:c r="I95" s="32" t="str">
        <x:v>862323089930720</x:v>
      </x:c>
      <x:c r="J95" s="82" t="n">
        <x:v>25.4</x:v>
      </x:c>
      <x:c r="K95" s="82"/>
      <x:c r="L95" s="82" t="n">
        <x:v>37</x:v>
      </x:c>
      <x:c r="M95" s="82" t="n">
        <x:v>24.8</x:v>
      </x:c>
      <x:c r="N95" s="86" t="n">
        <x:v>1002</x:v>
      </x:c>
      <x:c r="O95" s="90" t="n">
        <x:v>6.28</x:v>
      </x:c>
      <x:c r="P95" s="150" t="n">
        <x:v>3.956</x:v>
      </x:c>
      <x:c r="Q95" s="86" t="n">
        <x:v>21</x:v>
      </x:c>
      <x:c r="R95" s="32" t="str">
        <x:v>ok</x:v>
      </x:c>
      <x:c r="S95" s="32"/>
      <x:c r="T95" s="32" t="str">
        <x:v>ok</x:v>
      </x:c>
      <x:c r="U95" s="32" t="str">
        <x:v>ok</x:v>
      </x:c>
      <x:c r="V95" s="32" t="str">
        <x:v>ok</x:v>
      </x:c>
      <x:c r="W95" s="154" t="str">
        <x:v>{"schema_version":1,"imei":"862323089930720","timestamp":1786015853,"report_sequence":4,"task_version":"rice_w0_water_soil_demo","sensor_mode":"water_soil","soil_moisture_percent":37,"soil_temperature_c":24.8,"soil_ec_us_cm":1002,"soil_ph":6.28,"battery_mv":3956,"csq":21,"soil_rs485_status":"ok","cycle_status":"ok","water_level_mm":25.4,"water_4_20ma_status":"ok"}</x:v>
      </x:c>
    </x:row>
    <x:row r="96">
      <x:c r="A96" s="72" t="n">
        <x:v>46240.813113425924</x:v>
      </x:c>
      <x:c r="B96" s="72" t="n">
        <x:v>46240.81312731482</x:v>
      </x:c>
      <x:c r="C96" s="32" t="str">
        <x:v>P21</x:v>
      </x:c>
      <x:c r="D96" s="32" t="str">
        <x:v>B4-W1-V1</x:v>
      </x:c>
      <x:c r="E96" s="32" t="str">
        <x:v>B4</x:v>
      </x:c>
      <x:c r="F96" s="32" t="str">
        <x:v>W1</x:v>
      </x:c>
      <x:c r="G96" s="32" t="str">
        <x:v>V1</x:v>
      </x:c>
      <x:c r="H96" s="32" t="str">
        <x:v>tension_soil</x:v>
      </x:c>
      <x:c r="I96" s="32" t="str">
        <x:v>862323089930721</x:v>
      </x:c>
      <x:c r="J96" s="82"/>
      <x:c r="K96" s="82" t="n">
        <x:v>-22.6</x:v>
      </x:c>
      <x:c r="L96" s="82" t="n">
        <x:v>37.6</x:v>
      </x:c>
      <x:c r="M96" s="82" t="n">
        <x:v>24.7</x:v>
      </x:c>
      <x:c r="N96" s="86" t="n">
        <x:v>1007</x:v>
      </x:c>
      <x:c r="O96" s="90" t="n">
        <x:v>6.33</x:v>
      </x:c>
      <x:c r="P96" s="150" t="n">
        <x:v>3.974</x:v>
      </x:c>
      <x:c r="Q96" s="86" t="n">
        <x:v>22</x:v>
      </x:c>
      <x:c r="R96" s="32"/>
      <x:c r="S96" s="32" t="str">
        <x:v>ok</x:v>
      </x:c>
      <x:c r="T96" s="32" t="str">
        <x:v>ok</x:v>
      </x:c>
      <x:c r="U96" s="32" t="str">
        <x:v>ok</x:v>
      </x:c>
      <x:c r="V96" s="32" t="str">
        <x:v>ok</x:v>
      </x:c>
      <x:c r="W96" s="154" t="str">
        <x:v>{"schema_version":1,"imei":"862323089930721","timestamp":1786015853,"report_sequence":4,"task_version":"rice_tension_soil_demo","sensor_mode":"tension_soil","soil_moisture_percent":37.6,"soil_temperature_c":24.7,"soil_ec_us_cm":1007,"soil_ph":6.33,"battery_mv":3974,"csq":22,"soil_rs485_status":"ok","cycle_status":"ok","soil_tension_kpa":-22.6,"soil_tension_rs485_status":"ok"}</x:v>
      </x:c>
    </x:row>
    <x:row r="97">
      <x:c r="A97" s="72" t="n">
        <x:v>46240.813113425924</x:v>
      </x:c>
      <x:c r="B97" s="72" t="n">
        <x:v>46240.81312731482</x:v>
      </x:c>
      <x:c r="C97" s="32" t="str">
        <x:v>P22</x:v>
      </x:c>
      <x:c r="D97" s="32" t="str">
        <x:v>B4-W1-V2</x:v>
      </x:c>
      <x:c r="E97" s="32" t="str">
        <x:v>B4</x:v>
      </x:c>
      <x:c r="F97" s="32" t="str">
        <x:v>W1</x:v>
      </x:c>
      <x:c r="G97" s="32" t="str">
        <x:v>V2</x:v>
      </x:c>
      <x:c r="H97" s="32" t="str">
        <x:v>tension_soil</x:v>
      </x:c>
      <x:c r="I97" s="32" t="str">
        <x:v>862323089930722</x:v>
      </x:c>
      <x:c r="J97" s="82"/>
      <x:c r="K97" s="82" t="n">
        <x:v>-23.3</x:v>
      </x:c>
      <x:c r="L97" s="82" t="n">
        <x:v>38.3</x:v>
      </x:c>
      <x:c r="M97" s="82" t="n">
        <x:v>24.7</x:v>
      </x:c>
      <x:c r="N97" s="86" t="n">
        <x:v>1014</x:v>
      </x:c>
      <x:c r="O97" s="90" t="n">
        <x:v>6.37</x:v>
      </x:c>
      <x:c r="P97" s="150" t="n">
        <x:v>3.992</x:v>
      </x:c>
      <x:c r="Q97" s="86" t="n">
        <x:v>23</x:v>
      </x:c>
      <x:c r="R97" s="32"/>
      <x:c r="S97" s="32" t="str">
        <x:v>ok</x:v>
      </x:c>
      <x:c r="T97" s="32" t="str">
        <x:v>ok</x:v>
      </x:c>
      <x:c r="U97" s="32" t="str">
        <x:v>ok</x:v>
      </x:c>
      <x:c r="V97" s="32" t="str">
        <x:v>ok</x:v>
      </x:c>
      <x:c r="W97" s="154" t="str">
        <x:v>{"schema_version":1,"imei":"862323089930722","timestamp":1786015853,"report_sequence":4,"task_version":"rice_tension_soil_demo","sensor_mode":"tension_soil","soil_moisture_percent":38.3,"soil_temperature_c":24.7,"soil_ec_us_cm":1014,"soil_ph":6.37,"battery_mv":3992,"csq":23,"soil_rs485_status":"ok","cycle_status":"ok","soil_tension_kpa":-23.3,"soil_tension_rs485_status":"ok"}</x:v>
      </x:c>
    </x:row>
    <x:row r="98">
      <x:c r="A98" s="72" t="n">
        <x:v>46240.813113425924</x:v>
      </x:c>
      <x:c r="B98" s="72" t="n">
        <x:v>46240.81312731482</x:v>
      </x:c>
      <x:c r="C98" s="32" t="str">
        <x:v>P23</x:v>
      </x:c>
      <x:c r="D98" s="32" t="str">
        <x:v>B4-W2-V1</x:v>
      </x:c>
      <x:c r="E98" s="32" t="str">
        <x:v>B4</x:v>
      </x:c>
      <x:c r="F98" s="32" t="str">
        <x:v>W2</x:v>
      </x:c>
      <x:c r="G98" s="32" t="str">
        <x:v>V1</x:v>
      </x:c>
      <x:c r="H98" s="32" t="str">
        <x:v>tension_soil</x:v>
      </x:c>
      <x:c r="I98" s="32" t="str">
        <x:v>862323089930723</x:v>
      </x:c>
      <x:c r="J98" s="82"/>
      <x:c r="K98" s="82" t="n">
        <x:v>-35.1</x:v>
      </x:c>
      <x:c r="L98" s="82" t="n">
        <x:v>39.1</x:v>
      </x:c>
      <x:c r="M98" s="82" t="n">
        <x:v>24.6</x:v>
      </x:c>
      <x:c r="N98" s="86" t="n">
        <x:v>1022</x:v>
      </x:c>
      <x:c r="O98" s="90" t="n">
        <x:v>6.42</x:v>
      </x:c>
      <x:c r="P98" s="150" t="n">
        <x:v>4.01</x:v>
      </x:c>
      <x:c r="Q98" s="86" t="n">
        <x:v>24</x:v>
      </x:c>
      <x:c r="R98" s="32"/>
      <x:c r="S98" s="32" t="str">
        <x:v>ok</x:v>
      </x:c>
      <x:c r="T98" s="32" t="str">
        <x:v>ok</x:v>
      </x:c>
      <x:c r="U98" s="32" t="str">
        <x:v>ok</x:v>
      </x:c>
      <x:c r="V98" s="32" t="str">
        <x:v>ok</x:v>
      </x:c>
      <x:c r="W98" s="154" t="str">
        <x:v>{"schema_version":1,"imei":"862323089930723","timestamp":1786015853,"report_sequence":4,"task_version":"rice_tension_soil_demo","sensor_mode":"tension_soil","soil_moisture_percent":39.1,"soil_temperature_c":24.6,"soil_ec_us_cm":1022,"soil_ph":6.42,"battery_mv":4010,"csq":24,"soil_rs485_status":"ok","cycle_status":"ok","soil_tension_kpa":-35.1,"soil_tension_rs485_status":"ok"}</x:v>
      </x:c>
    </x:row>
    <x:row r="99">
      <x:c r="A99" s="72" t="n">
        <x:v>46240.813113425924</x:v>
      </x:c>
      <x:c r="B99" s="72" t="n">
        <x:v>46240.81312731482</x:v>
      </x:c>
      <x:c r="C99" s="32" t="str">
        <x:v>P24</x:v>
      </x:c>
      <x:c r="D99" s="32" t="str">
        <x:v>B4-W2-V2</x:v>
      </x:c>
      <x:c r="E99" s="32" t="str">
        <x:v>B4</x:v>
      </x:c>
      <x:c r="F99" s="32" t="str">
        <x:v>W2</x:v>
      </x:c>
      <x:c r="G99" s="32" t="str">
        <x:v>V2</x:v>
      </x:c>
      <x:c r="H99" s="32" t="str">
        <x:v>tension_soil</x:v>
      </x:c>
      <x:c r="I99" s="32" t="str">
        <x:v>862323089930724</x:v>
      </x:c>
      <x:c r="J99" s="82"/>
      <x:c r="K99" s="82" t="n">
        <x:v>-36</x:v>
      </x:c>
      <x:c r="L99" s="82" t="n">
        <x:v>32</x:v>
      </x:c>
      <x:c r="M99" s="82" t="n">
        <x:v>24.6</x:v>
      </x:c>
      <x:c r="N99" s="86" t="n">
        <x:v>1033</x:v>
      </x:c>
      <x:c r="O99" s="90" t="n">
        <x:v>6.47</x:v>
      </x:c>
      <x:c r="P99" s="150" t="n">
        <x:v>3.92</x:v>
      </x:c>
      <x:c r="Q99" s="86" t="n">
        <x:v>17</x:v>
      </x:c>
      <x:c r="R99" s="32"/>
      <x:c r="S99" s="32" t="str">
        <x:v>ok</x:v>
      </x:c>
      <x:c r="T99" s="32" t="str">
        <x:v>ok</x:v>
      </x:c>
      <x:c r="U99" s="32" t="str">
        <x:v>ok</x:v>
      </x:c>
      <x:c r="V99" s="32" t="str">
        <x:v>ok</x:v>
      </x:c>
      <x:c r="W99" s="154" t="str">
        <x:v>{"schema_version":1,"imei":"862323089930724","timestamp":1786015853,"report_sequence":4,"task_version":"rice_tension_soil_demo","sensor_mode":"tension_soil","soil_moisture_percent":32,"soil_temperature_c":24.6,"soil_ec_us_cm":1033,"soil_ph":6.47,"battery_mv":3920,"csq":17,"soil_rs485_status":"ok","cycle_status":"ok","soil_tension_kpa":-36,"soil_tension_rs485_status":"ok"}</x:v>
      </x:c>
    </x:row>
    <x:row r="100">
      <x:c r="A100" s="72" t="n">
        <x:v>46240.81658564815</x:v>
      </x:c>
      <x:c r="B100" s="72" t="n">
        <x:v>46240.81659953704</x:v>
      </x:c>
      <x:c r="C100" s="32" t="str">
        <x:v>P01</x:v>
      </x:c>
      <x:c r="D100" s="32" t="str">
        <x:v>B1-W0-V1</x:v>
      </x:c>
      <x:c r="E100" s="32" t="str">
        <x:v>B1</x:v>
      </x:c>
      <x:c r="F100" s="32" t="str">
        <x:v>W0</x:v>
      </x:c>
      <x:c r="G100" s="32" t="str">
        <x:v>V1</x:v>
      </x:c>
      <x:c r="H100" s="32" t="str">
        <x:v>water_soil</x:v>
      </x:c>
      <x:c r="I100" s="32" t="str">
        <x:v>862323089930701</x:v>
      </x:c>
      <x:c r="J100" s="82" t="n">
        <x:v>26.2</x:v>
      </x:c>
      <x:c r="K100" s="82"/>
      <x:c r="L100" s="82" t="n">
        <x:v>33.1</x:v>
      </x:c>
      <x:c r="M100" s="82" t="n">
        <x:v>24.6</x:v>
      </x:c>
      <x:c r="N100" s="86" t="n">
        <x:v>758</x:v>
      </x:c>
      <x:c r="O100" s="90" t="n">
        <x:v>6.32</x:v>
      </x:c>
      <x:c r="P100" s="150" t="n">
        <x:v>3.938</x:v>
      </x:c>
      <x:c r="Q100" s="86" t="n">
        <x:v>18</x:v>
      </x:c>
      <x:c r="R100" s="32" t="str">
        <x:v>ok</x:v>
      </x:c>
      <x:c r="S100" s="32"/>
      <x:c r="T100" s="32" t="str">
        <x:v>ok</x:v>
      </x:c>
      <x:c r="U100" s="32" t="str">
        <x:v>ok</x:v>
      </x:c>
      <x:c r="V100" s="32" t="str">
        <x:v>ok</x:v>
      </x:c>
      <x:c r="W100" s="154" t="str">
        <x:v>{"schema_version":1,"imei":"862323089930701","timestamp":1786016153,"report_sequence":5,"task_version":"rice_w0_water_soil_demo","sensor_mode":"water_soil","soil_moisture_percent":33.1,"soil_temperature_c":24.6,"soil_ec_us_cm":758,"soil_ph":6.32,"battery_mv":3938,"csq":18,"soil_rs485_status":"ok","cycle_status":"ok","water_level_mm":26.2,"water_4_20ma_status":"ok"}</x:v>
      </x:c>
    </x:row>
    <x:row r="101">
      <x:c r="A101" s="72" t="n">
        <x:v>46240.81658564815</x:v>
      </x:c>
      <x:c r="B101" s="72" t="n">
        <x:v>46240.81659953704</x:v>
      </x:c>
      <x:c r="C101" s="32" t="str">
        <x:v>P02</x:v>
      </x:c>
      <x:c r="D101" s="32" t="str">
        <x:v>B1-W0-V2</x:v>
      </x:c>
      <x:c r="E101" s="32" t="str">
        <x:v>B1</x:v>
      </x:c>
      <x:c r="F101" s="32" t="str">
        <x:v>W0</x:v>
      </x:c>
      <x:c r="G101" s="32" t="str">
        <x:v>V2</x:v>
      </x:c>
      <x:c r="H101" s="32" t="str">
        <x:v>water_soil</x:v>
      </x:c>
      <x:c r="I101" s="32" t="str">
        <x:v>862323089930702</x:v>
      </x:c>
      <x:c r="J101" s="82" t="n">
        <x:v>29.6</x:v>
      </x:c>
      <x:c r="K101" s="82"/>
      <x:c r="L101" s="82" t="n">
        <x:v>34.2</x:v>
      </x:c>
      <x:c r="M101" s="82" t="n">
        <x:v>24.7</x:v>
      </x:c>
      <x:c r="N101" s="86" t="n">
        <x:v>773</x:v>
      </x:c>
      <x:c r="O101" s="90" t="n">
        <x:v>6.37</x:v>
      </x:c>
      <x:c r="P101" s="150" t="n">
        <x:v>3.956</x:v>
      </x:c>
      <x:c r="Q101" s="86" t="n">
        <x:v>19</x:v>
      </x:c>
      <x:c r="R101" s="32" t="str">
        <x:v>ok</x:v>
      </x:c>
      <x:c r="S101" s="32"/>
      <x:c r="T101" s="32" t="str">
        <x:v>ok</x:v>
      </x:c>
      <x:c r="U101" s="32" t="str">
        <x:v>ok</x:v>
      </x:c>
      <x:c r="V101" s="32" t="str">
        <x:v>ok</x:v>
      </x:c>
      <x:c r="W101" s="154" t="str">
        <x:v>{"schema_version":1,"imei":"862323089930702","timestamp":1786016153,"report_sequence":5,"task_version":"rice_w0_water_soil_demo","sensor_mode":"water_soil","soil_moisture_percent":34.2,"soil_temperature_c":24.7,"soil_ec_us_cm":773,"soil_ph":6.37,"battery_mv":3956,"csq":19,"soil_rs485_status":"ok","cycle_status":"ok","water_level_mm":29.6,"water_4_20ma_status":"ok"}</x:v>
      </x:c>
    </x:row>
    <x:row r="102">
      <x:c r="A102" s="72" t="n">
        <x:v>46240.81658564815</x:v>
      </x:c>
      <x:c r="B102" s="72" t="n">
        <x:v>46240.81659953704</x:v>
      </x:c>
      <x:c r="C102" s="32" t="str">
        <x:v>P03</x:v>
      </x:c>
      <x:c r="D102" s="32" t="str">
        <x:v>B1-W1-V1</x:v>
      </x:c>
      <x:c r="E102" s="32" t="str">
        <x:v>B1</x:v>
      </x:c>
      <x:c r="F102" s="32" t="str">
        <x:v>W1</x:v>
      </x:c>
      <x:c r="G102" s="32" t="str">
        <x:v>V1</x:v>
      </x:c>
      <x:c r="H102" s="32" t="str">
        <x:v>tension_soil</x:v>
      </x:c>
      <x:c r="I102" s="32" t="str">
        <x:v>862323089930703</x:v>
      </x:c>
      <x:c r="J102" s="82"/>
      <x:c r="K102" s="82" t="n">
        <x:v>-24.5</x:v>
      </x:c>
      <x:c r="L102" s="82" t="n">
        <x:v>35.5</x:v>
      </x:c>
      <x:c r="M102" s="82" t="n">
        <x:v>24.7</x:v>
      </x:c>
      <x:c r="N102" s="86" t="n">
        <x:v>790</x:v>
      </x:c>
      <x:c r="O102" s="90" t="n">
        <x:v>6.43</x:v>
      </x:c>
      <x:c r="P102" s="150" t="n">
        <x:v>3.974</x:v>
      </x:c>
      <x:c r="Q102" s="86" t="n">
        <x:v>20</x:v>
      </x:c>
      <x:c r="R102" s="32"/>
      <x:c r="S102" s="32" t="str">
        <x:v>ok</x:v>
      </x:c>
      <x:c r="T102" s="32" t="str">
        <x:v>ok</x:v>
      </x:c>
      <x:c r="U102" s="32" t="str">
        <x:v>ok</x:v>
      </x:c>
      <x:c r="V102" s="32" t="str">
        <x:v>ok</x:v>
      </x:c>
      <x:c r="W102" s="154" t="str">
        <x:v>{"schema_version":1,"imei":"862323089930703","timestamp":1786016153,"report_sequence":5,"task_version":"rice_tension_soil_demo","sensor_mode":"tension_soil","soil_moisture_percent":35.5,"soil_temperature_c":24.7,"soil_ec_us_cm":790,"soil_ph":6.43,"battery_mv":3974,"csq":20,"soil_rs485_status":"ok","cycle_status":"ok","soil_tension_kpa":-24.5,"soil_tension_rs485_status":"ok"}</x:v>
      </x:c>
    </x:row>
    <x:row r="103">
      <x:c r="A103" s="72" t="n">
        <x:v>46240.81658564815</x:v>
      </x:c>
      <x:c r="B103" s="72" t="n">
        <x:v>46240.81659953704</x:v>
      </x:c>
      <x:c r="C103" s="32" t="str">
        <x:v>P04</x:v>
      </x:c>
      <x:c r="D103" s="32" t="str">
        <x:v>B1-W1-V2</x:v>
      </x:c>
      <x:c r="E103" s="32" t="str">
        <x:v>B1</x:v>
      </x:c>
      <x:c r="F103" s="32" t="str">
        <x:v>W1</x:v>
      </x:c>
      <x:c r="G103" s="32" t="str">
        <x:v>V2</x:v>
      </x:c>
      <x:c r="H103" s="32" t="str">
        <x:v>tension_soil</x:v>
      </x:c>
      <x:c r="I103" s="32" t="str">
        <x:v>862323089930704</x:v>
      </x:c>
      <x:c r="J103" s="82"/>
      <x:c r="K103" s="82" t="n">
        <x:v>-25.9</x:v>
      </x:c>
      <x:c r="L103" s="82" t="n">
        <x:v>36.9</x:v>
      </x:c>
      <x:c r="M103" s="82" t="n">
        <x:v>24.8</x:v>
      </x:c>
      <x:c r="N103" s="86" t="n">
        <x:v>809</x:v>
      </x:c>
      <x:c r="O103" s="90" t="n">
        <x:v>6.48</x:v>
      </x:c>
      <x:c r="P103" s="150" t="n">
        <x:v>3.992</x:v>
      </x:c>
      <x:c r="Q103" s="86" t="n">
        <x:v>21</x:v>
      </x:c>
      <x:c r="R103" s="32"/>
      <x:c r="S103" s="32" t="str">
        <x:v>ok</x:v>
      </x:c>
      <x:c r="T103" s="32" t="str">
        <x:v>ok</x:v>
      </x:c>
      <x:c r="U103" s="32" t="str">
        <x:v>ok</x:v>
      </x:c>
      <x:c r="V103" s="32" t="str">
        <x:v>ok</x:v>
      </x:c>
      <x:c r="W103" s="154" t="str">
        <x:v>{"schema_version":1,"imei":"862323089930704","timestamp":1786016153,"report_sequence":5,"task_version":"rice_tension_soil_demo","sensor_mode":"tension_soil","soil_moisture_percent":36.9,"soil_temperature_c":24.8,"soil_ec_us_cm":809,"soil_ph":6.48,"battery_mv":3992,"csq":21,"soil_rs485_status":"ok","cycle_status":"ok","soil_tension_kpa":-25.9,"soil_tension_rs485_status":"ok"}</x:v>
      </x:c>
    </x:row>
    <x:row r="104">
      <x:c r="A104" s="72" t="n">
        <x:v>46240.81658564815</x:v>
      </x:c>
      <x:c r="B104" s="72" t="n">
        <x:v>46240.81659953704</x:v>
      </x:c>
      <x:c r="C104" s="32" t="str">
        <x:v>P05</x:v>
      </x:c>
      <x:c r="D104" s="32" t="str">
        <x:v>B1-W2-V1</x:v>
      </x:c>
      <x:c r="E104" s="32" t="str">
        <x:v>B1</x:v>
      </x:c>
      <x:c r="F104" s="32" t="str">
        <x:v>W2</x:v>
      </x:c>
      <x:c r="G104" s="32" t="str">
        <x:v>V1</x:v>
      </x:c>
      <x:c r="H104" s="32" t="str">
        <x:v>tension_soil</x:v>
      </x:c>
      <x:c r="I104" s="32" t="str">
        <x:v>862323089930705</x:v>
      </x:c>
      <x:c r="J104" s="82"/>
      <x:c r="K104" s="82" t="n">
        <x:v>-33.4</x:v>
      </x:c>
      <x:c r="L104" s="82" t="n">
        <x:v>38.4</x:v>
      </x:c>
      <x:c r="M104" s="82" t="n">
        <x:v>24.9</x:v>
      </x:c>
      <x:c r="N104" s="86" t="n">
        <x:v>829</x:v>
      </x:c>
      <x:c r="O104" s="90" t="n">
        <x:v>6.29</x:v>
      </x:c>
      <x:c r="P104" s="150" t="n">
        <x:v>4.01</x:v>
      </x:c>
      <x:c r="Q104" s="86" t="n">
        <x:v>22</x:v>
      </x:c>
      <x:c r="R104" s="32"/>
      <x:c r="S104" s="32" t="str">
        <x:v>ok</x:v>
      </x:c>
      <x:c r="T104" s="32" t="str">
        <x:v>ok</x:v>
      </x:c>
      <x:c r="U104" s="32" t="str">
        <x:v>ok</x:v>
      </x:c>
      <x:c r="V104" s="32" t="str">
        <x:v>ok</x:v>
      </x:c>
      <x:c r="W104" s="154" t="str">
        <x:v>{"schema_version":1,"imei":"862323089930705","timestamp":1786016153,"report_sequence":5,"task_version":"rice_tension_soil_demo","sensor_mode":"tension_soil","soil_moisture_percent":38.4,"soil_temperature_c":24.9,"soil_ec_us_cm":829,"soil_ph":6.29,"battery_mv":4010,"csq":22,"soil_rs485_status":"ok","cycle_status":"ok","soil_tension_kpa":-33.4,"soil_tension_rs485_status":"ok"}</x:v>
      </x:c>
    </x:row>
    <x:row r="105">
      <x:c r="A105" s="72" t="n">
        <x:v>46240.81658564815</x:v>
      </x:c>
      <x:c r="B105" s="72" t="n">
        <x:v>46240.81659953704</x:v>
      </x:c>
      <x:c r="C105" s="32" t="str">
        <x:v>P06</x:v>
      </x:c>
      <x:c r="D105" s="32" t="str">
        <x:v>B1-W2-V2</x:v>
      </x:c>
      <x:c r="E105" s="32" t="str">
        <x:v>B1</x:v>
      </x:c>
      <x:c r="F105" s="32" t="str">
        <x:v>W2</x:v>
      </x:c>
      <x:c r="G105" s="32" t="str">
        <x:v>V2</x:v>
      </x:c>
      <x:c r="H105" s="32" t="str">
        <x:v>tension_soil</x:v>
      </x:c>
      <x:c r="I105" s="32" t="str">
        <x:v>862323089930706</x:v>
      </x:c>
      <x:c r="J105" s="82"/>
      <x:c r="K105" s="82" t="n">
        <x:v>-34.9</x:v>
      </x:c>
      <x:c r="L105" s="82" t="n">
        <x:v>39.9</x:v>
      </x:c>
      <x:c r="M105" s="82" t="n">
        <x:v>25.1</x:v>
      </x:c>
      <x:c r="N105" s="86" t="n">
        <x:v>850</x:v>
      </x:c>
      <x:c r="O105" s="90" t="n">
        <x:v>6.35</x:v>
      </x:c>
      <x:c r="P105" s="150" t="n">
        <x:v>3.92</x:v>
      </x:c>
      <x:c r="Q105" s="86" t="n">
        <x:v>23</x:v>
      </x:c>
      <x:c r="R105" s="32"/>
      <x:c r="S105" s="32" t="str">
        <x:v>ok</x:v>
      </x:c>
      <x:c r="T105" s="32" t="str">
        <x:v>ok</x:v>
      </x:c>
      <x:c r="U105" s="32" t="str">
        <x:v>ok</x:v>
      </x:c>
      <x:c r="V105" s="32" t="str">
        <x:v>ok</x:v>
      </x:c>
      <x:c r="W105" s="154" t="str">
        <x:v>{"schema_version":1,"imei":"862323089930706","timestamp":1786016153,"report_sequence":5,"task_version":"rice_tension_soil_demo","sensor_mode":"tension_soil","soil_moisture_percent":39.9,"soil_temperature_c":25.1,"soil_ec_us_cm":850,"soil_ph":6.35,"battery_mv":3920,"csq":23,"soil_rs485_status":"ok","cycle_status":"ok","soil_tension_kpa":-34.9,"soil_tension_rs485_status":"ok"}</x:v>
      </x:c>
    </x:row>
    <x:row r="106">
      <x:c r="A106" s="72" t="n">
        <x:v>46240.81658564815</x:v>
      </x:c>
      <x:c r="B106" s="72" t="n">
        <x:v>46240.81659953704</x:v>
      </x:c>
      <x:c r="C106" s="32" t="str">
        <x:v>P07</x:v>
      </x:c>
      <x:c r="D106" s="32" t="str">
        <x:v>B2-W0-V1</x:v>
      </x:c>
      <x:c r="E106" s="32" t="str">
        <x:v>B2</x:v>
      </x:c>
      <x:c r="F106" s="32" t="str">
        <x:v>W0</x:v>
      </x:c>
      <x:c r="G106" s="32" t="str">
        <x:v>V1</x:v>
      </x:c>
      <x:c r="H106" s="32" t="str">
        <x:v>water_soil</x:v>
      </x:c>
      <x:c r="I106" s="32" t="str">
        <x:v>862323089930707</x:v>
      </x:c>
      <x:c r="J106" s="82" t="n">
        <x:v>37.9</x:v>
      </x:c>
      <x:c r="K106" s="82"/>
      <x:c r="L106" s="82" t="n">
        <x:v>41.4</x:v>
      </x:c>
      <x:c r="M106" s="82" t="n">
        <x:v>25.2</x:v>
      </x:c>
      <x:c r="N106" s="86" t="n">
        <x:v>870</x:v>
      </x:c>
      <x:c r="O106" s="90" t="n">
        <x:v>6.41</x:v>
      </x:c>
      <x:c r="P106" s="150" t="n">
        <x:v>3.938</x:v>
      </x:c>
      <x:c r="Q106" s="86" t="n">
        <x:v>24</x:v>
      </x:c>
      <x:c r="R106" s="32" t="str">
        <x:v>ok</x:v>
      </x:c>
      <x:c r="S106" s="32"/>
      <x:c r="T106" s="32" t="str">
        <x:v>ok</x:v>
      </x:c>
      <x:c r="U106" s="32" t="str">
        <x:v>ok</x:v>
      </x:c>
      <x:c r="V106" s="32" t="str">
        <x:v>ok</x:v>
      </x:c>
      <x:c r="W106" s="154" t="str">
        <x:v>{"schema_version":1,"imei":"862323089930707","timestamp":1786016153,"report_sequence":5,"task_version":"rice_w0_water_soil_demo","sensor_mode":"water_soil","soil_moisture_percent":41.4,"soil_temperature_c":25.2,"soil_ec_us_cm":870,"soil_ph":6.41,"battery_mv":3938,"csq":24,"soil_rs485_status":"ok","cycle_status":"ok","water_level_mm":37.9,"water_4_20ma_status":"ok"}</x:v>
      </x:c>
    </x:row>
    <x:row r="107">
      <x:c r="A107" s="72" t="n">
        <x:v>46240.81658564815</x:v>
      </x:c>
      <x:c r="B107" s="72" t="n">
        <x:v>46240.81659953704</x:v>
      </x:c>
      <x:c r="C107" s="32" t="str">
        <x:v>P08</x:v>
      </x:c>
      <x:c r="D107" s="32" t="str">
        <x:v>B2-W0-V2</x:v>
      </x:c>
      <x:c r="E107" s="32" t="str">
        <x:v>B2</x:v>
      </x:c>
      <x:c r="F107" s="32" t="str">
        <x:v>W0</x:v>
      </x:c>
      <x:c r="G107" s="32" t="str">
        <x:v>V2</x:v>
      </x:c>
      <x:c r="H107" s="32" t="str">
        <x:v>water_soil</x:v>
      </x:c>
      <x:c r="I107" s="32" t="str">
        <x:v>862323089930708</x:v>
      </x:c>
      <x:c r="J107" s="82" t="n">
        <x:v>30.1</x:v>
      </x:c>
      <x:c r="K107" s="82"/>
      <x:c r="L107" s="82" t="n">
        <x:v>34.8</x:v>
      </x:c>
      <x:c r="M107" s="82" t="n">
        <x:v>25.3</x:v>
      </x:c>
      <x:c r="N107" s="86" t="n">
        <x:v>891</x:v>
      </x:c>
      <x:c r="O107" s="90" t="n">
        <x:v>6.46</x:v>
      </x:c>
      <x:c r="P107" s="150" t="n">
        <x:v>3.956</x:v>
      </x:c>
      <x:c r="Q107" s="86" t="n">
        <x:v>17</x:v>
      </x:c>
      <x:c r="R107" s="32" t="str">
        <x:v>ok</x:v>
      </x:c>
      <x:c r="S107" s="32"/>
      <x:c r="T107" s="32" t="str">
        <x:v>ok</x:v>
      </x:c>
      <x:c r="U107" s="32" t="str">
        <x:v>ok</x:v>
      </x:c>
      <x:c r="V107" s="32" t="str">
        <x:v>ok</x:v>
      </x:c>
      <x:c r="W107" s="154" t="str">
        <x:v>{"schema_version":1,"imei":"862323089930708","timestamp":1786016153,"report_sequence":5,"task_version":"rice_w0_water_soil_demo","sensor_mode":"water_soil","soil_moisture_percent":34.8,"soil_temperature_c":25.3,"soil_ec_us_cm":891,"soil_ph":6.46,"battery_mv":3956,"csq":17,"soil_rs485_status":"ok","cycle_status":"ok","water_level_mm":30.1,"water_4_20ma_status":"ok"}</x:v>
      </x:c>
    </x:row>
    <x:row r="108">
      <x:c r="A108" s="72" t="n">
        <x:v>46240.81658564815</x:v>
      </x:c>
      <x:c r="B108" s="72" t="n">
        <x:v>46240.81659953704</x:v>
      </x:c>
      <x:c r="C108" s="32" t="str">
        <x:v>P09</x:v>
      </x:c>
      <x:c r="D108" s="32" t="str">
        <x:v>B2-W1-V1</x:v>
      </x:c>
      <x:c r="E108" s="32" t="str">
        <x:v>B2</x:v>
      </x:c>
      <x:c r="F108" s="32" t="str">
        <x:v>W1</x:v>
      </x:c>
      <x:c r="G108" s="32" t="str">
        <x:v>V1</x:v>
      </x:c>
      <x:c r="H108" s="32" t="str">
        <x:v>tension_soil</x:v>
      </x:c>
      <x:c r="I108" s="32" t="str">
        <x:v>862323089930709</x:v>
      </x:c>
      <x:c r="J108" s="82"/>
      <x:c r="K108" s="82" t="n">
        <x:v>-28.3</x:v>
      </x:c>
      <x:c r="L108" s="82" t="n">
        <x:v>36.3</x:v>
      </x:c>
      <x:c r="M108" s="82" t="n">
        <x:v>25.4</x:v>
      </x:c>
      <x:c r="N108" s="86" t="n">
        <x:v>910</x:v>
      </x:c>
      <x:c r="O108" s="90" t="n">
        <x:v>6.52</x:v>
      </x:c>
      <x:c r="P108" s="150" t="n">
        <x:v>3.974</x:v>
      </x:c>
      <x:c r="Q108" s="86" t="n">
        <x:v>18</x:v>
      </x:c>
      <x:c r="R108" s="32"/>
      <x:c r="S108" s="32" t="str">
        <x:v>ok</x:v>
      </x:c>
      <x:c r="T108" s="32" t="str">
        <x:v>ok</x:v>
      </x:c>
      <x:c r="U108" s="32" t="str">
        <x:v>ok</x:v>
      </x:c>
      <x:c r="V108" s="32" t="str">
        <x:v>ok</x:v>
      </x:c>
      <x:c r="W108" s="154" t="str">
        <x:v>{"schema_version":1,"imei":"862323089930709","timestamp":1786016153,"report_sequence":5,"task_version":"rice_tension_soil_demo","sensor_mode":"tension_soil","soil_moisture_percent":36.3,"soil_temperature_c":25.4,"soil_ec_us_cm":910,"soil_ph":6.52,"battery_mv":3974,"csq":18,"soil_rs485_status":"ok","cycle_status":"ok","soil_tension_kpa":-28.3,"soil_tension_rs485_status":"ok"}</x:v>
      </x:c>
    </x:row>
    <x:row r="109">
      <x:c r="A109" s="72" t="n">
        <x:v>46240.81658564815</x:v>
      </x:c>
      <x:c r="B109" s="72" t="n">
        <x:v>46240.81659953704</x:v>
      </x:c>
      <x:c r="C109" s="32" t="str">
        <x:v>P10</x:v>
      </x:c>
      <x:c r="D109" s="32" t="str">
        <x:v>B2-W1-V2</x:v>
      </x:c>
      <x:c r="E109" s="32" t="str">
        <x:v>B2</x:v>
      </x:c>
      <x:c r="F109" s="32" t="str">
        <x:v>W1</x:v>
      </x:c>
      <x:c r="G109" s="32" t="str">
        <x:v>V2</x:v>
      </x:c>
      <x:c r="H109" s="32" t="str">
        <x:v>tension_soil</x:v>
      </x:c>
      <x:c r="I109" s="32" t="str">
        <x:v>862323089930710</x:v>
      </x:c>
      <x:c r="J109" s="82"/>
      <x:c r="K109" s="82" t="n">
        <x:v>-24.6</x:v>
      </x:c>
      <x:c r="L109" s="82" t="n">
        <x:v>37.6</x:v>
      </x:c>
      <x:c r="M109" s="82" t="n">
        <x:v>25.5</x:v>
      </x:c>
      <x:c r="N109" s="86" t="n">
        <x:v>928</x:v>
      </x:c>
      <x:c r="O109" s="90" t="n">
        <x:v>6.32</x:v>
      </x:c>
      <x:c r="P109" s="150" t="n">
        <x:v>3.992</x:v>
      </x:c>
      <x:c r="Q109" s="86" t="n">
        <x:v>19</x:v>
      </x:c>
      <x:c r="R109" s="32"/>
      <x:c r="S109" s="32" t="str">
        <x:v>ok</x:v>
      </x:c>
      <x:c r="T109" s="32" t="str">
        <x:v>ok</x:v>
      </x:c>
      <x:c r="U109" s="32" t="str">
        <x:v>ok</x:v>
      </x:c>
      <x:c r="V109" s="32" t="str">
        <x:v>ok</x:v>
      </x:c>
      <x:c r="W109" s="154" t="str">
        <x:v>{"schema_version":1,"imei":"862323089930710","timestamp":1786016153,"report_sequence":5,"task_version":"rice_tension_soil_demo","sensor_mode":"tension_soil","soil_moisture_percent":37.6,"soil_temperature_c":25.5,"soil_ec_us_cm":928,"soil_ph":6.32,"battery_mv":3992,"csq":19,"soil_rs485_status":"ok","cycle_status":"ok","soil_tension_kpa":-24.6,"soil_tension_rs485_status":"ok"}</x:v>
      </x:c>
    </x:row>
    <x:row r="110">
      <x:c r="A110" s="72" t="n">
        <x:v>46240.81658564815</x:v>
      </x:c>
      <x:c r="B110" s="72" t="n">
        <x:v>46240.81659953704</x:v>
      </x:c>
      <x:c r="C110" s="32" t="str">
        <x:v>P11</x:v>
      </x:c>
      <x:c r="D110" s="32" t="str">
        <x:v>B2-W2-V1</x:v>
      </x:c>
      <x:c r="E110" s="32" t="str">
        <x:v>B2</x:v>
      </x:c>
      <x:c r="F110" s="32" t="str">
        <x:v>W2</x:v>
      </x:c>
      <x:c r="G110" s="32" t="str">
        <x:v>V1</x:v>
      </x:c>
      <x:c r="H110" s="32" t="str">
        <x:v>tension_soil</x:v>
      </x:c>
      <x:c r="I110" s="32" t="str">
        <x:v>862323089930711</x:v>
      </x:c>
      <x:c r="J110" s="82"/>
      <x:c r="K110" s="82" t="n">
        <x:v>-36.9</x:v>
      </x:c>
      <x:c r="L110" s="82" t="n">
        <x:v>38.9</x:v>
      </x:c>
      <x:c r="M110" s="82" t="n">
        <x:v>25.6</x:v>
      </x:c>
      <x:c r="N110" s="86" t="n">
        <x:v>944</x:v>
      </x:c>
      <x:c r="O110" s="90" t="n">
        <x:v>6.38</x:v>
      </x:c>
      <x:c r="P110" s="150" t="n">
        <x:v>4.01</x:v>
      </x:c>
      <x:c r="Q110" s="86" t="n">
        <x:v>20</x:v>
      </x:c>
      <x:c r="R110" s="32"/>
      <x:c r="S110" s="32" t="str">
        <x:v>ok</x:v>
      </x:c>
      <x:c r="T110" s="32" t="str">
        <x:v>ok</x:v>
      </x:c>
      <x:c r="U110" s="32" t="str">
        <x:v>ok</x:v>
      </x:c>
      <x:c r="V110" s="32" t="str">
        <x:v>ok</x:v>
      </x:c>
      <x:c r="W110" s="154" t="str">
        <x:v>{"schema_version":1,"imei":"862323089930711","timestamp":1786016153,"report_sequence":5,"task_version":"rice_tension_soil_demo","sensor_mode":"tension_soil","soil_moisture_percent":38.9,"soil_temperature_c":25.6,"soil_ec_us_cm":944,"soil_ph":6.38,"battery_mv":4010,"csq":20,"soil_rs485_status":"ok","cycle_status":"ok","soil_tension_kpa":-36.9,"soil_tension_rs485_status":"ok"}</x:v>
      </x:c>
    </x:row>
    <x:row r="111">
      <x:c r="A111" s="72" t="n">
        <x:v>46240.81658564815</x:v>
      </x:c>
      <x:c r="B111" s="72" t="n">
        <x:v>46240.81659953704</x:v>
      </x:c>
      <x:c r="C111" s="32" t="str">
        <x:v>P12</x:v>
      </x:c>
      <x:c r="D111" s="32" t="str">
        <x:v>B2-W2-V2</x:v>
      </x:c>
      <x:c r="E111" s="32" t="str">
        <x:v>B2</x:v>
      </x:c>
      <x:c r="F111" s="32" t="str">
        <x:v>W2</x:v>
      </x:c>
      <x:c r="G111" s="32" t="str">
        <x:v>V2</x:v>
      </x:c>
      <x:c r="H111" s="32" t="str">
        <x:v>tension_soil</x:v>
      </x:c>
      <x:c r="I111" s="32" t="str">
        <x:v>862323089930712</x:v>
      </x:c>
      <x:c r="J111" s="82"/>
      <x:c r="K111" s="82" t="n">
        <x:v>-38</x:v>
      </x:c>
      <x:c r="L111" s="82" t="n">
        <x:v>40</x:v>
      </x:c>
      <x:c r="M111" s="82" t="n">
        <x:v>25.6</x:v>
      </x:c>
      <x:c r="N111" s="86" t="n">
        <x:v>959</x:v>
      </x:c>
      <x:c r="O111" s="90" t="n">
        <x:v>6.43</x:v>
      </x:c>
      <x:c r="P111" s="150" t="n">
        <x:v>3.92</x:v>
      </x:c>
      <x:c r="Q111" s="86" t="n">
        <x:v>21</x:v>
      </x:c>
      <x:c r="R111" s="32"/>
      <x:c r="S111" s="32" t="str">
        <x:v>ok</x:v>
      </x:c>
      <x:c r="T111" s="32" t="str">
        <x:v>ok</x:v>
      </x:c>
      <x:c r="U111" s="32" t="str">
        <x:v>ok</x:v>
      </x:c>
      <x:c r="V111" s="32" t="str">
        <x:v>ok</x:v>
      </x:c>
      <x:c r="W111" s="154" t="str">
        <x:v>{"schema_version":1,"imei":"862323089930712","timestamp":1786016153,"report_sequence":5,"task_version":"rice_tension_soil_demo","sensor_mode":"tension_soil","soil_moisture_percent":40,"soil_temperature_c":25.6,"soil_ec_us_cm":959,"soil_ph":6.43,"battery_mv":3920,"csq":21,"soil_rs485_status":"ok","cycle_status":"ok","soil_tension_kpa":-38,"soil_tension_rs485_status":"ok"}</x:v>
      </x:c>
    </x:row>
    <x:row r="112">
      <x:c r="A112" s="72" t="n">
        <x:v>46240.81658564815</x:v>
      </x:c>
      <x:c r="B112" s="72" t="n">
        <x:v>46240.81659953704</x:v>
      </x:c>
      <x:c r="C112" s="32" t="str">
        <x:v>P13</x:v>
      </x:c>
      <x:c r="D112" s="32" t="str">
        <x:v>B3-W0-V1</x:v>
      </x:c>
      <x:c r="E112" s="32" t="str">
        <x:v>B3</x:v>
      </x:c>
      <x:c r="F112" s="32" t="str">
        <x:v>W0</x:v>
      </x:c>
      <x:c r="G112" s="32" t="str">
        <x:v>V1</x:v>
      </x:c>
      <x:c r="H112" s="32" t="str">
        <x:v>water_soil</x:v>
      </x:c>
      <x:c r="I112" s="32" t="str">
        <x:v>862323089930713</x:v>
      </x:c>
      <x:c r="J112" s="82" t="n">
        <x:v>36</x:v>
      </x:c>
      <x:c r="K112" s="82"/>
      <x:c r="L112" s="82" t="n">
        <x:v>41</x:v>
      </x:c>
      <x:c r="M112" s="82" t="n">
        <x:v>25.6</x:v>
      </x:c>
      <x:c r="N112" s="86" t="n">
        <x:v>971</x:v>
      </x:c>
      <x:c r="O112" s="90" t="n">
        <x:v>6.48</x:v>
      </x:c>
      <x:c r="P112" s="150" t="n">
        <x:v>3.938</x:v>
      </x:c>
      <x:c r="Q112" s="86" t="n">
        <x:v>22</x:v>
      </x:c>
      <x:c r="R112" s="32" t="str">
        <x:v>ok</x:v>
      </x:c>
      <x:c r="S112" s="32"/>
      <x:c r="T112" s="32" t="str">
        <x:v>ok</x:v>
      </x:c>
      <x:c r="U112" s="32" t="str">
        <x:v>ok</x:v>
      </x:c>
      <x:c r="V112" s="32" t="str">
        <x:v>ok</x:v>
      </x:c>
      <x:c r="W112" s="154" t="str">
        <x:v>{"schema_version":1,"imei":"862323089930713","timestamp":1786016153,"report_sequence":5,"task_version":"rice_w0_water_soil_demo","sensor_mode":"water_soil","soil_moisture_percent":41,"soil_temperature_c":25.6,"soil_ec_us_cm":971,"soil_ph":6.48,"battery_mv":3938,"csq":22,"soil_rs485_status":"ok","cycle_status":"ok","water_level_mm":36,"water_4_20ma_status":"ok"}</x:v>
      </x:c>
    </x:row>
    <x:row r="113">
      <x:c r="A113" s="72" t="n">
        <x:v>46240.81658564815</x:v>
      </x:c>
      <x:c r="B113" s="72" t="n">
        <x:v>46240.81659953704</x:v>
      </x:c>
      <x:c r="C113" s="32" t="str">
        <x:v>P14</x:v>
      </x:c>
      <x:c r="D113" s="32" t="str">
        <x:v>B3-W0-V2</x:v>
      </x:c>
      <x:c r="E113" s="32" t="str">
        <x:v>B3</x:v>
      </x:c>
      <x:c r="F113" s="32" t="str">
        <x:v>W0</x:v>
      </x:c>
      <x:c r="G113" s="32" t="str">
        <x:v>V2</x:v>
      </x:c>
      <x:c r="H113" s="32" t="str">
        <x:v>water_soil</x:v>
      </x:c>
      <x:c r="I113" s="32" t="str">
        <x:v>862323089930714</x:v>
      </x:c>
      <x:c r="J113" s="82" t="n">
        <x:v>38.7</x:v>
      </x:c>
      <x:c r="K113" s="82"/>
      <x:c r="L113" s="82" t="n">
        <x:v>41.9</x:v>
      </x:c>
      <x:c r="M113" s="82" t="n">
        <x:v>25.6</x:v>
      </x:c>
      <x:c r="N113" s="86" t="n">
        <x:v>981</x:v>
      </x:c>
      <x:c r="O113" s="90" t="n">
        <x:v>6.53</x:v>
      </x:c>
      <x:c r="P113" s="150" t="n">
        <x:v>3.956</x:v>
      </x:c>
      <x:c r="Q113" s="86" t="n">
        <x:v>23</x:v>
      </x:c>
      <x:c r="R113" s="32" t="str">
        <x:v>ok</x:v>
      </x:c>
      <x:c r="S113" s="32"/>
      <x:c r="T113" s="32" t="str">
        <x:v>ok</x:v>
      </x:c>
      <x:c r="U113" s="32" t="str">
        <x:v>ok</x:v>
      </x:c>
      <x:c r="V113" s="32" t="str">
        <x:v>ok</x:v>
      </x:c>
      <x:c r="W113" s="154" t="str">
        <x:v>{"schema_version":1,"imei":"862323089930714","timestamp":1786016153,"report_sequence":5,"task_version":"rice_w0_water_soil_demo","sensor_mode":"water_soil","soil_moisture_percent":41.9,"soil_temperature_c":25.6,"soil_ec_us_cm":981,"soil_ph":6.53,"battery_mv":3956,"csq":23,"soil_rs485_status":"ok","cycle_status":"ok","water_level_mm":38.7,"water_4_20ma_status":"ok"}</x:v>
      </x:c>
    </x:row>
    <x:row r="114">
      <x:c r="A114" s="72" t="n">
        <x:v>46240.81658564815</x:v>
      </x:c>
      <x:c r="B114" s="72" t="n">
        <x:v>46240.81659953704</x:v>
      </x:c>
      <x:c r="C114" s="32" t="str">
        <x:v>P15</x:v>
      </x:c>
      <x:c r="D114" s="32" t="str">
        <x:v>B3-W1-V1</x:v>
      </x:c>
      <x:c r="E114" s="32" t="str">
        <x:v>B3</x:v>
      </x:c>
      <x:c r="F114" s="32" t="str">
        <x:v>W1</x:v>
      </x:c>
      <x:c r="G114" s="32" t="str">
        <x:v>V1</x:v>
      </x:c>
      <x:c r="H114" s="32" t="str">
        <x:v>tension_soil</x:v>
      </x:c>
      <x:c r="I114" s="32" t="str">
        <x:v>862323089930715</x:v>
      </x:c>
      <x:c r="J114" s="82"/>
      <x:c r="K114" s="82" t="n">
        <x:v>-24.6</x:v>
      </x:c>
      <x:c r="L114" s="82" t="n">
        <x:v>42.6</x:v>
      </x:c>
      <x:c r="M114" s="82" t="n">
        <x:v>25.5</x:v>
      </x:c>
      <x:c r="N114" s="86" t="n">
        <x:v>989</x:v>
      </x:c>
      <x:c r="O114" s="90" t="n">
        <x:v>6.32</x:v>
      </x:c>
      <x:c r="P114" s="150" t="n">
        <x:v>3.974</x:v>
      </x:c>
      <x:c r="Q114" s="86" t="n">
        <x:v>24</x:v>
      </x:c>
      <x:c r="R114" s="32"/>
      <x:c r="S114" s="32" t="str">
        <x:v>ok</x:v>
      </x:c>
      <x:c r="T114" s="32" t="str">
        <x:v>ok</x:v>
      </x:c>
      <x:c r="U114" s="32" t="str">
        <x:v>ok</x:v>
      </x:c>
      <x:c r="V114" s="32" t="str">
        <x:v>ok</x:v>
      </x:c>
      <x:c r="W114" s="154" t="str">
        <x:v>{"schema_version":1,"imei":"862323089930715","timestamp":1786016153,"report_sequence":5,"task_version":"rice_tension_soil_demo","sensor_mode":"tension_soil","soil_moisture_percent":42.6,"soil_temperature_c":25.5,"soil_ec_us_cm":989,"soil_ph":6.32,"battery_mv":3974,"csq":24,"soil_rs485_status":"ok","cycle_status":"ok","soil_tension_kpa":-24.6,"soil_tension_rs485_status":"ok"}</x:v>
      </x:c>
    </x:row>
    <x:row r="115">
      <x:c r="A115" s="72" t="n">
        <x:v>46240.81658564815</x:v>
      </x:c>
      <x:c r="B115" s="72" t="n">
        <x:v>46240.81659953704</x:v>
      </x:c>
      <x:c r="C115" s="32" t="str">
        <x:v>P16</x:v>
      </x:c>
      <x:c r="D115" s="32" t="str">
        <x:v>B3-W1-V2</x:v>
      </x:c>
      <x:c r="E115" s="32" t="str">
        <x:v>B3</x:v>
      </x:c>
      <x:c r="F115" s="32" t="str">
        <x:v>W1</x:v>
      </x:c>
      <x:c r="G115" s="32" t="str">
        <x:v>V2</x:v>
      </x:c>
      <x:c r="H115" s="32" t="str">
        <x:v>tension_soil</x:v>
      </x:c>
      <x:c r="I115" s="32" t="str">
        <x:v>862323089930716</x:v>
      </x:c>
      <x:c r="J115" s="82"/>
      <x:c r="K115" s="82" t="n">
        <x:v>-25.3</x:v>
      </x:c>
      <x:c r="L115" s="82" t="n">
        <x:v>35.3</x:v>
      </x:c>
      <x:c r="M115" s="82" t="n">
        <x:v>25.4</x:v>
      </x:c>
      <x:c r="N115" s="86" t="n">
        <x:v>995</x:v>
      </x:c>
      <x:c r="O115" s="90" t="n">
        <x:v>6.37</x:v>
      </x:c>
      <x:c r="P115" s="150" t="n">
        <x:v>3.992</x:v>
      </x:c>
      <x:c r="Q115" s="86" t="n">
        <x:v>17</x:v>
      </x:c>
      <x:c r="R115" s="32"/>
      <x:c r="S115" s="32" t="str">
        <x:v>ok</x:v>
      </x:c>
      <x:c r="T115" s="32" t="str">
        <x:v>ok</x:v>
      </x:c>
      <x:c r="U115" s="32" t="str">
        <x:v>ok</x:v>
      </x:c>
      <x:c r="V115" s="32" t="str">
        <x:v>ok</x:v>
      </x:c>
      <x:c r="W115" s="154" t="str">
        <x:v>{"schema_version":1,"imei":"862323089930716","timestamp":1786016153,"report_sequence":5,"task_version":"rice_tension_soil_demo","sensor_mode":"tension_soil","soil_moisture_percent":35.3,"soil_temperature_c":25.4,"soil_ec_us_cm":995,"soil_ph":6.37,"battery_mv":3992,"csq":17,"soil_rs485_status":"ok","cycle_status":"ok","soil_tension_kpa":-25.3,"soil_tension_rs485_status":"ok"}</x:v>
      </x:c>
    </x:row>
    <x:row r="116">
      <x:c r="A116" s="72" t="n">
        <x:v>46240.81658564815</x:v>
      </x:c>
      <x:c r="B116" s="72" t="n">
        <x:v>46240.81659953704</x:v>
      </x:c>
      <x:c r="C116" s="32" t="str">
        <x:v>P17</x:v>
      </x:c>
      <x:c r="D116" s="32" t="str">
        <x:v>B3-W2-V1</x:v>
      </x:c>
      <x:c r="E116" s="32" t="str">
        <x:v>B3</x:v>
      </x:c>
      <x:c r="F116" s="32" t="str">
        <x:v>W2</x:v>
      </x:c>
      <x:c r="G116" s="32" t="str">
        <x:v>V1</x:v>
      </x:c>
      <x:c r="H116" s="32" t="str">
        <x:v>tension_soil</x:v>
      </x:c>
      <x:c r="I116" s="32" t="str">
        <x:v>862323089930717</x:v>
      </x:c>
      <x:c r="J116" s="82"/>
      <x:c r="K116" s="82" t="n">
        <x:v>-36.9</x:v>
      </x:c>
      <x:c r="L116" s="82" t="n">
        <x:v>35.9</x:v>
      </x:c>
      <x:c r="M116" s="82" t="n">
        <x:v>25.3</x:v>
      </x:c>
      <x:c r="N116" s="86" t="n">
        <x:v>999</x:v>
      </x:c>
      <x:c r="O116" s="90" t="n">
        <x:v>6.41</x:v>
      </x:c>
      <x:c r="P116" s="150" t="n">
        <x:v>4.01</x:v>
      </x:c>
      <x:c r="Q116" s="86" t="n">
        <x:v>18</x:v>
      </x:c>
      <x:c r="R116" s="32"/>
      <x:c r="S116" s="32" t="str">
        <x:v>ok</x:v>
      </x:c>
      <x:c r="T116" s="32" t="str">
        <x:v>ok</x:v>
      </x:c>
      <x:c r="U116" s="32" t="str">
        <x:v>ok</x:v>
      </x:c>
      <x:c r="V116" s="32" t="str">
        <x:v>ok</x:v>
      </x:c>
      <x:c r="W116" s="154" t="str">
        <x:v>{"schema_version":1,"imei":"862323089930717","timestamp":1786016153,"report_sequence":5,"task_version":"rice_tension_soil_demo","sensor_mode":"tension_soil","soil_moisture_percent":35.9,"soil_temperature_c":25.3,"soil_ec_us_cm":999,"soil_ph":6.41,"battery_mv":4010,"csq":18,"soil_rs485_status":"ok","cycle_status":"ok","soil_tension_kpa":-36.9,"soil_tension_rs485_status":"ok"}</x:v>
      </x:c>
    </x:row>
    <x:row r="117">
      <x:c r="A117" s="72" t="n">
        <x:v>46240.81658564815</x:v>
      </x:c>
      <x:c r="B117" s="72" t="n">
        <x:v>46240.81659953704</x:v>
      </x:c>
      <x:c r="C117" s="32" t="str">
        <x:v>P18</x:v>
      </x:c>
      <x:c r="D117" s="32" t="str">
        <x:v>B3-W2-V2</x:v>
      </x:c>
      <x:c r="E117" s="32" t="str">
        <x:v>B3</x:v>
      </x:c>
      <x:c r="F117" s="32" t="str">
        <x:v>W2</x:v>
      </x:c>
      <x:c r="G117" s="32" t="str">
        <x:v>V2</x:v>
      </x:c>
      <x:c r="H117" s="32" t="str">
        <x:v>tension_soil</x:v>
      </x:c>
      <x:c r="I117" s="32" t="str">
        <x:v>862323089930718</x:v>
      </x:c>
      <x:c r="J117" s="82"/>
      <x:c r="K117" s="82" t="n">
        <x:v>-37.4</x:v>
      </x:c>
      <x:c r="L117" s="82" t="n">
        <x:v>36.4</x:v>
      </x:c>
      <x:c r="M117" s="82" t="n">
        <x:v>25.2</x:v>
      </x:c>
      <x:c r="N117" s="86" t="n">
        <x:v>1003</x:v>
      </x:c>
      <x:c r="O117" s="90" t="n">
        <x:v>6.46</x:v>
      </x:c>
      <x:c r="P117" s="150" t="n">
        <x:v>3.92</x:v>
      </x:c>
      <x:c r="Q117" s="86" t="n">
        <x:v>19</x:v>
      </x:c>
      <x:c r="R117" s="32"/>
      <x:c r="S117" s="32" t="str">
        <x:v>ok</x:v>
      </x:c>
      <x:c r="T117" s="32" t="str">
        <x:v>ok</x:v>
      </x:c>
      <x:c r="U117" s="32" t="str">
        <x:v>ok</x:v>
      </x:c>
      <x:c r="V117" s="32" t="str">
        <x:v>ok</x:v>
      </x:c>
      <x:c r="W117" s="154" t="str">
        <x:v>{"schema_version":1,"imei":"862323089930718","timestamp":1786016153,"report_sequence":5,"task_version":"rice_tension_soil_demo","sensor_mode":"tension_soil","soil_moisture_percent":36.4,"soil_temperature_c":25.2,"soil_ec_us_cm":1003,"soil_ph":6.46,"battery_mv":3920,"csq":19,"soil_rs485_status":"ok","cycle_status":"ok","soil_tension_kpa":-37.4,"soil_tension_rs485_status":"ok"}</x:v>
      </x:c>
    </x:row>
    <x:row r="118">
      <x:c r="A118" s="72" t="n">
        <x:v>46240.81658564815</x:v>
      </x:c>
      <x:c r="B118" s="72" t="n">
        <x:v>46240.81659953704</x:v>
      </x:c>
      <x:c r="C118" s="32" t="str">
        <x:v>P19</x:v>
      </x:c>
      <x:c r="D118" s="32" t="str">
        <x:v>B4-W0-V1</x:v>
      </x:c>
      <x:c r="E118" s="32" t="str">
        <x:v>B4</x:v>
      </x:c>
      <x:c r="F118" s="32" t="str">
        <x:v>W0</x:v>
      </x:c>
      <x:c r="G118" s="32" t="str">
        <x:v>V1</x:v>
      </x:c>
      <x:c r="H118" s="32" t="str">
        <x:v>water_soil</x:v>
      </x:c>
      <x:c r="I118" s="32" t="str">
        <x:v>862323089930719</x:v>
      </x:c>
      <x:c r="J118" s="82" t="n">
        <x:v>36.8</x:v>
      </x:c>
      <x:c r="K118" s="82"/>
      <x:c r="L118" s="82" t="n">
        <x:v>36.9</x:v>
      </x:c>
      <x:c r="M118" s="82" t="n">
        <x:v>25.1</x:v>
      </x:c>
      <x:c r="N118" s="86" t="n">
        <x:v>1007</x:v>
      </x:c>
      <x:c r="O118" s="90" t="n">
        <x:v>6.5</x:v>
      </x:c>
      <x:c r="P118" s="150" t="n">
        <x:v>3.938</x:v>
      </x:c>
      <x:c r="Q118" s="86" t="n">
        <x:v>20</x:v>
      </x:c>
      <x:c r="R118" s="32" t="str">
        <x:v>ok</x:v>
      </x:c>
      <x:c r="S118" s="32"/>
      <x:c r="T118" s="32" t="str">
        <x:v>ok</x:v>
      </x:c>
      <x:c r="U118" s="32" t="str">
        <x:v>ok</x:v>
      </x:c>
      <x:c r="V118" s="32" t="str">
        <x:v>ok</x:v>
      </x:c>
      <x:c r="W118" s="154" t="str">
        <x:v>{"schema_version":1,"imei":"862323089930719","timestamp":1786016153,"report_sequence":5,"task_version":"rice_w0_water_soil_demo","sensor_mode":"water_soil","soil_moisture_percent":36.9,"soil_temperature_c":25.1,"soil_ec_us_cm":1007,"soil_ph":6.5,"battery_mv":3938,"csq":20,"soil_rs485_status":"ok","cycle_status":"ok","water_level_mm":36.8,"water_4_20ma_status":"ok"}</x:v>
      </x:c>
    </x:row>
    <x:row r="119">
      <x:c r="A119" s="72" t="n">
        <x:v>46240.81658564815</x:v>
      </x:c>
      <x:c r="B119" s="72" t="n">
        <x:v>46240.81659953704</x:v>
      </x:c>
      <x:c r="C119" s="32" t="str">
        <x:v>P20</x:v>
      </x:c>
      <x:c r="D119" s="32" t="str">
        <x:v>B4-W0-V2</x:v>
      </x:c>
      <x:c r="E119" s="32" t="str">
        <x:v>B4</x:v>
      </x:c>
      <x:c r="F119" s="32" t="str">
        <x:v>W0</x:v>
      </x:c>
      <x:c r="G119" s="32" t="str">
        <x:v>V2</x:v>
      </x:c>
      <x:c r="H119" s="32" t="str">
        <x:v>water_soil</x:v>
      </x:c>
      <x:c r="I119" s="32" t="str">
        <x:v>862323089930720</x:v>
      </x:c>
      <x:c r="J119" s="82" t="n">
        <x:v>26.6</x:v>
      </x:c>
      <x:c r="K119" s="82"/>
      <x:c r="L119" s="82" t="n">
        <x:v>37.4</x:v>
      </x:c>
      <x:c r="M119" s="82" t="n">
        <x:v>25</x:v>
      </x:c>
      <x:c r="N119" s="86" t="n">
        <x:v>1010</x:v>
      </x:c>
      <x:c r="O119" s="90" t="n">
        <x:v>6.29</x:v>
      </x:c>
      <x:c r="P119" s="150" t="n">
        <x:v>3.956</x:v>
      </x:c>
      <x:c r="Q119" s="86" t="n">
        <x:v>21</x:v>
      </x:c>
      <x:c r="R119" s="32" t="str">
        <x:v>ok</x:v>
      </x:c>
      <x:c r="S119" s="32"/>
      <x:c r="T119" s="32" t="str">
        <x:v>ok</x:v>
      </x:c>
      <x:c r="U119" s="32" t="str">
        <x:v>ok</x:v>
      </x:c>
      <x:c r="V119" s="32" t="str">
        <x:v>ok</x:v>
      </x:c>
      <x:c r="W119" s="154" t="str">
        <x:v>{"schema_version":1,"imei":"862323089930720","timestamp":1786016153,"report_sequence":5,"task_version":"rice_w0_water_soil_demo","sensor_mode":"water_soil","soil_moisture_percent":37.4,"soil_temperature_c":25,"soil_ec_us_cm":1010,"soil_ph":6.29,"battery_mv":3956,"csq":21,"soil_rs485_status":"ok","cycle_status":"ok","water_level_mm":26.6,"water_4_20ma_status":"ok"}</x:v>
      </x:c>
    </x:row>
    <x:row r="120">
      <x:c r="A120" s="72" t="n">
        <x:v>46240.81658564815</x:v>
      </x:c>
      <x:c r="B120" s="72" t="n">
        <x:v>46240.81659953704</x:v>
      </x:c>
      <x:c r="C120" s="32" t="str">
        <x:v>P21</x:v>
      </x:c>
      <x:c r="D120" s="32" t="str">
        <x:v>B4-W1-V1</x:v>
      </x:c>
      <x:c r="E120" s="32" t="str">
        <x:v>B4</x:v>
      </x:c>
      <x:c r="F120" s="32" t="str">
        <x:v>W1</x:v>
      </x:c>
      <x:c r="G120" s="32" t="str">
        <x:v>V1</x:v>
      </x:c>
      <x:c r="H120" s="32" t="str">
        <x:v>tension_soil</x:v>
      </x:c>
      <x:c r="I120" s="32" t="str">
        <x:v>862323089930721</x:v>
      </x:c>
      <x:c r="J120" s="82"/>
      <x:c r="K120" s="82" t="n">
        <x:v>-23</x:v>
      </x:c>
      <x:c r="L120" s="82" t="n">
        <x:v>38</x:v>
      </x:c>
      <x:c r="M120" s="82" t="n">
        <x:v>24.8</x:v>
      </x:c>
      <x:c r="N120" s="86" t="n">
        <x:v>1014</x:v>
      </x:c>
      <x:c r="O120" s="90" t="n">
        <x:v>6.33</x:v>
      </x:c>
      <x:c r="P120" s="150" t="n">
        <x:v>3.974</x:v>
      </x:c>
      <x:c r="Q120" s="86" t="n">
        <x:v>22</x:v>
      </x:c>
      <x:c r="R120" s="32"/>
      <x:c r="S120" s="32" t="str">
        <x:v>ok</x:v>
      </x:c>
      <x:c r="T120" s="32" t="str">
        <x:v>ok</x:v>
      </x:c>
      <x:c r="U120" s="32" t="str">
        <x:v>ok</x:v>
      </x:c>
      <x:c r="V120" s="32" t="str">
        <x:v>ok</x:v>
      </x:c>
      <x:c r="W120" s="154" t="str">
        <x:v>{"schema_version":1,"imei":"862323089930721","timestamp":1786016153,"report_sequence":5,"task_version":"rice_tension_soil_demo","sensor_mode":"tension_soil","soil_moisture_percent":38,"soil_temperature_c":24.8,"soil_ec_us_cm":1014,"soil_ph":6.33,"battery_mv":3974,"csq":22,"soil_rs485_status":"ok","cycle_status":"ok","soil_tension_kpa":-23,"soil_tension_rs485_status":"ok"}</x:v>
      </x:c>
    </x:row>
    <x:row r="121">
      <x:c r="A121" s="72" t="n">
        <x:v>46240.81658564815</x:v>
      </x:c>
      <x:c r="B121" s="72" t="n">
        <x:v>46240.81659953704</x:v>
      </x:c>
      <x:c r="C121" s="32" t="str">
        <x:v>P22</x:v>
      </x:c>
      <x:c r="D121" s="32" t="str">
        <x:v>B4-W1-V2</x:v>
      </x:c>
      <x:c r="E121" s="32" t="str">
        <x:v>B4</x:v>
      </x:c>
      <x:c r="F121" s="32" t="str">
        <x:v>W1</x:v>
      </x:c>
      <x:c r="G121" s="32" t="str">
        <x:v>V2</x:v>
      </x:c>
      <x:c r="H121" s="32" t="str">
        <x:v>tension_soil</x:v>
      </x:c>
      <x:c r="I121" s="32" t="str">
        <x:v>862323089930722</x:v>
      </x:c>
      <x:c r="J121" s="82"/>
      <x:c r="K121" s="82" t="n">
        <x:v>-23.6</x:v>
      </x:c>
      <x:c r="L121" s="82" t="n">
        <x:v>38.6</x:v>
      </x:c>
      <x:c r="M121" s="82" t="n">
        <x:v>24.7</x:v>
      </x:c>
      <x:c r="N121" s="86" t="n">
        <x:v>1019</x:v>
      </x:c>
      <x:c r="O121" s="90" t="n">
        <x:v>6.38</x:v>
      </x:c>
      <x:c r="P121" s="150" t="n">
        <x:v>3.992</x:v>
      </x:c>
      <x:c r="Q121" s="86" t="n">
        <x:v>23</x:v>
      </x:c>
      <x:c r="R121" s="32"/>
      <x:c r="S121" s="32" t="str">
        <x:v>ok</x:v>
      </x:c>
      <x:c r="T121" s="32" t="str">
        <x:v>ok</x:v>
      </x:c>
      <x:c r="U121" s="32" t="str">
        <x:v>ok</x:v>
      </x:c>
      <x:c r="V121" s="32" t="str">
        <x:v>ok</x:v>
      </x:c>
      <x:c r="W121" s="154" t="str">
        <x:v>{"schema_version":1,"imei":"862323089930722","timestamp":1786016153,"report_sequence":5,"task_version":"rice_tension_soil_demo","sensor_mode":"tension_soil","soil_moisture_percent":38.6,"soil_temperature_c":24.7,"soil_ec_us_cm":1019,"soil_ph":6.38,"battery_mv":3992,"csq":23,"soil_rs485_status":"ok","cycle_status":"ok","soil_tension_kpa":-23.6,"soil_tension_rs485_status":"ok"}</x:v>
      </x:c>
    </x:row>
    <x:row r="122">
      <x:c r="A122" s="72" t="n">
        <x:v>46240.81658564815</x:v>
      </x:c>
      <x:c r="B122" s="72" t="n">
        <x:v>46240.81659953704</x:v>
      </x:c>
      <x:c r="C122" s="32" t="str">
        <x:v>P23</x:v>
      </x:c>
      <x:c r="D122" s="32" t="str">
        <x:v>B4-W2-V1</x:v>
      </x:c>
      <x:c r="E122" s="32" t="str">
        <x:v>B4</x:v>
      </x:c>
      <x:c r="F122" s="32" t="str">
        <x:v>W2</x:v>
      </x:c>
      <x:c r="G122" s="32" t="str">
        <x:v>V1</x:v>
      </x:c>
      <x:c r="H122" s="32" t="str">
        <x:v>tension_soil</x:v>
      </x:c>
      <x:c r="I122" s="32" t="str">
        <x:v>862323089930723</x:v>
      </x:c>
      <x:c r="J122" s="82"/>
      <x:c r="K122" s="82" t="n">
        <x:v>-35.3</x:v>
      </x:c>
      <x:c r="L122" s="82" t="n">
        <x:v>39.3</x:v>
      </x:c>
      <x:c r="M122" s="82" t="n">
        <x:v>24.7</x:v>
      </x:c>
      <x:c r="N122" s="86" t="n">
        <x:v>1026</x:v>
      </x:c>
      <x:c r="O122" s="90" t="n">
        <x:v>6.42</x:v>
      </x:c>
      <x:c r="P122" s="150" t="n">
        <x:v>4.01</x:v>
      </x:c>
      <x:c r="Q122" s="86" t="n">
        <x:v>24</x:v>
      </x:c>
      <x:c r="R122" s="32"/>
      <x:c r="S122" s="32" t="str">
        <x:v>ok</x:v>
      </x:c>
      <x:c r="T122" s="32" t="str">
        <x:v>ok</x:v>
      </x:c>
      <x:c r="U122" s="32" t="str">
        <x:v>ok</x:v>
      </x:c>
      <x:c r="V122" s="32" t="str">
        <x:v>ok</x:v>
      </x:c>
      <x:c r="W122" s="154" t="str">
        <x:v>{"schema_version":1,"imei":"862323089930723","timestamp":1786016153,"report_sequence":5,"task_version":"rice_tension_soil_demo","sensor_mode":"tension_soil","soil_moisture_percent":39.3,"soil_temperature_c":24.7,"soil_ec_us_cm":1026,"soil_ph":6.42,"battery_mv":4010,"csq":24,"soil_rs485_status":"ok","cycle_status":"ok","soil_tension_kpa":-35.3,"soil_tension_rs485_status":"ok"}</x:v>
      </x:c>
    </x:row>
    <x:row r="123">
      <x:c r="A123" s="72" t="n">
        <x:v>46240.81658564815</x:v>
      </x:c>
      <x:c r="B123" s="72" t="n">
        <x:v>46240.81659953704</x:v>
      </x:c>
      <x:c r="C123" s="32" t="str">
        <x:v>P24</x:v>
      </x:c>
      <x:c r="D123" s="32" t="str">
        <x:v>B4-W2-V2</x:v>
      </x:c>
      <x:c r="E123" s="32" t="str">
        <x:v>B4</x:v>
      </x:c>
      <x:c r="F123" s="32" t="str">
        <x:v>W2</x:v>
      </x:c>
      <x:c r="G123" s="32" t="str">
        <x:v>V2</x:v>
      </x:c>
      <x:c r="H123" s="32" t="str">
        <x:v>tension_soil</x:v>
      </x:c>
      <x:c r="I123" s="32" t="str">
        <x:v>862323089930724</x:v>
      </x:c>
      <x:c r="J123" s="82"/>
      <x:c r="K123" s="82" t="n">
        <x:v>-36.1</x:v>
      </x:c>
      <x:c r="L123" s="82" t="n">
        <x:v>32.1</x:v>
      </x:c>
      <x:c r="M123" s="82" t="n">
        <x:v>24.6</x:v>
      </x:c>
      <x:c r="N123" s="86" t="n">
        <x:v>1034</x:v>
      </x:c>
      <x:c r="O123" s="90" t="n">
        <x:v>6.47</x:v>
      </x:c>
      <x:c r="P123" s="150" t="n">
        <x:v>3.92</x:v>
      </x:c>
      <x:c r="Q123" s="86" t="n">
        <x:v>17</x:v>
      </x:c>
      <x:c r="R123" s="32"/>
      <x:c r="S123" s="32" t="str">
        <x:v>ok</x:v>
      </x:c>
      <x:c r="T123" s="32" t="str">
        <x:v>ok</x:v>
      </x:c>
      <x:c r="U123" s="32" t="str">
        <x:v>ok</x:v>
      </x:c>
      <x:c r="V123" s="32" t="str">
        <x:v>ok</x:v>
      </x:c>
      <x:c r="W123" s="154" t="str">
        <x:v>{"schema_version":1,"imei":"862323089930724","timestamp":1786016153,"report_sequence":5,"task_version":"rice_tension_soil_demo","sensor_mode":"tension_soil","soil_moisture_percent":32.1,"soil_temperature_c":24.6,"soil_ec_us_cm":1034,"soil_ph":6.47,"battery_mv":3920,"csq":17,"soil_rs485_status":"ok","cycle_status":"ok","soil_tension_kpa":-36.1,"soil_tension_rs485_status":"ok"}</x:v>
      </x:c>
    </x:row>
    <x:row r="124">
      <x:c r="A124" s="72" t="n">
        <x:v>46240.82005787037</x:v>
      </x:c>
      <x:c r="B124" s="72" t="n">
        <x:v>46240.82007175926</x:v>
      </x:c>
      <x:c r="C124" s="32" t="str">
        <x:v>P01</x:v>
      </x:c>
      <x:c r="D124" s="32" t="str">
        <x:v>B1-W0-V1</x:v>
      </x:c>
      <x:c r="E124" s="32" t="str">
        <x:v>B1</x:v>
      </x:c>
      <x:c r="F124" s="32" t="str">
        <x:v>W0</x:v>
      </x:c>
      <x:c r="G124" s="32" t="str">
        <x:v>V1</x:v>
      </x:c>
      <x:c r="H124" s="32" t="str">
        <x:v>water_soil</x:v>
      </x:c>
      <x:c r="I124" s="32" t="str">
        <x:v>862323089930701</x:v>
      </x:c>
      <x:c r="J124" s="82" t="n">
        <x:v>26</x:v>
      </x:c>
      <x:c r="K124" s="82"/>
      <x:c r="L124" s="82" t="n">
        <x:v>33</x:v>
      </x:c>
      <x:c r="M124" s="82" t="n">
        <x:v>24.6</x:v>
      </x:c>
      <x:c r="N124" s="86" t="n">
        <x:v>757</x:v>
      </x:c>
      <x:c r="O124" s="90" t="n">
        <x:v>6.32</x:v>
      </x:c>
      <x:c r="P124" s="150" t="n">
        <x:v>3.938</x:v>
      </x:c>
      <x:c r="Q124" s="86" t="n">
        <x:v>18</x:v>
      </x:c>
      <x:c r="R124" s="32" t="str">
        <x:v>ok</x:v>
      </x:c>
      <x:c r="S124" s="32"/>
      <x:c r="T124" s="32" t="str">
        <x:v>ok</x:v>
      </x:c>
      <x:c r="U124" s="32" t="str">
        <x:v>ok</x:v>
      </x:c>
      <x:c r="V124" s="32" t="str">
        <x:v>ok</x:v>
      </x:c>
      <x:c r="W124" s="154" t="str">
        <x:v>{"schema_version":1,"imei":"862323089930701","timestamp":1786016453,"report_sequence":6,"task_version":"rice_w0_water_soil_demo","sensor_mode":"water_soil","soil_moisture_percent":33,"soil_temperature_c":24.6,"soil_ec_us_cm":757,"soil_ph":6.32,"battery_mv":3938,"csq":18,"soil_rs485_status":"ok","cycle_status":"ok","water_level_mm":26,"water_4_20ma_status":"ok"}</x:v>
      </x:c>
    </x:row>
    <x:row r="125">
      <x:c r="A125" s="72" t="n">
        <x:v>46240.82005787037</x:v>
      </x:c>
      <x:c r="B125" s="72" t="n">
        <x:v>46240.82007175926</x:v>
      </x:c>
      <x:c r="C125" s="32" t="str">
        <x:v>P02</x:v>
      </x:c>
      <x:c r="D125" s="32" t="str">
        <x:v>B1-W0-V2</x:v>
      </x:c>
      <x:c r="E125" s="32" t="str">
        <x:v>B1</x:v>
      </x:c>
      <x:c r="F125" s="32" t="str">
        <x:v>W0</x:v>
      </x:c>
      <x:c r="G125" s="32" t="str">
        <x:v>V2</x:v>
      </x:c>
      <x:c r="H125" s="32" t="str">
        <x:v>water_soil</x:v>
      </x:c>
      <x:c r="I125" s="32" t="str">
        <x:v>862323089930702</x:v>
      </x:c>
      <x:c r="J125" s="82" t="n">
        <x:v>29.2</x:v>
      </x:c>
      <x:c r="K125" s="82"/>
      <x:c r="L125" s="82" t="n">
        <x:v>34.1</x:v>
      </x:c>
      <x:c r="M125" s="82" t="n">
        <x:v>24.6</x:v>
      </x:c>
      <x:c r="N125" s="86" t="n">
        <x:v>770</x:v>
      </x:c>
      <x:c r="O125" s="90" t="n">
        <x:v>6.37</x:v>
      </x:c>
      <x:c r="P125" s="150" t="n">
        <x:v>3.956</x:v>
      </x:c>
      <x:c r="Q125" s="86" t="n">
        <x:v>19</x:v>
      </x:c>
      <x:c r="R125" s="32" t="str">
        <x:v>ok</x:v>
      </x:c>
      <x:c r="S125" s="32"/>
      <x:c r="T125" s="32" t="str">
        <x:v>ok</x:v>
      </x:c>
      <x:c r="U125" s="32" t="str">
        <x:v>ok</x:v>
      </x:c>
      <x:c r="V125" s="32" t="str">
        <x:v>ok</x:v>
      </x:c>
      <x:c r="W125" s="154" t="str">
        <x:v>{"schema_version":1,"imei":"862323089930702","timestamp":1786016453,"report_sequence":6,"task_version":"rice_w0_water_soil_demo","sensor_mode":"water_soil","soil_moisture_percent":34.1,"soil_temperature_c":24.6,"soil_ec_us_cm":770,"soil_ph":6.37,"battery_mv":3956,"csq":19,"soil_rs485_status":"ok","cycle_status":"ok","water_level_mm":29.2,"water_4_20ma_status":"ok"}</x:v>
      </x:c>
    </x:row>
    <x:row r="126">
      <x:c r="A126" s="72" t="n">
        <x:v>46240.82005787037</x:v>
      </x:c>
      <x:c r="B126" s="72" t="n">
        <x:v>46240.82007175926</x:v>
      </x:c>
      <x:c r="C126" s="32" t="str">
        <x:v>P03</x:v>
      </x:c>
      <x:c r="D126" s="32" t="str">
        <x:v>B1-W1-V1</x:v>
      </x:c>
      <x:c r="E126" s="32" t="str">
        <x:v>B1</x:v>
      </x:c>
      <x:c r="F126" s="32" t="str">
        <x:v>W1</x:v>
      </x:c>
      <x:c r="G126" s="32" t="str">
        <x:v>V1</x:v>
      </x:c>
      <x:c r="H126" s="32" t="str">
        <x:v>tension_soil</x:v>
      </x:c>
      <x:c r="I126" s="32" t="str">
        <x:v>862323089930703</x:v>
      </x:c>
      <x:c r="J126" s="82"/>
      <x:c r="K126" s="82" t="n">
        <x:v>-24.2</x:v>
      </x:c>
      <x:c r="L126" s="82" t="n">
        <x:v>35.2</x:v>
      </x:c>
      <x:c r="M126" s="82" t="n">
        <x:v>24.7</x:v>
      </x:c>
      <x:c r="N126" s="86" t="n">
        <x:v>785</x:v>
      </x:c>
      <x:c r="O126" s="90" t="n">
        <x:v>6.42</x:v>
      </x:c>
      <x:c r="P126" s="150" t="n">
        <x:v>3.974</x:v>
      </x:c>
      <x:c r="Q126" s="86" t="n">
        <x:v>20</x:v>
      </x:c>
      <x:c r="R126" s="32"/>
      <x:c r="S126" s="32" t="str">
        <x:v>ok</x:v>
      </x:c>
      <x:c r="T126" s="32" t="str">
        <x:v>ok</x:v>
      </x:c>
      <x:c r="U126" s="32" t="str">
        <x:v>ok</x:v>
      </x:c>
      <x:c r="V126" s="32" t="str">
        <x:v>ok</x:v>
      </x:c>
      <x:c r="W126" s="154" t="str">
        <x:v>{"schema_version":1,"imei":"862323089930703","timestamp":1786016453,"report_sequence":6,"task_version":"rice_tension_soil_demo","sensor_mode":"tension_soil","soil_moisture_percent":35.2,"soil_temperature_c":24.7,"soil_ec_us_cm":785,"soil_ph":6.42,"battery_mv":3974,"csq":20,"soil_rs485_status":"ok","cycle_status":"ok","soil_tension_kpa":-24.2,"soil_tension_rs485_status":"ok"}</x:v>
      </x:c>
    </x:row>
    <x:row r="127">
      <x:c r="A127" s="72" t="n">
        <x:v>46240.82005787037</x:v>
      </x:c>
      <x:c r="B127" s="72" t="n">
        <x:v>46240.82007175926</x:v>
      </x:c>
      <x:c r="C127" s="32" t="str">
        <x:v>P04</x:v>
      </x:c>
      <x:c r="D127" s="32" t="str">
        <x:v>B1-W1-V2</x:v>
      </x:c>
      <x:c r="E127" s="32" t="str">
        <x:v>B1</x:v>
      </x:c>
      <x:c r="F127" s="32" t="str">
        <x:v>W1</x:v>
      </x:c>
      <x:c r="G127" s="32" t="str">
        <x:v>V2</x:v>
      </x:c>
      <x:c r="H127" s="32" t="str">
        <x:v>tension_soil</x:v>
      </x:c>
      <x:c r="I127" s="32" t="str">
        <x:v>862323089930704</x:v>
      </x:c>
      <x:c r="J127" s="82"/>
      <x:c r="K127" s="82" t="n">
        <x:v>-25.5</x:v>
      </x:c>
      <x:c r="L127" s="82" t="n">
        <x:v>36.5</x:v>
      </x:c>
      <x:c r="M127" s="82" t="n">
        <x:v>24.7</x:v>
      </x:c>
      <x:c r="N127" s="86" t="n">
        <x:v>802</x:v>
      </x:c>
      <x:c r="O127" s="90" t="n">
        <x:v>6.48</x:v>
      </x:c>
      <x:c r="P127" s="150" t="n">
        <x:v>3.992</x:v>
      </x:c>
      <x:c r="Q127" s="86" t="n">
        <x:v>21</x:v>
      </x:c>
      <x:c r="R127" s="32"/>
      <x:c r="S127" s="32" t="str">
        <x:v>ok</x:v>
      </x:c>
      <x:c r="T127" s="32" t="str">
        <x:v>ok</x:v>
      </x:c>
      <x:c r="U127" s="32" t="str">
        <x:v>ok</x:v>
      </x:c>
      <x:c r="V127" s="32" t="str">
        <x:v>ok</x:v>
      </x:c>
      <x:c r="W127" s="154" t="str">
        <x:v>{"schema_version":1,"imei":"862323089930704","timestamp":1786016453,"report_sequence":6,"task_version":"rice_tension_soil_demo","sensor_mode":"tension_soil","soil_moisture_percent":36.5,"soil_temperature_c":24.7,"soil_ec_us_cm":802,"soil_ph":6.48,"battery_mv":3992,"csq":21,"soil_rs485_status":"ok","cycle_status":"ok","soil_tension_kpa":-25.5,"soil_tension_rs485_status":"ok"}</x:v>
      </x:c>
    </x:row>
    <x:row r="128">
      <x:c r="A128" s="72" t="n">
        <x:v>46240.82005787037</x:v>
      </x:c>
      <x:c r="B128" s="72" t="n">
        <x:v>46240.82007175926</x:v>
      </x:c>
      <x:c r="C128" s="32" t="str">
        <x:v>P05</x:v>
      </x:c>
      <x:c r="D128" s="32" t="str">
        <x:v>B1-W2-V1</x:v>
      </x:c>
      <x:c r="E128" s="32" t="str">
        <x:v>B1</x:v>
      </x:c>
      <x:c r="F128" s="32" t="str">
        <x:v>W2</x:v>
      </x:c>
      <x:c r="G128" s="32" t="str">
        <x:v>V1</x:v>
      </x:c>
      <x:c r="H128" s="32" t="str">
        <x:v>tension_soil</x:v>
      </x:c>
      <x:c r="I128" s="32" t="str">
        <x:v>862323089930705</x:v>
      </x:c>
      <x:c r="J128" s="82"/>
      <x:c r="K128" s="82" t="n">
        <x:v>-32.9</x:v>
      </x:c>
      <x:c r="L128" s="82" t="n">
        <x:v>37.9</x:v>
      </x:c>
      <x:c r="M128" s="82" t="n">
        <x:v>24.8</x:v>
      </x:c>
      <x:c r="N128" s="86" t="n">
        <x:v>821</x:v>
      </x:c>
      <x:c r="O128" s="90" t="n">
        <x:v>6.28</x:v>
      </x:c>
      <x:c r="P128" s="150" t="n">
        <x:v>4.01</x:v>
      </x:c>
      <x:c r="Q128" s="86" t="n">
        <x:v>22</x:v>
      </x:c>
      <x:c r="R128" s="32"/>
      <x:c r="S128" s="32" t="str">
        <x:v>ok</x:v>
      </x:c>
      <x:c r="T128" s="32" t="str">
        <x:v>ok</x:v>
      </x:c>
      <x:c r="U128" s="32" t="str">
        <x:v>ok</x:v>
      </x:c>
      <x:c r="V128" s="32" t="str">
        <x:v>ok</x:v>
      </x:c>
      <x:c r="W128" s="154" t="str">
        <x:v>{"schema_version":1,"imei":"862323089930705","timestamp":1786016453,"report_sequence":6,"task_version":"rice_tension_soil_demo","sensor_mode":"tension_soil","soil_moisture_percent":37.9,"soil_temperature_c":24.8,"soil_ec_us_cm":821,"soil_ph":6.28,"battery_mv":4010,"csq":22,"soil_rs485_status":"ok","cycle_status":"ok","soil_tension_kpa":-32.9,"soil_tension_rs485_status":"ok"}</x:v>
      </x:c>
    </x:row>
    <x:row r="129">
      <x:c r="A129" s="72" t="n">
        <x:v>46240.82005787037</x:v>
      </x:c>
      <x:c r="B129" s="72" t="n">
        <x:v>46240.82007175926</x:v>
      </x:c>
      <x:c r="C129" s="32" t="str">
        <x:v>P06</x:v>
      </x:c>
      <x:c r="D129" s="32" t="str">
        <x:v>B1-W2-V2</x:v>
      </x:c>
      <x:c r="E129" s="32" t="str">
        <x:v>B1</x:v>
      </x:c>
      <x:c r="F129" s="32" t="str">
        <x:v>W2</x:v>
      </x:c>
      <x:c r="G129" s="32" t="str">
        <x:v>V2</x:v>
      </x:c>
      <x:c r="H129" s="32" t="str">
        <x:v>tension_soil</x:v>
      </x:c>
      <x:c r="I129" s="32" t="str">
        <x:v>862323089930706</x:v>
      </x:c>
      <x:c r="J129" s="82"/>
      <x:c r="K129" s="82" t="n">
        <x:v>-34.4</x:v>
      </x:c>
      <x:c r="L129" s="82" t="n">
        <x:v>39.4</x:v>
      </x:c>
      <x:c r="M129" s="82" t="n">
        <x:v>24.9</x:v>
      </x:c>
      <x:c r="N129" s="86" t="n">
        <x:v>841</x:v>
      </x:c>
      <x:c r="O129" s="90" t="n">
        <x:v>6.34</x:v>
      </x:c>
      <x:c r="P129" s="150" t="n">
        <x:v>3.92</x:v>
      </x:c>
      <x:c r="Q129" s="86" t="n">
        <x:v>23</x:v>
      </x:c>
      <x:c r="R129" s="32"/>
      <x:c r="S129" s="32" t="str">
        <x:v>ok</x:v>
      </x:c>
      <x:c r="T129" s="32" t="str">
        <x:v>ok</x:v>
      </x:c>
      <x:c r="U129" s="32" t="str">
        <x:v>ok</x:v>
      </x:c>
      <x:c r="V129" s="32" t="str">
        <x:v>ok</x:v>
      </x:c>
      <x:c r="W129" s="154" t="str">
        <x:v>{"schema_version":1,"imei":"862323089930706","timestamp":1786016453,"report_sequence":6,"task_version":"rice_tension_soil_demo","sensor_mode":"tension_soil","soil_moisture_percent":39.4,"soil_temperature_c":24.9,"soil_ec_us_cm":841,"soil_ph":6.34,"battery_mv":3920,"csq":23,"soil_rs485_status":"ok","cycle_status":"ok","soil_tension_kpa":-34.4,"soil_tension_rs485_status":"ok"}</x:v>
      </x:c>
    </x:row>
    <x:row r="130">
      <x:c r="A130" s="72" t="n">
        <x:v>46240.82005787037</x:v>
      </x:c>
      <x:c r="B130" s="72" t="n">
        <x:v>46240.82007175926</x:v>
      </x:c>
      <x:c r="C130" s="32" t="str">
        <x:v>P07</x:v>
      </x:c>
      <x:c r="D130" s="32" t="str">
        <x:v>B2-W0-V1</x:v>
      </x:c>
      <x:c r="E130" s="32" t="str">
        <x:v>B2</x:v>
      </x:c>
      <x:c r="F130" s="32" t="str">
        <x:v>W0</x:v>
      </x:c>
      <x:c r="G130" s="32" t="str">
        <x:v>V1</x:v>
      </x:c>
      <x:c r="H130" s="32" t="str">
        <x:v>water_soil</x:v>
      </x:c>
      <x:c r="I130" s="32" t="str">
        <x:v>862323089930707</x:v>
      </x:c>
      <x:c r="J130" s="82" t="n">
        <x:v>36.7</x:v>
      </x:c>
      <x:c r="K130" s="82"/>
      <x:c r="L130" s="82" t="n">
        <x:v>40.9</x:v>
      </x:c>
      <x:c r="M130" s="82" t="n">
        <x:v>25.1</x:v>
      </x:c>
      <x:c r="N130" s="86" t="n">
        <x:v>862</x:v>
      </x:c>
      <x:c r="O130" s="90" t="n">
        <x:v>6.4</x:v>
      </x:c>
      <x:c r="P130" s="150" t="n">
        <x:v>3.938</x:v>
      </x:c>
      <x:c r="Q130" s="86" t="n">
        <x:v>24</x:v>
      </x:c>
      <x:c r="R130" s="32" t="str">
        <x:v>ok</x:v>
      </x:c>
      <x:c r="S130" s="32"/>
      <x:c r="T130" s="32" t="str">
        <x:v>ok</x:v>
      </x:c>
      <x:c r="U130" s="32" t="str">
        <x:v>ok</x:v>
      </x:c>
      <x:c r="V130" s="32" t="str">
        <x:v>ok</x:v>
      </x:c>
      <x:c r="W130" s="154" t="str">
        <x:v>{"schema_version":1,"imei":"862323089930707","timestamp":1786016453,"report_sequence":6,"task_version":"rice_w0_water_soil_demo","sensor_mode":"water_soil","soil_moisture_percent":40.9,"soil_temperature_c":25.1,"soil_ec_us_cm":862,"soil_ph":6.4,"battery_mv":3938,"csq":24,"soil_rs485_status":"ok","cycle_status":"ok","water_level_mm":36.7,"water_4_20ma_status":"ok"}</x:v>
      </x:c>
    </x:row>
    <x:row r="131">
      <x:c r="A131" s="72" t="n">
        <x:v>46240.82005787037</x:v>
      </x:c>
      <x:c r="B131" s="72" t="n">
        <x:v>46240.82007175926</x:v>
      </x:c>
      <x:c r="C131" s="32" t="str">
        <x:v>P08</x:v>
      </x:c>
      <x:c r="D131" s="32" t="str">
        <x:v>B2-W0-V2</x:v>
      </x:c>
      <x:c r="E131" s="32" t="str">
        <x:v>B2</x:v>
      </x:c>
      <x:c r="F131" s="32" t="str">
        <x:v>W0</x:v>
      </x:c>
      <x:c r="G131" s="32" t="str">
        <x:v>V2</x:v>
      </x:c>
      <x:c r="H131" s="32" t="str">
        <x:v>water_soil</x:v>
      </x:c>
      <x:c r="I131" s="32" t="str">
        <x:v>862323089930708</x:v>
      </x:c>
      <x:c r="J131" s="82" t="n">
        <x:v>28.9</x:v>
      </x:c>
      <x:c r="K131" s="82"/>
      <x:c r="L131" s="82" t="n">
        <x:v>34.4</x:v>
      </x:c>
      <x:c r="M131" s="82" t="n">
        <x:v>25.2</x:v>
      </x:c>
      <x:c r="N131" s="86" t="n">
        <x:v>882</x:v>
      </x:c>
      <x:c r="O131" s="90" t="n">
        <x:v>6.46</x:v>
      </x:c>
      <x:c r="P131" s="150" t="n">
        <x:v>3.956</x:v>
      </x:c>
      <x:c r="Q131" s="86" t="n">
        <x:v>17</x:v>
      </x:c>
      <x:c r="R131" s="32" t="str">
        <x:v>ok</x:v>
      </x:c>
      <x:c r="S131" s="32"/>
      <x:c r="T131" s="32" t="str">
        <x:v>ok</x:v>
      </x:c>
      <x:c r="U131" s="32" t="str">
        <x:v>ok</x:v>
      </x:c>
      <x:c r="V131" s="32" t="str">
        <x:v>ok</x:v>
      </x:c>
      <x:c r="W131" s="154" t="str">
        <x:v>{"schema_version":1,"imei":"862323089930708","timestamp":1786016453,"report_sequence":6,"task_version":"rice_w0_water_soil_demo","sensor_mode":"water_soil","soil_moisture_percent":34.4,"soil_temperature_c":25.2,"soil_ec_us_cm":882,"soil_ph":6.46,"battery_mv":3956,"csq":17,"soil_rs485_status":"ok","cycle_status":"ok","water_level_mm":28.9,"water_4_20ma_status":"ok"}</x:v>
      </x:c>
    </x:row>
    <x:row r="132">
      <x:c r="A132" s="72" t="n">
        <x:v>46240.82005787037</x:v>
      </x:c>
      <x:c r="B132" s="72" t="n">
        <x:v>46240.82007175926</x:v>
      </x:c>
      <x:c r="C132" s="32" t="str">
        <x:v>P09</x:v>
      </x:c>
      <x:c r="D132" s="32" t="str">
        <x:v>B2-W1-V1</x:v>
      </x:c>
      <x:c r="E132" s="32" t="str">
        <x:v>B2</x:v>
      </x:c>
      <x:c r="F132" s="32" t="str">
        <x:v>W1</x:v>
      </x:c>
      <x:c r="G132" s="32" t="str">
        <x:v>V1</x:v>
      </x:c>
      <x:c r="H132" s="32" t="str">
        <x:v>tension_soil</x:v>
      </x:c>
      <x:c r="I132" s="32" t="str">
        <x:v>862323089930709</x:v>
      </x:c>
      <x:c r="J132" s="82"/>
      <x:c r="K132" s="82" t="n">
        <x:v>-27.8</x:v>
      </x:c>
      <x:c r="L132" s="82" t="n">
        <x:v>35.8</x:v>
      </x:c>
      <x:c r="M132" s="82" t="n">
        <x:v>25.3</x:v>
      </x:c>
      <x:c r="N132" s="86" t="n">
        <x:v>903</x:v>
      </x:c>
      <x:c r="O132" s="90" t="n">
        <x:v>6.51</x:v>
      </x:c>
      <x:c r="P132" s="150" t="n">
        <x:v>3.974</x:v>
      </x:c>
      <x:c r="Q132" s="86" t="n">
        <x:v>18</x:v>
      </x:c>
      <x:c r="R132" s="32"/>
      <x:c r="S132" s="32" t="str">
        <x:v>ok</x:v>
      </x:c>
      <x:c r="T132" s="32" t="str">
        <x:v>ok</x:v>
      </x:c>
      <x:c r="U132" s="32" t="str">
        <x:v>ok</x:v>
      </x:c>
      <x:c r="V132" s="32" t="str">
        <x:v>ok</x:v>
      </x:c>
      <x:c r="W132" s="154" t="str">
        <x:v>{"schema_version":1,"imei":"862323089930709","timestamp":1786016453,"report_sequence":6,"task_version":"rice_tension_soil_demo","sensor_mode":"tension_soil","soil_moisture_percent":35.8,"soil_temperature_c":25.3,"soil_ec_us_cm":903,"soil_ph":6.51,"battery_mv":3974,"csq":18,"soil_rs485_status":"ok","cycle_status":"ok","soil_tension_kpa":-27.8,"soil_tension_rs485_status":"ok"}</x:v>
      </x:c>
    </x:row>
    <x:row r="133">
      <x:c r="A133" s="72" t="n">
        <x:v>46240.82005787037</x:v>
      </x:c>
      <x:c r="B133" s="72" t="n">
        <x:v>46240.82007175926</x:v>
      </x:c>
      <x:c r="C133" s="32" t="str">
        <x:v>P10</x:v>
      </x:c>
      <x:c r="D133" s="32" t="str">
        <x:v>B2-W1-V2</x:v>
      </x:c>
      <x:c r="E133" s="32" t="str">
        <x:v>B2</x:v>
      </x:c>
      <x:c r="F133" s="32" t="str">
        <x:v>W1</x:v>
      </x:c>
      <x:c r="G133" s="32" t="str">
        <x:v>V2</x:v>
      </x:c>
      <x:c r="H133" s="32" t="str">
        <x:v>tension_soil</x:v>
      </x:c>
      <x:c r="I133" s="32" t="str">
        <x:v>862323089930710</x:v>
      </x:c>
      <x:c r="J133" s="82"/>
      <x:c r="K133" s="82" t="n">
        <x:v>-24.3</x:v>
      </x:c>
      <x:c r="L133" s="82" t="n">
        <x:v>37.3</x:v>
      </x:c>
      <x:c r="M133" s="82" t="n">
        <x:v>25.4</x:v>
      </x:c>
      <x:c r="N133" s="86" t="n">
        <x:v>922</x:v>
      </x:c>
      <x:c r="O133" s="90" t="n">
        <x:v>6.32</x:v>
      </x:c>
      <x:c r="P133" s="150" t="n">
        <x:v>3.992</x:v>
      </x:c>
      <x:c r="Q133" s="86" t="n">
        <x:v>19</x:v>
      </x:c>
      <x:c r="R133" s="32"/>
      <x:c r="S133" s="32" t="str">
        <x:v>ok</x:v>
      </x:c>
      <x:c r="T133" s="32" t="str">
        <x:v>ok</x:v>
      </x:c>
      <x:c r="U133" s="32" t="str">
        <x:v>ok</x:v>
      </x:c>
      <x:c r="V133" s="32" t="str">
        <x:v>ok</x:v>
      </x:c>
      <x:c r="W133" s="154" t="str">
        <x:v>{"schema_version":1,"imei":"862323089930710","timestamp":1786016453,"report_sequence":6,"task_version":"rice_tension_soil_demo","sensor_mode":"tension_soil","soil_moisture_percent":37.3,"soil_temperature_c":25.4,"soil_ec_us_cm":922,"soil_ph":6.32,"battery_mv":3992,"csq":19,"soil_rs485_status":"ok","cycle_status":"ok","soil_tension_kpa":-24.3,"soil_tension_rs485_status":"ok"}</x:v>
      </x:c>
    </x:row>
    <x:row r="134">
      <x:c r="A134" s="72" t="n">
        <x:v>46240.82005787037</x:v>
      </x:c>
      <x:c r="B134" s="72" t="n">
        <x:v>46240.82007175926</x:v>
      </x:c>
      <x:c r="C134" s="32" t="str">
        <x:v>P11</x:v>
      </x:c>
      <x:c r="D134" s="32" t="str">
        <x:v>B2-W2-V1</x:v>
      </x:c>
      <x:c r="E134" s="32" t="str">
        <x:v>B2</x:v>
      </x:c>
      <x:c r="F134" s="32" t="str">
        <x:v>W2</x:v>
      </x:c>
      <x:c r="G134" s="32" t="str">
        <x:v>V1</x:v>
      </x:c>
      <x:c r="H134" s="32" t="str">
        <x:v>tension_soil</x:v>
      </x:c>
      <x:c r="I134" s="32" t="str">
        <x:v>862323089930711</x:v>
      </x:c>
      <x:c r="J134" s="82"/>
      <x:c r="K134" s="82" t="n">
        <x:v>-36.6</x:v>
      </x:c>
      <x:c r="L134" s="82" t="n">
        <x:v>38.6</x:v>
      </x:c>
      <x:c r="M134" s="82" t="n">
        <x:v>25.5</x:v>
      </x:c>
      <x:c r="N134" s="86" t="n">
        <x:v>940</x:v>
      </x:c>
      <x:c r="O134" s="90" t="n">
        <x:v>6.37</x:v>
      </x:c>
      <x:c r="P134" s="150" t="n">
        <x:v>4.01</x:v>
      </x:c>
      <x:c r="Q134" s="86" t="n">
        <x:v>20</x:v>
      </x:c>
      <x:c r="R134" s="32"/>
      <x:c r="S134" s="32" t="str">
        <x:v>ok</x:v>
      </x:c>
      <x:c r="T134" s="32" t="str">
        <x:v>ok</x:v>
      </x:c>
      <x:c r="U134" s="32" t="str">
        <x:v>ok</x:v>
      </x:c>
      <x:c r="V134" s="32" t="str">
        <x:v>ok</x:v>
      </x:c>
      <x:c r="W134" s="154" t="str">
        <x:v>{"schema_version":1,"imei":"862323089930711","timestamp":1786016453,"report_sequence":6,"task_version":"rice_tension_soil_demo","sensor_mode":"tension_soil","soil_moisture_percent":38.6,"soil_temperature_c":25.5,"soil_ec_us_cm":940,"soil_ph":6.37,"battery_mv":4010,"csq":20,"soil_rs485_status":"ok","cycle_status":"ok","soil_tension_kpa":-36.6,"soil_tension_rs485_status":"ok"}</x:v>
      </x:c>
    </x:row>
    <x:row r="135">
      <x:c r="A135" s="72" t="n">
        <x:v>46240.82005787037</x:v>
      </x:c>
      <x:c r="B135" s="72" t="n">
        <x:v>46240.82007175926</x:v>
      </x:c>
      <x:c r="C135" s="32" t="str">
        <x:v>P12</x:v>
      </x:c>
      <x:c r="D135" s="32" t="str">
        <x:v>B2-W2-V2</x:v>
      </x:c>
      <x:c r="E135" s="32" t="str">
        <x:v>B2</x:v>
      </x:c>
      <x:c r="F135" s="32" t="str">
        <x:v>W2</x:v>
      </x:c>
      <x:c r="G135" s="32" t="str">
        <x:v>V2</x:v>
      </x:c>
      <x:c r="H135" s="32" t="str">
        <x:v>tension_soil</x:v>
      </x:c>
      <x:c r="I135" s="32" t="str">
        <x:v>862323089930712</x:v>
      </x:c>
      <x:c r="J135" s="82"/>
      <x:c r="K135" s="82" t="n">
        <x:v>-37.9</x:v>
      </x:c>
      <x:c r="L135" s="82" t="n">
        <x:v>39.9</x:v>
      </x:c>
      <x:c r="M135" s="82" t="n">
        <x:v>25.6</x:v>
      </x:c>
      <x:c r="N135" s="86" t="n">
        <x:v>956</x:v>
      </x:c>
      <x:c r="O135" s="90" t="n">
        <x:v>6.43</x:v>
      </x:c>
      <x:c r="P135" s="150" t="n">
        <x:v>3.92</x:v>
      </x:c>
      <x:c r="Q135" s="86" t="n">
        <x:v>21</x:v>
      </x:c>
      <x:c r="R135" s="32"/>
      <x:c r="S135" s="32" t="str">
        <x:v>ok</x:v>
      </x:c>
      <x:c r="T135" s="32" t="str">
        <x:v>ok</x:v>
      </x:c>
      <x:c r="U135" s="32" t="str">
        <x:v>ok</x:v>
      </x:c>
      <x:c r="V135" s="32" t="str">
        <x:v>ok</x:v>
      </x:c>
      <x:c r="W135" s="154" t="str">
        <x:v>{"schema_version":1,"imei":"862323089930712","timestamp":1786016453,"report_sequence":6,"task_version":"rice_tension_soil_demo","sensor_mode":"tension_soil","soil_moisture_percent":39.9,"soil_temperature_c":25.6,"soil_ec_us_cm":956,"soil_ph":6.43,"battery_mv":3920,"csq":21,"soil_rs485_status":"ok","cycle_status":"ok","soil_tension_kpa":-37.9,"soil_tension_rs485_status":"ok"}</x:v>
      </x:c>
    </x:row>
    <x:row r="136">
      <x:c r="A136" s="72" t="n">
        <x:v>46240.82005787037</x:v>
      </x:c>
      <x:c r="B136" s="72" t="n">
        <x:v>46240.82007175926</x:v>
      </x:c>
      <x:c r="C136" s="32" t="str">
        <x:v>P13</x:v>
      </x:c>
      <x:c r="D136" s="32" t="str">
        <x:v>B3-W0-V1</x:v>
      </x:c>
      <x:c r="E136" s="32" t="str">
        <x:v>B3</x:v>
      </x:c>
      <x:c r="F136" s="32" t="str">
        <x:v>W0</x:v>
      </x:c>
      <x:c r="G136" s="32" t="str">
        <x:v>V1</x:v>
      </x:c>
      <x:c r="H136" s="32" t="str">
        <x:v>water_soil</x:v>
      </x:c>
      <x:c r="I136" s="32" t="str">
        <x:v>862323089930713</x:v>
      </x:c>
      <x:c r="J136" s="82" t="n">
        <x:v>36</x:v>
      </x:c>
      <x:c r="K136" s="82"/>
      <x:c r="L136" s="82" t="n">
        <x:v>41</x:v>
      </x:c>
      <x:c r="M136" s="82" t="n">
        <x:v>25.6</x:v>
      </x:c>
      <x:c r="N136" s="86" t="n">
        <x:v>971</x:v>
      </x:c>
      <x:c r="O136" s="90" t="n">
        <x:v>6.48</x:v>
      </x:c>
      <x:c r="P136" s="150" t="n">
        <x:v>3.938</x:v>
      </x:c>
      <x:c r="Q136" s="86" t="n">
        <x:v>22</x:v>
      </x:c>
      <x:c r="R136" s="32" t="str">
        <x:v>ok</x:v>
      </x:c>
      <x:c r="S136" s="32"/>
      <x:c r="T136" s="32" t="str">
        <x:v>ok</x:v>
      </x:c>
      <x:c r="U136" s="32" t="str">
        <x:v>ok</x:v>
      </x:c>
      <x:c r="V136" s="32" t="str">
        <x:v>ok</x:v>
      </x:c>
      <x:c r="W136" s="154" t="str">
        <x:v>{"schema_version":1,"imei":"862323089930713","timestamp":1786016453,"report_sequence":6,"task_version":"rice_w0_water_soil_demo","sensor_mode":"water_soil","soil_moisture_percent":41,"soil_temperature_c":25.6,"soil_ec_us_cm":971,"soil_ph":6.48,"battery_mv":3938,"csq":22,"soil_rs485_status":"ok","cycle_status":"ok","water_level_mm":36,"water_4_20ma_status":"ok"}</x:v>
      </x:c>
    </x:row>
    <x:row r="137">
      <x:c r="A137" s="72" t="n">
        <x:v>46240.82005787037</x:v>
      </x:c>
      <x:c r="B137" s="72" t="n">
        <x:v>46240.82007175926</x:v>
      </x:c>
      <x:c r="C137" s="32" t="str">
        <x:v>P14</x:v>
      </x:c>
      <x:c r="D137" s="32" t="str">
        <x:v>B3-W0-V2</x:v>
      </x:c>
      <x:c r="E137" s="32" t="str">
        <x:v>B3</x:v>
      </x:c>
      <x:c r="F137" s="32" t="str">
        <x:v>W0</x:v>
      </x:c>
      <x:c r="G137" s="32" t="str">
        <x:v>V2</x:v>
      </x:c>
      <x:c r="H137" s="32" t="str">
        <x:v>water_soil</x:v>
      </x:c>
      <x:c r="I137" s="32" t="str">
        <x:v>862323089930714</x:v>
      </x:c>
      <x:c r="J137" s="82" t="n">
        <x:v>39</x:v>
      </x:c>
      <x:c r="K137" s="82"/>
      <x:c r="L137" s="82" t="n">
        <x:v>42</x:v>
      </x:c>
      <x:c r="M137" s="82" t="n">
        <x:v>25.6</x:v>
      </x:c>
      <x:c r="N137" s="86" t="n">
        <x:v>983</x:v>
      </x:c>
      <x:c r="O137" s="90" t="n">
        <x:v>6.53</x:v>
      </x:c>
      <x:c r="P137" s="150" t="n">
        <x:v>3.956</x:v>
      </x:c>
      <x:c r="Q137" s="86" t="n">
        <x:v>23</x:v>
      </x:c>
      <x:c r="R137" s="32" t="str">
        <x:v>ok</x:v>
      </x:c>
      <x:c r="S137" s="32"/>
      <x:c r="T137" s="32" t="str">
        <x:v>ok</x:v>
      </x:c>
      <x:c r="U137" s="32" t="str">
        <x:v>ok</x:v>
      </x:c>
      <x:c r="V137" s="32" t="str">
        <x:v>ok</x:v>
      </x:c>
      <x:c r="W137" s="154" t="str">
        <x:v>{"schema_version":1,"imei":"862323089930714","timestamp":1786016453,"report_sequence":6,"task_version":"rice_w0_water_soil_demo","sensor_mode":"water_soil","soil_moisture_percent":42,"soil_temperature_c":25.6,"soil_ec_us_cm":983,"soil_ph":6.53,"battery_mv":3956,"csq":23,"soil_rs485_status":"ok","cycle_status":"ok","water_level_mm":39,"water_4_20ma_status":"ok"}</x:v>
      </x:c>
    </x:row>
    <x:row r="138">
      <x:c r="A138" s="72" t="n">
        <x:v>46240.82005787037</x:v>
      </x:c>
      <x:c r="B138" s="72" t="n">
        <x:v>46240.82007175926</x:v>
      </x:c>
      <x:c r="C138" s="32" t="str">
        <x:v>P15</x:v>
      </x:c>
      <x:c r="D138" s="32" t="str">
        <x:v>B3-W1-V1</x:v>
      </x:c>
      <x:c r="E138" s="32" t="str">
        <x:v>B3</x:v>
      </x:c>
      <x:c r="F138" s="32" t="str">
        <x:v>W1</x:v>
      </x:c>
      <x:c r="G138" s="32" t="str">
        <x:v>V1</x:v>
      </x:c>
      <x:c r="H138" s="32" t="str">
        <x:v>tension_soil</x:v>
      </x:c>
      <x:c r="I138" s="32" t="str">
        <x:v>862323089930715</x:v>
      </x:c>
      <x:c r="J138" s="82"/>
      <x:c r="K138" s="82" t="n">
        <x:v>-24.9</x:v>
      </x:c>
      <x:c r="L138" s="82" t="n">
        <x:v>42.9</x:v>
      </x:c>
      <x:c r="M138" s="82" t="n">
        <x:v>25.6</x:v>
      </x:c>
      <x:c r="N138" s="86" t="n">
        <x:v>993</x:v>
      </x:c>
      <x:c r="O138" s="90" t="n">
        <x:v>6.33</x:v>
      </x:c>
      <x:c r="P138" s="150" t="n">
        <x:v>3.974</x:v>
      </x:c>
      <x:c r="Q138" s="86" t="n">
        <x:v>24</x:v>
      </x:c>
      <x:c r="R138" s="32"/>
      <x:c r="S138" s="32" t="str">
        <x:v>ok</x:v>
      </x:c>
      <x:c r="T138" s="32" t="str">
        <x:v>ok</x:v>
      </x:c>
      <x:c r="U138" s="32" t="str">
        <x:v>ok</x:v>
      </x:c>
      <x:c r="V138" s="32" t="str">
        <x:v>ok</x:v>
      </x:c>
      <x:c r="W138" s="154" t="str">
        <x:v>{"schema_version":1,"imei":"862323089930715","timestamp":1786016453,"report_sequence":6,"task_version":"rice_tension_soil_demo","sensor_mode":"tension_soil","soil_moisture_percent":42.9,"soil_temperature_c":25.6,"soil_ec_us_cm":993,"soil_ph":6.33,"battery_mv":3974,"csq":24,"soil_rs485_status":"ok","cycle_status":"ok","soil_tension_kpa":-24.9,"soil_tension_rs485_status":"ok"}</x:v>
      </x:c>
    </x:row>
    <x:row r="139">
      <x:c r="A139" s="72" t="n">
        <x:v>46240.82005787037</x:v>
      </x:c>
      <x:c r="B139" s="72" t="n">
        <x:v>46240.82007175926</x:v>
      </x:c>
      <x:c r="C139" s="32" t="str">
        <x:v>P16</x:v>
      </x:c>
      <x:c r="D139" s="32" t="str">
        <x:v>B3-W1-V2</x:v>
      </x:c>
      <x:c r="E139" s="32" t="str">
        <x:v>B3</x:v>
      </x:c>
      <x:c r="F139" s="32" t="str">
        <x:v>W1</x:v>
      </x:c>
      <x:c r="G139" s="32" t="str">
        <x:v>V2</x:v>
      </x:c>
      <x:c r="H139" s="32" t="str">
        <x:v>tension_soil</x:v>
      </x:c>
      <x:c r="I139" s="32" t="str">
        <x:v>862323089930716</x:v>
      </x:c>
      <x:c r="J139" s="82"/>
      <x:c r="K139" s="82" t="n">
        <x:v>-25.6</x:v>
      </x:c>
      <x:c r="L139" s="82" t="n">
        <x:v>35.6</x:v>
      </x:c>
      <x:c r="M139" s="82" t="n">
        <x:v>25.5</x:v>
      </x:c>
      <x:c r="N139" s="86" t="n">
        <x:v>1001</x:v>
      </x:c>
      <x:c r="O139" s="90" t="n">
        <x:v>6.37</x:v>
      </x:c>
      <x:c r="P139" s="150" t="n">
        <x:v>3.992</x:v>
      </x:c>
      <x:c r="Q139" s="86" t="n">
        <x:v>17</x:v>
      </x:c>
      <x:c r="R139" s="32"/>
      <x:c r="S139" s="32" t="str">
        <x:v>ok</x:v>
      </x:c>
      <x:c r="T139" s="32" t="str">
        <x:v>ok</x:v>
      </x:c>
      <x:c r="U139" s="32" t="str">
        <x:v>ok</x:v>
      </x:c>
      <x:c r="V139" s="32" t="str">
        <x:v>ok</x:v>
      </x:c>
      <x:c r="W139" s="154" t="str">
        <x:v>{"schema_version":1,"imei":"862323089930716","timestamp":1786016453,"report_sequence":6,"task_version":"rice_tension_soil_demo","sensor_mode":"tension_soil","soil_moisture_percent":35.6,"soil_temperature_c":25.5,"soil_ec_us_cm":1001,"soil_ph":6.37,"battery_mv":3992,"csq":17,"soil_rs485_status":"ok","cycle_status":"ok","soil_tension_kpa":-25.6,"soil_tension_rs485_status":"ok"}</x:v>
      </x:c>
    </x:row>
    <x:row r="140">
      <x:c r="A140" s="72" t="n">
        <x:v>46240.82005787037</x:v>
      </x:c>
      <x:c r="B140" s="72" t="n">
        <x:v>46240.82007175926</x:v>
      </x:c>
      <x:c r="C140" s="32" t="str">
        <x:v>P17</x:v>
      </x:c>
      <x:c r="D140" s="32" t="str">
        <x:v>B3-W2-V1</x:v>
      </x:c>
      <x:c r="E140" s="32" t="str">
        <x:v>B3</x:v>
      </x:c>
      <x:c r="F140" s="32" t="str">
        <x:v>W2</x:v>
      </x:c>
      <x:c r="G140" s="32" t="str">
        <x:v>V1</x:v>
      </x:c>
      <x:c r="H140" s="32" t="str">
        <x:v>tension_soil</x:v>
      </x:c>
      <x:c r="I140" s="32" t="str">
        <x:v>862323089930717</x:v>
      </x:c>
      <x:c r="J140" s="82"/>
      <x:c r="K140" s="82" t="n">
        <x:v>-37.3</x:v>
      </x:c>
      <x:c r="L140" s="82" t="n">
        <x:v>36.3</x:v>
      </x:c>
      <x:c r="M140" s="82" t="n">
        <x:v>25.4</x:v>
      </x:c>
      <x:c r="N140" s="86" t="n">
        <x:v>1007</x:v>
      </x:c>
      <x:c r="O140" s="90" t="n">
        <x:v>6.42</x:v>
      </x:c>
      <x:c r="P140" s="150" t="n">
        <x:v>4.01</x:v>
      </x:c>
      <x:c r="Q140" s="86" t="n">
        <x:v>18</x:v>
      </x:c>
      <x:c r="R140" s="32"/>
      <x:c r="S140" s="32" t="str">
        <x:v>ok</x:v>
      </x:c>
      <x:c r="T140" s="32" t="str">
        <x:v>ok</x:v>
      </x:c>
      <x:c r="U140" s="32" t="str">
        <x:v>ok</x:v>
      </x:c>
      <x:c r="V140" s="32" t="str">
        <x:v>ok</x:v>
      </x:c>
      <x:c r="W140" s="154" t="str">
        <x:v>{"schema_version":1,"imei":"862323089930717","timestamp":1786016453,"report_sequence":6,"task_version":"rice_tension_soil_demo","sensor_mode":"tension_soil","soil_moisture_percent":36.3,"soil_temperature_c":25.4,"soil_ec_us_cm":1007,"soil_ph":6.42,"battery_mv":4010,"csq":18,"soil_rs485_status":"ok","cycle_status":"ok","soil_tension_kpa":-37.3,"soil_tension_rs485_status":"ok"}</x:v>
      </x:c>
    </x:row>
    <x:row r="141">
      <x:c r="A141" s="72" t="n">
        <x:v>46240.82005787037</x:v>
      </x:c>
      <x:c r="B141" s="72" t="n">
        <x:v>46240.82007175926</x:v>
      </x:c>
      <x:c r="C141" s="32" t="str">
        <x:v>P18</x:v>
      </x:c>
      <x:c r="D141" s="32" t="str">
        <x:v>B3-W2-V2</x:v>
      </x:c>
      <x:c r="E141" s="32" t="str">
        <x:v>B3</x:v>
      </x:c>
      <x:c r="F141" s="32" t="str">
        <x:v>W2</x:v>
      </x:c>
      <x:c r="G141" s="32" t="str">
        <x:v>V2</x:v>
      </x:c>
      <x:c r="H141" s="32" t="str">
        <x:v>tension_soil</x:v>
      </x:c>
      <x:c r="I141" s="32" t="str">
        <x:v>862323089930718</x:v>
      </x:c>
      <x:c r="J141" s="82"/>
      <x:c r="K141" s="82" t="n">
        <x:v>-37.9</x:v>
      </x:c>
      <x:c r="L141" s="82" t="n">
        <x:v>36.9</x:v>
      </x:c>
      <x:c r="M141" s="82" t="n">
        <x:v>25.3</x:v>
      </x:c>
      <x:c r="N141" s="86" t="n">
        <x:v>1011</x:v>
      </x:c>
      <x:c r="O141" s="90" t="n">
        <x:v>6.46</x:v>
      </x:c>
      <x:c r="P141" s="150" t="n">
        <x:v>3.92</x:v>
      </x:c>
      <x:c r="Q141" s="86" t="n">
        <x:v>19</x:v>
      </x:c>
      <x:c r="R141" s="32"/>
      <x:c r="S141" s="32" t="str">
        <x:v>ok</x:v>
      </x:c>
      <x:c r="T141" s="32" t="str">
        <x:v>ok</x:v>
      </x:c>
      <x:c r="U141" s="32" t="str">
        <x:v>ok</x:v>
      </x:c>
      <x:c r="V141" s="32" t="str">
        <x:v>ok</x:v>
      </x:c>
      <x:c r="W141" s="154" t="str">
        <x:v>{"schema_version":1,"imei":"862323089930718","timestamp":1786016453,"report_sequence":6,"task_version":"rice_tension_soil_demo","sensor_mode":"tension_soil","soil_moisture_percent":36.9,"soil_temperature_c":25.3,"soil_ec_us_cm":1011,"soil_ph":6.46,"battery_mv":3920,"csq":19,"soil_rs485_status":"ok","cycle_status":"ok","soil_tension_kpa":-37.9,"soil_tension_rs485_status":"ok"}</x:v>
      </x:c>
    </x:row>
    <x:row r="142">
      <x:c r="A142" s="72" t="n">
        <x:v>46240.82005787037</x:v>
      </x:c>
      <x:c r="B142" s="72" t="n">
        <x:v>46240.82007175926</x:v>
      </x:c>
      <x:c r="C142" s="32" t="str">
        <x:v>P19</x:v>
      </x:c>
      <x:c r="D142" s="32" t="str">
        <x:v>B4-W0-V1</x:v>
      </x:c>
      <x:c r="E142" s="32" t="str">
        <x:v>B4</x:v>
      </x:c>
      <x:c r="F142" s="32" t="str">
        <x:v>W0</x:v>
      </x:c>
      <x:c r="G142" s="32" t="str">
        <x:v>V1</x:v>
      </x:c>
      <x:c r="H142" s="32" t="str">
        <x:v>water_soil</x:v>
      </x:c>
      <x:c r="I142" s="32" t="str">
        <x:v>862323089930719</x:v>
      </x:c>
      <x:c r="J142" s="82" t="n">
        <x:v>38</x:v>
      </x:c>
      <x:c r="K142" s="82"/>
      <x:c r="L142" s="82" t="n">
        <x:v>37.4</x:v>
      </x:c>
      <x:c r="M142" s="82" t="n">
        <x:v>25.2</x:v>
      </x:c>
      <x:c r="N142" s="86" t="n">
        <x:v>1015</x:v>
      </x:c>
      <x:c r="O142" s="90" t="n">
        <x:v>6.51</x:v>
      </x:c>
      <x:c r="P142" s="150" t="n">
        <x:v>3.938</x:v>
      </x:c>
      <x:c r="Q142" s="86" t="n">
        <x:v>20</x:v>
      </x:c>
      <x:c r="R142" s="32" t="str">
        <x:v>ok</x:v>
      </x:c>
      <x:c r="S142" s="32"/>
      <x:c r="T142" s="32" t="str">
        <x:v>ok</x:v>
      </x:c>
      <x:c r="U142" s="32" t="str">
        <x:v>ok</x:v>
      </x:c>
      <x:c r="V142" s="32" t="str">
        <x:v>ok</x:v>
      </x:c>
      <x:c r="W142" s="154" t="str">
        <x:v>{"schema_version":1,"imei":"862323089930719","timestamp":1786016453,"report_sequence":6,"task_version":"rice_w0_water_soil_demo","sensor_mode":"water_soil","soil_moisture_percent":37.4,"soil_temperature_c":25.2,"soil_ec_us_cm":1015,"soil_ph":6.51,"battery_mv":3938,"csq":20,"soil_rs485_status":"ok","cycle_status":"ok","water_level_mm":38,"water_4_20ma_status":"ok"}</x:v>
      </x:c>
    </x:row>
    <x:row r="143">
      <x:c r="A143" s="72" t="n">
        <x:v>46240.82005787037</x:v>
      </x:c>
      <x:c r="B143" s="72" t="n">
        <x:v>46240.82007175926</x:v>
      </x:c>
      <x:c r="C143" s="32" t="str">
        <x:v>P20</x:v>
      </x:c>
      <x:c r="D143" s="32" t="str">
        <x:v>B4-W0-V2</x:v>
      </x:c>
      <x:c r="E143" s="32" t="str">
        <x:v>B4</x:v>
      </x:c>
      <x:c r="F143" s="32" t="str">
        <x:v>W0</x:v>
      </x:c>
      <x:c r="G143" s="32" t="str">
        <x:v>V2</x:v>
      </x:c>
      <x:c r="H143" s="32" t="str">
        <x:v>water_soil</x:v>
      </x:c>
      <x:c r="I143" s="32" t="str">
        <x:v>862323089930720</x:v>
      </x:c>
      <x:c r="J143" s="82" t="n">
        <x:v>27.8</x:v>
      </x:c>
      <x:c r="K143" s="82"/>
      <x:c r="L143" s="82" t="n">
        <x:v>37.9</x:v>
      </x:c>
      <x:c r="M143" s="82" t="n">
        <x:v>25.1</x:v>
      </x:c>
      <x:c r="N143" s="86" t="n">
        <x:v>1019</x:v>
      </x:c>
      <x:c r="O143" s="90" t="n">
        <x:v>6.3</x:v>
      </x:c>
      <x:c r="P143" s="150" t="n">
        <x:v>3.956</x:v>
      </x:c>
      <x:c r="Q143" s="86" t="n">
        <x:v>21</x:v>
      </x:c>
      <x:c r="R143" s="32" t="str">
        <x:v>ok</x:v>
      </x:c>
      <x:c r="S143" s="32"/>
      <x:c r="T143" s="32" t="str">
        <x:v>ok</x:v>
      </x:c>
      <x:c r="U143" s="32" t="str">
        <x:v>ok</x:v>
      </x:c>
      <x:c r="V143" s="32" t="str">
        <x:v>ok</x:v>
      </x:c>
      <x:c r="W143" s="154" t="str">
        <x:v>{"schema_version":1,"imei":"862323089930720","timestamp":1786016453,"report_sequence":6,"task_version":"rice_w0_water_soil_demo","sensor_mode":"water_soil","soil_moisture_percent":37.9,"soil_temperature_c":25.1,"soil_ec_us_cm":1019,"soil_ph":6.3,"battery_mv":3956,"csq":21,"soil_rs485_status":"ok","cycle_status":"ok","water_level_mm":27.8,"water_4_20ma_status":"ok"}</x:v>
      </x:c>
    </x:row>
    <x:row r="144">
      <x:c r="A144" s="72" t="n">
        <x:v>46240.82005787037</x:v>
      </x:c>
      <x:c r="B144" s="72" t="n">
        <x:v>46240.82007175926</x:v>
      </x:c>
      <x:c r="C144" s="32" t="str">
        <x:v>P21</x:v>
      </x:c>
      <x:c r="D144" s="32" t="str">
        <x:v>B4-W1-V1</x:v>
      </x:c>
      <x:c r="E144" s="32" t="str">
        <x:v>B4</x:v>
      </x:c>
      <x:c r="F144" s="32" t="str">
        <x:v>W1</x:v>
      </x:c>
      <x:c r="G144" s="32" t="str">
        <x:v>V1</x:v>
      </x:c>
      <x:c r="H144" s="32" t="str">
        <x:v>tension_soil</x:v>
      </x:c>
      <x:c r="I144" s="32" t="str">
        <x:v>862323089930721</x:v>
      </x:c>
      <x:c r="J144" s="82"/>
      <x:c r="K144" s="82" t="n">
        <x:v>-23.4</x:v>
      </x:c>
      <x:c r="L144" s="82" t="n">
        <x:v>38.4</x:v>
      </x:c>
      <x:c r="M144" s="82" t="n">
        <x:v>25</x:v>
      </x:c>
      <x:c r="N144" s="86" t="n">
        <x:v>1022</x:v>
      </x:c>
      <x:c r="O144" s="90" t="n">
        <x:v>6.34</x:v>
      </x:c>
      <x:c r="P144" s="150" t="n">
        <x:v>3.974</x:v>
      </x:c>
      <x:c r="Q144" s="86" t="n">
        <x:v>22</x:v>
      </x:c>
      <x:c r="R144" s="32"/>
      <x:c r="S144" s="32" t="str">
        <x:v>ok</x:v>
      </x:c>
      <x:c r="T144" s="32" t="str">
        <x:v>ok</x:v>
      </x:c>
      <x:c r="U144" s="32" t="str">
        <x:v>ok</x:v>
      </x:c>
      <x:c r="V144" s="32" t="str">
        <x:v>ok</x:v>
      </x:c>
      <x:c r="W144" s="154" t="str">
        <x:v>{"schema_version":1,"imei":"862323089930721","timestamp":1786016453,"report_sequence":6,"task_version":"rice_tension_soil_demo","sensor_mode":"tension_soil","soil_moisture_percent":38.4,"soil_temperature_c":25,"soil_ec_us_cm":1022,"soil_ph":6.34,"battery_mv":3974,"csq":22,"soil_rs485_status":"ok","cycle_status":"ok","soil_tension_kpa":-23.4,"soil_tension_rs485_status":"ok"}</x:v>
      </x:c>
    </x:row>
    <x:row r="145">
      <x:c r="A145" s="72" t="n">
        <x:v>46240.82005787037</x:v>
      </x:c>
      <x:c r="B145" s="72" t="n">
        <x:v>46240.82007175926</x:v>
      </x:c>
      <x:c r="C145" s="32" t="str">
        <x:v>P22</x:v>
      </x:c>
      <x:c r="D145" s="32" t="str">
        <x:v>B4-W1-V2</x:v>
      </x:c>
      <x:c r="E145" s="32" t="str">
        <x:v>B4</x:v>
      </x:c>
      <x:c r="F145" s="32" t="str">
        <x:v>W1</x:v>
      </x:c>
      <x:c r="G145" s="32" t="str">
        <x:v>V2</x:v>
      </x:c>
      <x:c r="H145" s="32" t="str">
        <x:v>tension_soil</x:v>
      </x:c>
      <x:c r="I145" s="32" t="str">
        <x:v>862323089930722</x:v>
      </x:c>
      <x:c r="J145" s="82"/>
      <x:c r="K145" s="82" t="n">
        <x:v>-24</x:v>
      </x:c>
      <x:c r="L145" s="82" t="n">
        <x:v>39</x:v>
      </x:c>
      <x:c r="M145" s="82" t="n">
        <x:v>24.8</x:v>
      </x:c>
      <x:c r="N145" s="86" t="n">
        <x:v>1026</x:v>
      </x:c>
      <x:c r="O145" s="90" t="n">
        <x:v>6.38</x:v>
      </x:c>
      <x:c r="P145" s="150" t="n">
        <x:v>3.992</x:v>
      </x:c>
      <x:c r="Q145" s="86" t="n">
        <x:v>23</x:v>
      </x:c>
      <x:c r="R145" s="32"/>
      <x:c r="S145" s="32" t="str">
        <x:v>ok</x:v>
      </x:c>
      <x:c r="T145" s="32" t="str">
        <x:v>ok</x:v>
      </x:c>
      <x:c r="U145" s="32" t="str">
        <x:v>ok</x:v>
      </x:c>
      <x:c r="V145" s="32" t="str">
        <x:v>ok</x:v>
      </x:c>
      <x:c r="W145" s="154" t="str">
        <x:v>{"schema_version":1,"imei":"862323089930722","timestamp":1786016453,"report_sequence":6,"task_version":"rice_tension_soil_demo","sensor_mode":"tension_soil","soil_moisture_percent":39,"soil_temperature_c":24.8,"soil_ec_us_cm":1026,"soil_ph":6.38,"battery_mv":3992,"csq":23,"soil_rs485_status":"ok","cycle_status":"ok","soil_tension_kpa":-24,"soil_tension_rs485_status":"ok"}</x:v>
      </x:c>
    </x:row>
    <x:row r="146">
      <x:c r="A146" s="72" t="n">
        <x:v>46240.82005787037</x:v>
      </x:c>
      <x:c r="B146" s="72" t="n">
        <x:v>46240.82007175926</x:v>
      </x:c>
      <x:c r="C146" s="32" t="str">
        <x:v>P23</x:v>
      </x:c>
      <x:c r="D146" s="32" t="str">
        <x:v>B4-W2-V1</x:v>
      </x:c>
      <x:c r="E146" s="32" t="str">
        <x:v>B4</x:v>
      </x:c>
      <x:c r="F146" s="32" t="str">
        <x:v>W2</x:v>
      </x:c>
      <x:c r="G146" s="32" t="str">
        <x:v>V1</x:v>
      </x:c>
      <x:c r="H146" s="32" t="str">
        <x:v>tension_soil</x:v>
      </x:c>
      <x:c r="I146" s="32" t="str">
        <x:v>862323089930723</x:v>
      </x:c>
      <x:c r="J146" s="82"/>
      <x:c r="K146" s="82" t="n">
        <x:v>-35.6</x:v>
      </x:c>
      <x:c r="L146" s="82" t="n">
        <x:v>39.6</x:v>
      </x:c>
      <x:c r="M146" s="82" t="n">
        <x:v>24.7</x:v>
      </x:c>
      <x:c r="N146" s="86" t="n">
        <x:v>1031</x:v>
      </x:c>
      <x:c r="O146" s="90" t="n">
        <x:v>6.43</x:v>
      </x:c>
      <x:c r="P146" s="150" t="n">
        <x:v>4.01</x:v>
      </x:c>
      <x:c r="Q146" s="86" t="n">
        <x:v>24</x:v>
      </x:c>
      <x:c r="R146" s="32"/>
      <x:c r="S146" s="32" t="str">
        <x:v>ok</x:v>
      </x:c>
      <x:c r="T146" s="32" t="str">
        <x:v>ok</x:v>
      </x:c>
      <x:c r="U146" s="32" t="str">
        <x:v>ok</x:v>
      </x:c>
      <x:c r="V146" s="32" t="str">
        <x:v>ok</x:v>
      </x:c>
      <x:c r="W146" s="154" t="str">
        <x:v>{"schema_version":1,"imei":"862323089930723","timestamp":1786016453,"report_sequence":6,"task_version":"rice_tension_soil_demo","sensor_mode":"tension_soil","soil_moisture_percent":39.6,"soil_temperature_c":24.7,"soil_ec_us_cm":1031,"soil_ph":6.43,"battery_mv":4010,"csq":24,"soil_rs485_status":"ok","cycle_status":"ok","soil_tension_kpa":-35.6,"soil_tension_rs485_status":"ok"}</x:v>
      </x:c>
    </x:row>
    <x:row r="147">
      <x:c r="A147" s="72" t="n">
        <x:v>46240.82005787037</x:v>
      </x:c>
      <x:c r="B147" s="72" t="n">
        <x:v>46240.82007175926</x:v>
      </x:c>
      <x:c r="C147" s="32" t="str">
        <x:v>P24</x:v>
      </x:c>
      <x:c r="D147" s="32" t="str">
        <x:v>B4-W2-V2</x:v>
      </x:c>
      <x:c r="E147" s="32" t="str">
        <x:v>B4</x:v>
      </x:c>
      <x:c r="F147" s="32" t="str">
        <x:v>W2</x:v>
      </x:c>
      <x:c r="G147" s="32" t="str">
        <x:v>V2</x:v>
      </x:c>
      <x:c r="H147" s="32" t="str">
        <x:v>tension_soil</x:v>
      </x:c>
      <x:c r="I147" s="32" t="str">
        <x:v>862323089930724</x:v>
      </x:c>
      <x:c r="J147" s="82"/>
      <x:c r="K147" s="82" t="n">
        <x:v>-36.3</x:v>
      </x:c>
      <x:c r="L147" s="82" t="n">
        <x:v>32.3</x:v>
      </x:c>
      <x:c r="M147" s="82" t="n">
        <x:v>24.7</x:v>
      </x:c>
      <x:c r="N147" s="86" t="n">
        <x:v>1038</x:v>
      </x:c>
      <x:c r="O147" s="90" t="n">
        <x:v>6.47</x:v>
      </x:c>
      <x:c r="P147" s="150" t="n">
        <x:v>3.92</x:v>
      </x:c>
      <x:c r="Q147" s="86" t="n">
        <x:v>17</x:v>
      </x:c>
      <x:c r="R147" s="32"/>
      <x:c r="S147" s="32" t="str">
        <x:v>ok</x:v>
      </x:c>
      <x:c r="T147" s="32" t="str">
        <x:v>ok</x:v>
      </x:c>
      <x:c r="U147" s="32" t="str">
        <x:v>ok</x:v>
      </x:c>
      <x:c r="V147" s="32" t="str">
        <x:v>ok</x:v>
      </x:c>
      <x:c r="W147" s="154" t="str">
        <x:v>{"schema_version":1,"imei":"862323089930724","timestamp":1786016453,"report_sequence":6,"task_version":"rice_tension_soil_demo","sensor_mode":"tension_soil","soil_moisture_percent":32.3,"soil_temperature_c":24.7,"soil_ec_us_cm":1038,"soil_ph":6.47,"battery_mv":3920,"csq":17,"soil_rs485_status":"ok","cycle_status":"ok","soil_tension_kpa":-36.3,"soil_tension_rs485_status":"ok"}</x:v>
      </x:c>
    </x:row>
    <x:row r="148">
      <x:c r="A148" s="72" t="n">
        <x:v>46240.823530092595</x:v>
      </x:c>
      <x:c r="B148" s="72" t="n">
        <x:v>46240.82354398148</x:v>
      </x:c>
      <x:c r="C148" s="32" t="str">
        <x:v>P01</x:v>
      </x:c>
      <x:c r="D148" s="32" t="str">
        <x:v>B1-W0-V1</x:v>
      </x:c>
      <x:c r="E148" s="32" t="str">
        <x:v>B1</x:v>
      </x:c>
      <x:c r="F148" s="32" t="str">
        <x:v>W0</x:v>
      </x:c>
      <x:c r="G148" s="32" t="str">
        <x:v>V1</x:v>
      </x:c>
      <x:c r="H148" s="32" t="str">
        <x:v>water_soil</x:v>
      </x:c>
      <x:c r="I148" s="32" t="str">
        <x:v>862323089930701</x:v>
      </x:c>
      <x:c r="J148" s="82" t="n">
        <x:v>26.2</x:v>
      </x:c>
      <x:c r="K148" s="82"/>
      <x:c r="L148" s="82" t="n">
        <x:v>33.1</x:v>
      </x:c>
      <x:c r="M148" s="82" t="n">
        <x:v>24.6</x:v>
      </x:c>
      <x:c r="N148" s="86" t="n">
        <x:v>758</x:v>
      </x:c>
      <x:c r="O148" s="90" t="n">
        <x:v>6.32</x:v>
      </x:c>
      <x:c r="P148" s="150" t="n">
        <x:v>3.938</x:v>
      </x:c>
      <x:c r="Q148" s="86" t="n">
        <x:v>18</x:v>
      </x:c>
      <x:c r="R148" s="32" t="str">
        <x:v>ok</x:v>
      </x:c>
      <x:c r="S148" s="32"/>
      <x:c r="T148" s="32" t="str">
        <x:v>ok</x:v>
      </x:c>
      <x:c r="U148" s="32" t="str">
        <x:v>ok</x:v>
      </x:c>
      <x:c r="V148" s="32" t="str">
        <x:v>ok</x:v>
      </x:c>
      <x:c r="W148" s="154" t="str">
        <x:v>{"schema_version":1,"imei":"862323089930701","timestamp":1786016753,"report_sequence":7,"task_version":"rice_w0_water_soil_demo","sensor_mode":"water_soil","soil_moisture_percent":33.1,"soil_temperature_c":24.6,"soil_ec_us_cm":758,"soil_ph":6.32,"battery_mv":3938,"csq":18,"soil_rs485_status":"ok","cycle_status":"ok","water_level_mm":26.2,"water_4_20ma_status":"ok"}</x:v>
      </x:c>
    </x:row>
    <x:row r="149">
      <x:c r="A149" s="72" t="n">
        <x:v>46240.823530092595</x:v>
      </x:c>
      <x:c r="B149" s="72" t="n">
        <x:v>46240.82354398148</x:v>
      </x:c>
      <x:c r="C149" s="32" t="str">
        <x:v>P02</x:v>
      </x:c>
      <x:c r="D149" s="32" t="str">
        <x:v>B1-W0-V2</x:v>
      </x:c>
      <x:c r="E149" s="32" t="str">
        <x:v>B1</x:v>
      </x:c>
      <x:c r="F149" s="32" t="str">
        <x:v>W0</x:v>
      </x:c>
      <x:c r="G149" s="32" t="str">
        <x:v>V2</x:v>
      </x:c>
      <x:c r="H149" s="32" t="str">
        <x:v>water_soil</x:v>
      </x:c>
      <x:c r="I149" s="32" t="str">
        <x:v>862323089930702</x:v>
      </x:c>
      <x:c r="J149" s="82" t="n">
        <x:v>29</x:v>
      </x:c>
      <x:c r="K149" s="82"/>
      <x:c r="L149" s="82" t="n">
        <x:v>34</x:v>
      </x:c>
      <x:c r="M149" s="82" t="n">
        <x:v>24.6</x:v>
      </x:c>
      <x:c r="N149" s="86" t="n">
        <x:v>769</x:v>
      </x:c>
      <x:c r="O149" s="90" t="n">
        <x:v>6.37</x:v>
      </x:c>
      <x:c r="P149" s="150" t="n">
        <x:v>3.956</x:v>
      </x:c>
      <x:c r="Q149" s="86" t="n">
        <x:v>19</x:v>
      </x:c>
      <x:c r="R149" s="32" t="str">
        <x:v>ok</x:v>
      </x:c>
      <x:c r="S149" s="32"/>
      <x:c r="T149" s="32" t="str">
        <x:v>ok</x:v>
      </x:c>
      <x:c r="U149" s="32" t="str">
        <x:v>ok</x:v>
      </x:c>
      <x:c r="V149" s="32" t="str">
        <x:v>ok</x:v>
      </x:c>
      <x:c r="W149" s="154" t="str">
        <x:v>{"schema_version":1,"imei":"862323089930702","timestamp":1786016753,"report_sequence":7,"task_version":"rice_w0_water_soil_demo","sensor_mode":"water_soil","soil_moisture_percent":34,"soil_temperature_c":24.6,"soil_ec_us_cm":769,"soil_ph":6.37,"battery_mv":3956,"csq":19,"soil_rs485_status":"ok","cycle_status":"ok","water_level_mm":29,"water_4_20ma_status":"ok"}</x:v>
      </x:c>
    </x:row>
    <x:row r="150">
      <x:c r="A150" s="72" t="n">
        <x:v>46240.823530092595</x:v>
      </x:c>
      <x:c r="B150" s="72" t="n">
        <x:v>46240.82354398148</x:v>
      </x:c>
      <x:c r="C150" s="32" t="str">
        <x:v>P03</x:v>
      </x:c>
      <x:c r="D150" s="32" t="str">
        <x:v>B1-W1-V1</x:v>
      </x:c>
      <x:c r="E150" s="32" t="str">
        <x:v>B1</x:v>
      </x:c>
      <x:c r="F150" s="32" t="str">
        <x:v>W1</x:v>
      </x:c>
      <x:c r="G150" s="32" t="str">
        <x:v>V1</x:v>
      </x:c>
      <x:c r="H150" s="32" t="str">
        <x:v>tension_soil</x:v>
      </x:c>
      <x:c r="I150" s="32" t="str">
        <x:v>862323089930703</x:v>
      </x:c>
      <x:c r="J150" s="82"/>
      <x:c r="K150" s="82" t="n">
        <x:v>-24.1</x:v>
      </x:c>
      <x:c r="L150" s="82" t="n">
        <x:v>35.1</x:v>
      </x:c>
      <x:c r="M150" s="82" t="n">
        <x:v>24.6</x:v>
      </x:c>
      <x:c r="N150" s="86" t="n">
        <x:v>782</x:v>
      </x:c>
      <x:c r="O150" s="90" t="n">
        <x:v>6.42</x:v>
      </x:c>
      <x:c r="P150" s="150" t="n">
        <x:v>3.974</x:v>
      </x:c>
      <x:c r="Q150" s="86" t="n">
        <x:v>20</x:v>
      </x:c>
      <x:c r="R150" s="32"/>
      <x:c r="S150" s="32" t="str">
        <x:v>ok</x:v>
      </x:c>
      <x:c r="T150" s="32" t="str">
        <x:v>ok</x:v>
      </x:c>
      <x:c r="U150" s="32" t="str">
        <x:v>ok</x:v>
      </x:c>
      <x:c r="V150" s="32" t="str">
        <x:v>ok</x:v>
      </x:c>
      <x:c r="W150" s="154" t="str">
        <x:v>{"schema_version":1,"imei":"862323089930703","timestamp":1786016753,"report_sequence":7,"task_version":"rice_tension_soil_demo","sensor_mode":"tension_soil","soil_moisture_percent":35.1,"soil_temperature_c":24.6,"soil_ec_us_cm":782,"soil_ph":6.42,"battery_mv":3974,"csq":20,"soil_rs485_status":"ok","cycle_status":"ok","soil_tension_kpa":-24.1,"soil_tension_rs485_status":"ok"}</x:v>
      </x:c>
    </x:row>
    <x:row r="151">
      <x:c r="A151" s="72" t="n">
        <x:v>46240.823530092595</x:v>
      </x:c>
      <x:c r="B151" s="72" t="n">
        <x:v>46240.82354398148</x:v>
      </x:c>
      <x:c r="C151" s="32" t="str">
        <x:v>P04</x:v>
      </x:c>
      <x:c r="D151" s="32" t="str">
        <x:v>B1-W1-V2</x:v>
      </x:c>
      <x:c r="E151" s="32" t="str">
        <x:v>B1</x:v>
      </x:c>
      <x:c r="F151" s="32" t="str">
        <x:v>W1</x:v>
      </x:c>
      <x:c r="G151" s="32" t="str">
        <x:v>V2</x:v>
      </x:c>
      <x:c r="H151" s="32" t="str">
        <x:v>tension_soil</x:v>
      </x:c>
      <x:c r="I151" s="32" t="str">
        <x:v>862323089930704</x:v>
      </x:c>
      <x:c r="J151" s="82"/>
      <x:c r="K151" s="82" t="n">
        <x:v>-25.2</x:v>
      </x:c>
      <x:c r="L151" s="82" t="n">
        <x:v>36.2</x:v>
      </x:c>
      <x:c r="M151" s="82" t="n">
        <x:v>24.7</x:v>
      </x:c>
      <x:c r="N151" s="86" t="n">
        <x:v>797</x:v>
      </x:c>
      <x:c r="O151" s="90" t="n">
        <x:v>6.47</x:v>
      </x:c>
      <x:c r="P151" s="150" t="n">
        <x:v>3.992</x:v>
      </x:c>
      <x:c r="Q151" s="86" t="n">
        <x:v>21</x:v>
      </x:c>
      <x:c r="R151" s="32"/>
      <x:c r="S151" s="32" t="str">
        <x:v>ok</x:v>
      </x:c>
      <x:c r="T151" s="32" t="str">
        <x:v>ok</x:v>
      </x:c>
      <x:c r="U151" s="32" t="str">
        <x:v>ok</x:v>
      </x:c>
      <x:c r="V151" s="32" t="str">
        <x:v>ok</x:v>
      </x:c>
      <x:c r="W151" s="154" t="str">
        <x:v>{"schema_version":1,"imei":"862323089930704","timestamp":1786016753,"report_sequence":7,"task_version":"rice_tension_soil_demo","sensor_mode":"tension_soil","soil_moisture_percent":36.2,"soil_temperature_c":24.7,"soil_ec_us_cm":797,"soil_ph":6.47,"battery_mv":3992,"csq":21,"soil_rs485_status":"ok","cycle_status":"ok","soil_tension_kpa":-25.2,"soil_tension_rs485_status":"ok"}</x:v>
      </x:c>
    </x:row>
    <x:row r="152">
      <x:c r="A152" s="72" t="n">
        <x:v>46240.823530092595</x:v>
      </x:c>
      <x:c r="B152" s="72" t="n">
        <x:v>46240.82354398148</x:v>
      </x:c>
      <x:c r="C152" s="32" t="str">
        <x:v>P05</x:v>
      </x:c>
      <x:c r="D152" s="32" t="str">
        <x:v>B1-W2-V1</x:v>
      </x:c>
      <x:c r="E152" s="32" t="str">
        <x:v>B1</x:v>
      </x:c>
      <x:c r="F152" s="32" t="str">
        <x:v>W2</x:v>
      </x:c>
      <x:c r="G152" s="32" t="str">
        <x:v>V1</x:v>
      </x:c>
      <x:c r="H152" s="32" t="str">
        <x:v>tension_soil</x:v>
      </x:c>
      <x:c r="I152" s="32" t="str">
        <x:v>862323089930705</x:v>
      </x:c>
      <x:c r="J152" s="82"/>
      <x:c r="K152" s="82" t="n">
        <x:v>-32.5</x:v>
      </x:c>
      <x:c r="L152" s="82" t="n">
        <x:v>37.5</x:v>
      </x:c>
      <x:c r="M152" s="82" t="n">
        <x:v>24.7</x:v>
      </x:c>
      <x:c r="N152" s="86" t="n">
        <x:v>814</x:v>
      </x:c>
      <x:c r="O152" s="90" t="n">
        <x:v>6.28</x:v>
      </x:c>
      <x:c r="P152" s="150" t="n">
        <x:v>4.01</x:v>
      </x:c>
      <x:c r="Q152" s="86" t="n">
        <x:v>22</x:v>
      </x:c>
      <x:c r="R152" s="32"/>
      <x:c r="S152" s="32" t="str">
        <x:v>ok</x:v>
      </x:c>
      <x:c r="T152" s="32" t="str">
        <x:v>ok</x:v>
      </x:c>
      <x:c r="U152" s="32" t="str">
        <x:v>ok</x:v>
      </x:c>
      <x:c r="V152" s="32" t="str">
        <x:v>ok</x:v>
      </x:c>
      <x:c r="W152" s="154" t="str">
        <x:v>{"schema_version":1,"imei":"862323089930705","timestamp":1786016753,"report_sequence":7,"task_version":"rice_tension_soil_demo","sensor_mode":"tension_soil","soil_moisture_percent":37.5,"soil_temperature_c":24.7,"soil_ec_us_cm":814,"soil_ph":6.28,"battery_mv":4010,"csq":22,"soil_rs485_status":"ok","cycle_status":"ok","soil_tension_kpa":-32.5,"soil_tension_rs485_status":"ok"}</x:v>
      </x:c>
    </x:row>
    <x:row r="153">
      <x:c r="A153" s="72" t="n">
        <x:v>46240.823530092595</x:v>
      </x:c>
      <x:c r="B153" s="72" t="n">
        <x:v>46240.82354398148</x:v>
      </x:c>
      <x:c r="C153" s="32" t="str">
        <x:v>P06</x:v>
      </x:c>
      <x:c r="D153" s="32" t="str">
        <x:v>B1-W2-V2</x:v>
      </x:c>
      <x:c r="E153" s="32" t="str">
        <x:v>B1</x:v>
      </x:c>
      <x:c r="F153" s="32" t="str">
        <x:v>W2</x:v>
      </x:c>
      <x:c r="G153" s="32" t="str">
        <x:v>V2</x:v>
      </x:c>
      <x:c r="H153" s="32" t="str">
        <x:v>tension_soil</x:v>
      </x:c>
      <x:c r="I153" s="32" t="str">
        <x:v>862323089930706</x:v>
      </x:c>
      <x:c r="J153" s="82"/>
      <x:c r="K153" s="82" t="n">
        <x:v>-33.9</x:v>
      </x:c>
      <x:c r="L153" s="82" t="n">
        <x:v>38.9</x:v>
      </x:c>
      <x:c r="M153" s="82" t="n">
        <x:v>24.8</x:v>
      </x:c>
      <x:c r="N153" s="86" t="n">
        <x:v>833</x:v>
      </x:c>
      <x:c r="O153" s="90" t="n">
        <x:v>6.33</x:v>
      </x:c>
      <x:c r="P153" s="150" t="n">
        <x:v>3.92</x:v>
      </x:c>
      <x:c r="Q153" s="86" t="n">
        <x:v>23</x:v>
      </x:c>
      <x:c r="R153" s="32"/>
      <x:c r="S153" s="32" t="str">
        <x:v>ok</x:v>
      </x:c>
      <x:c r="T153" s="32" t="str">
        <x:v>ok</x:v>
      </x:c>
      <x:c r="U153" s="32" t="str">
        <x:v>ok</x:v>
      </x:c>
      <x:c r="V153" s="32" t="str">
        <x:v>ok</x:v>
      </x:c>
      <x:c r="W153" s="154" t="str">
        <x:v>{"schema_version":1,"imei":"862323089930706","timestamp":1786016753,"report_sequence":7,"task_version":"rice_tension_soil_demo","sensor_mode":"tension_soil","soil_moisture_percent":38.9,"soil_temperature_c":24.8,"soil_ec_us_cm":833,"soil_ph":6.33,"battery_mv":3920,"csq":23,"soil_rs485_status":"ok","cycle_status":"ok","soil_tension_kpa":-33.9,"soil_tension_rs485_status":"ok"}</x:v>
      </x:c>
    </x:row>
    <x:row r="154">
      <x:c r="A154" s="72" t="n">
        <x:v>46240.823530092595</x:v>
      </x:c>
      <x:c r="B154" s="72" t="n">
        <x:v>46240.82354398148</x:v>
      </x:c>
      <x:c r="C154" s="32" t="str">
        <x:v>P07</x:v>
      </x:c>
      <x:c r="D154" s="32" t="str">
        <x:v>B2-W0-V1</x:v>
      </x:c>
      <x:c r="E154" s="32" t="str">
        <x:v>B2</x:v>
      </x:c>
      <x:c r="F154" s="32" t="str">
        <x:v>W0</x:v>
      </x:c>
      <x:c r="G154" s="32" t="str">
        <x:v>V1</x:v>
      </x:c>
      <x:c r="H154" s="32" t="str">
        <x:v>water_soil</x:v>
      </x:c>
      <x:c r="I154" s="32" t="str">
        <x:v>862323089930707</x:v>
      </x:c>
      <x:c r="J154" s="82" t="n">
        <x:v>35.4</x:v>
      </x:c>
      <x:c r="K154" s="82"/>
      <x:c r="L154" s="82" t="n">
        <x:v>40.4</x:v>
      </x:c>
      <x:c r="M154" s="82" t="n">
        <x:v>24.9</x:v>
      </x:c>
      <x:c r="N154" s="86" t="n">
        <x:v>853</x:v>
      </x:c>
      <x:c r="O154" s="90" t="n">
        <x:v>6.39</x:v>
      </x:c>
      <x:c r="P154" s="150" t="n">
        <x:v>3.938</x:v>
      </x:c>
      <x:c r="Q154" s="86" t="n">
        <x:v>24</x:v>
      </x:c>
      <x:c r="R154" s="32" t="str">
        <x:v>ok</x:v>
      </x:c>
      <x:c r="S154" s="32"/>
      <x:c r="T154" s="32" t="str">
        <x:v>ok</x:v>
      </x:c>
      <x:c r="U154" s="32" t="str">
        <x:v>ok</x:v>
      </x:c>
      <x:c r="V154" s="32" t="str">
        <x:v>ok</x:v>
      </x:c>
      <x:c r="W154" s="154" t="str">
        <x:v>{"schema_version":1,"imei":"862323089930707","timestamp":1786016753,"report_sequence":7,"task_version":"rice_w0_water_soil_demo","sensor_mode":"water_soil","soil_moisture_percent":40.4,"soil_temperature_c":24.9,"soil_ec_us_cm":853,"soil_ph":6.39,"battery_mv":3938,"csq":24,"soil_rs485_status":"ok","cycle_status":"ok","water_level_mm":35.4,"water_4_20ma_status":"ok"}</x:v>
      </x:c>
    </x:row>
    <x:row r="155">
      <x:c r="A155" s="72" t="n">
        <x:v>46240.823530092595</x:v>
      </x:c>
      <x:c r="B155" s="72" t="n">
        <x:v>46240.82354398148</x:v>
      </x:c>
      <x:c r="C155" s="32" t="str">
        <x:v>P08</x:v>
      </x:c>
      <x:c r="D155" s="32" t="str">
        <x:v>B2-W0-V2</x:v>
      </x:c>
      <x:c r="E155" s="32" t="str">
        <x:v>B2</x:v>
      </x:c>
      <x:c r="F155" s="32" t="str">
        <x:v>W0</x:v>
      </x:c>
      <x:c r="G155" s="32" t="str">
        <x:v>V2</x:v>
      </x:c>
      <x:c r="H155" s="32" t="str">
        <x:v>water_soil</x:v>
      </x:c>
      <x:c r="I155" s="32" t="str">
        <x:v>862323089930708</x:v>
      </x:c>
      <x:c r="J155" s="82" t="n">
        <x:v>27.7</x:v>
      </x:c>
      <x:c r="K155" s="82"/>
      <x:c r="L155" s="82" t="n">
        <x:v>33.9</x:v>
      </x:c>
      <x:c r="M155" s="82" t="n">
        <x:v>25.1</x:v>
      </x:c>
      <x:c r="N155" s="86" t="n">
        <x:v>874</x:v>
      </x:c>
      <x:c r="O155" s="90" t="n">
        <x:v>6.45</x:v>
      </x:c>
      <x:c r="P155" s="150" t="n">
        <x:v>3.956</x:v>
      </x:c>
      <x:c r="Q155" s="86" t="n">
        <x:v>17</x:v>
      </x:c>
      <x:c r="R155" s="32" t="str">
        <x:v>ok</x:v>
      </x:c>
      <x:c r="S155" s="32"/>
      <x:c r="T155" s="32" t="str">
        <x:v>ok</x:v>
      </x:c>
      <x:c r="U155" s="32" t="str">
        <x:v>ok</x:v>
      </x:c>
      <x:c r="V155" s="32" t="str">
        <x:v>ok</x:v>
      </x:c>
      <x:c r="W155" s="154" t="str">
        <x:v>{"schema_version":1,"imei":"862323089930708","timestamp":1786016753,"report_sequence":7,"task_version":"rice_w0_water_soil_demo","sensor_mode":"water_soil","soil_moisture_percent":33.9,"soil_temperature_c":25.1,"soil_ec_us_cm":874,"soil_ph":6.45,"battery_mv":3956,"csq":17,"soil_rs485_status":"ok","cycle_status":"ok","water_level_mm":27.7,"water_4_20ma_status":"ok"}</x:v>
      </x:c>
    </x:row>
    <x:row r="156">
      <x:c r="A156" s="72" t="n">
        <x:v>46240.823530092595</x:v>
      </x:c>
      <x:c r="B156" s="72" t="n">
        <x:v>46240.82354398148</x:v>
      </x:c>
      <x:c r="C156" s="32" t="str">
        <x:v>P09</x:v>
      </x:c>
      <x:c r="D156" s="32" t="str">
        <x:v>B2-W1-V1</x:v>
      </x:c>
      <x:c r="E156" s="32" t="str">
        <x:v>B2</x:v>
      </x:c>
      <x:c r="F156" s="32" t="str">
        <x:v>W1</x:v>
      </x:c>
      <x:c r="G156" s="32" t="str">
        <x:v>V1</x:v>
      </x:c>
      <x:c r="H156" s="32" t="str">
        <x:v>tension_soil</x:v>
      </x:c>
      <x:c r="I156" s="32" t="str">
        <x:v>862323089930709</x:v>
      </x:c>
      <x:c r="J156" s="82"/>
      <x:c r="K156" s="82" t="n">
        <x:v>-27.4</x:v>
      </x:c>
      <x:c r="L156" s="82" t="n">
        <x:v>35.4</x:v>
      </x:c>
      <x:c r="M156" s="82" t="n">
        <x:v>25.2</x:v>
      </x:c>
      <x:c r="N156" s="86" t="n">
        <x:v>894</x:v>
      </x:c>
      <x:c r="O156" s="90" t="n">
        <x:v>6.51</x:v>
      </x:c>
      <x:c r="P156" s="150" t="n">
        <x:v>3.974</x:v>
      </x:c>
      <x:c r="Q156" s="86" t="n">
        <x:v>18</x:v>
      </x:c>
      <x:c r="R156" s="32"/>
      <x:c r="S156" s="32" t="str">
        <x:v>ok</x:v>
      </x:c>
      <x:c r="T156" s="32" t="str">
        <x:v>ok</x:v>
      </x:c>
      <x:c r="U156" s="32" t="str">
        <x:v>ok</x:v>
      </x:c>
      <x:c r="V156" s="32" t="str">
        <x:v>ok</x:v>
      </x:c>
      <x:c r="W156" s="154" t="str">
        <x:v>{"schema_version":1,"imei":"862323089930709","timestamp":1786016753,"report_sequence":7,"task_version":"rice_tension_soil_demo","sensor_mode":"tension_soil","soil_moisture_percent":35.4,"soil_temperature_c":25.2,"soil_ec_us_cm":894,"soil_ph":6.51,"battery_mv":3974,"csq":18,"soil_rs485_status":"ok","cycle_status":"ok","soil_tension_kpa":-27.4,"soil_tension_rs485_status":"ok"}</x:v>
      </x:c>
    </x:row>
    <x:row r="157">
      <x:c r="A157" s="72" t="n">
        <x:v>46240.823530092595</x:v>
      </x:c>
      <x:c r="B157" s="72" t="n">
        <x:v>46240.82354398148</x:v>
      </x:c>
      <x:c r="C157" s="32" t="str">
        <x:v>P10</x:v>
      </x:c>
      <x:c r="D157" s="32" t="str">
        <x:v>B2-W1-V2</x:v>
      </x:c>
      <x:c r="E157" s="32" t="str">
        <x:v>B2</x:v>
      </x:c>
      <x:c r="F157" s="32" t="str">
        <x:v>W1</x:v>
      </x:c>
      <x:c r="G157" s="32" t="str">
        <x:v>V2</x:v>
      </x:c>
      <x:c r="H157" s="32" t="str">
        <x:v>tension_soil</x:v>
      </x:c>
      <x:c r="I157" s="32" t="str">
        <x:v>862323089930710</x:v>
      </x:c>
      <x:c r="J157" s="82"/>
      <x:c r="K157" s="82" t="n">
        <x:v>-23.8</x:v>
      </x:c>
      <x:c r="L157" s="82" t="n">
        <x:v>36.8</x:v>
      </x:c>
      <x:c r="M157" s="82" t="n">
        <x:v>25.3</x:v>
      </x:c>
      <x:c r="N157" s="86" t="n">
        <x:v>915</x:v>
      </x:c>
      <x:c r="O157" s="90" t="n">
        <x:v>6.31</x:v>
      </x:c>
      <x:c r="P157" s="150" t="n">
        <x:v>3.992</x:v>
      </x:c>
      <x:c r="Q157" s="86" t="n">
        <x:v>19</x:v>
      </x:c>
      <x:c r="R157" s="32"/>
      <x:c r="S157" s="32" t="str">
        <x:v>ok</x:v>
      </x:c>
      <x:c r="T157" s="32" t="str">
        <x:v>ok</x:v>
      </x:c>
      <x:c r="U157" s="32" t="str">
        <x:v>ok</x:v>
      </x:c>
      <x:c r="V157" s="32" t="str">
        <x:v>ok</x:v>
      </x:c>
      <x:c r="W157" s="154" t="str">
        <x:v>{"schema_version":1,"imei":"862323089930710","timestamp":1786016753,"report_sequence":7,"task_version":"rice_tension_soil_demo","sensor_mode":"tension_soil","soil_moisture_percent":36.8,"soil_temperature_c":25.3,"soil_ec_us_cm":915,"soil_ph":6.31,"battery_mv":3992,"csq":19,"soil_rs485_status":"ok","cycle_status":"ok","soil_tension_kpa":-23.8,"soil_tension_rs485_status":"ok"}</x:v>
      </x:c>
    </x:row>
    <x:row r="158">
      <x:c r="A158" s="72" t="n">
        <x:v>46240.823530092595</x:v>
      </x:c>
      <x:c r="B158" s="72" t="n">
        <x:v>46240.82354398148</x:v>
      </x:c>
      <x:c r="C158" s="32" t="str">
        <x:v>P11</x:v>
      </x:c>
      <x:c r="D158" s="32" t="str">
        <x:v>B2-W2-V1</x:v>
      </x:c>
      <x:c r="E158" s="32" t="str">
        <x:v>B2</x:v>
      </x:c>
      <x:c r="F158" s="32" t="str">
        <x:v>W2</x:v>
      </x:c>
      <x:c r="G158" s="32" t="str">
        <x:v>V1</x:v>
      </x:c>
      <x:c r="H158" s="32" t="str">
        <x:v>tension_soil</x:v>
      </x:c>
      <x:c r="I158" s="32" t="str">
        <x:v>862323089930711</x:v>
      </x:c>
      <x:c r="J158" s="82"/>
      <x:c r="K158" s="82" t="n">
        <x:v>-36.3</x:v>
      </x:c>
      <x:c r="L158" s="82" t="n">
        <x:v>38.3</x:v>
      </x:c>
      <x:c r="M158" s="82" t="n">
        <x:v>25.4</x:v>
      </x:c>
      <x:c r="N158" s="86" t="n">
        <x:v>934</x:v>
      </x:c>
      <x:c r="O158" s="90" t="n">
        <x:v>6.37</x:v>
      </x:c>
      <x:c r="P158" s="150" t="n">
        <x:v>4.01</x:v>
      </x:c>
      <x:c r="Q158" s="86" t="n">
        <x:v>20</x:v>
      </x:c>
      <x:c r="R158" s="32"/>
      <x:c r="S158" s="32" t="str">
        <x:v>ok</x:v>
      </x:c>
      <x:c r="T158" s="32" t="str">
        <x:v>ok</x:v>
      </x:c>
      <x:c r="U158" s="32" t="str">
        <x:v>ok</x:v>
      </x:c>
      <x:c r="V158" s="32" t="str">
        <x:v>ok</x:v>
      </x:c>
      <x:c r="W158" s="154" t="str">
        <x:v>{"schema_version":1,"imei":"862323089930711","timestamp":1786016753,"report_sequence":7,"task_version":"rice_tension_soil_demo","sensor_mode":"tension_soil","soil_moisture_percent":38.3,"soil_temperature_c":25.4,"soil_ec_us_cm":934,"soil_ph":6.37,"battery_mv":4010,"csq":20,"soil_rs485_status":"ok","cycle_status":"ok","soil_tension_kpa":-36.3,"soil_tension_rs485_status":"ok"}</x:v>
      </x:c>
    </x:row>
    <x:row r="159">
      <x:c r="A159" s="72" t="n">
        <x:v>46240.823530092595</x:v>
      </x:c>
      <x:c r="B159" s="72" t="n">
        <x:v>46240.82354398148</x:v>
      </x:c>
      <x:c r="C159" s="32" t="str">
        <x:v>P12</x:v>
      </x:c>
      <x:c r="D159" s="32" t="str">
        <x:v>B2-W2-V2</x:v>
      </x:c>
      <x:c r="E159" s="32" t="str">
        <x:v>B2</x:v>
      </x:c>
      <x:c r="F159" s="32" t="str">
        <x:v>W2</x:v>
      </x:c>
      <x:c r="G159" s="32" t="str">
        <x:v>V2</x:v>
      </x:c>
      <x:c r="H159" s="32" t="str">
        <x:v>tension_soil</x:v>
      </x:c>
      <x:c r="I159" s="32" t="str">
        <x:v>862323089930712</x:v>
      </x:c>
      <x:c r="J159" s="82"/>
      <x:c r="K159" s="82" t="n">
        <x:v>-37.6</x:v>
      </x:c>
      <x:c r="L159" s="82" t="n">
        <x:v>39.6</x:v>
      </x:c>
      <x:c r="M159" s="82" t="n">
        <x:v>25.5</x:v>
      </x:c>
      <x:c r="N159" s="86" t="n">
        <x:v>952</x:v>
      </x:c>
      <x:c r="O159" s="90" t="n">
        <x:v>6.42</x:v>
      </x:c>
      <x:c r="P159" s="150" t="n">
        <x:v>3.92</x:v>
      </x:c>
      <x:c r="Q159" s="86" t="n">
        <x:v>21</x:v>
      </x:c>
      <x:c r="R159" s="32"/>
      <x:c r="S159" s="32" t="str">
        <x:v>ok</x:v>
      </x:c>
      <x:c r="T159" s="32" t="str">
        <x:v>ok</x:v>
      </x:c>
      <x:c r="U159" s="32" t="str">
        <x:v>ok</x:v>
      </x:c>
      <x:c r="V159" s="32" t="str">
        <x:v>ok</x:v>
      </x:c>
      <x:c r="W159" s="154" t="str">
        <x:v>{"schema_version":1,"imei":"862323089930712","timestamp":1786016753,"report_sequence":7,"task_version":"rice_tension_soil_demo","sensor_mode":"tension_soil","soil_moisture_percent":39.6,"soil_temperature_c":25.5,"soil_ec_us_cm":952,"soil_ph":6.42,"battery_mv":3920,"csq":21,"soil_rs485_status":"ok","cycle_status":"ok","soil_tension_kpa":-37.6,"soil_tension_rs485_status":"ok"}</x:v>
      </x:c>
    </x:row>
    <x:row r="160">
      <x:c r="A160" s="72" t="n">
        <x:v>46240.823530092595</x:v>
      </x:c>
      <x:c r="B160" s="72" t="n">
        <x:v>46240.82354398148</x:v>
      </x:c>
      <x:c r="C160" s="32" t="str">
        <x:v>P13</x:v>
      </x:c>
      <x:c r="D160" s="32" t="str">
        <x:v>B3-W0-V1</x:v>
      </x:c>
      <x:c r="E160" s="32" t="str">
        <x:v>B3</x:v>
      </x:c>
      <x:c r="F160" s="32" t="str">
        <x:v>W0</x:v>
      </x:c>
      <x:c r="G160" s="32" t="str">
        <x:v>V1</x:v>
      </x:c>
      <x:c r="H160" s="32" t="str">
        <x:v>water_soil</x:v>
      </x:c>
      <x:c r="I160" s="32" t="str">
        <x:v>862323089930713</x:v>
      </x:c>
      <x:c r="J160" s="82" t="n">
        <x:v>35.6</x:v>
      </x:c>
      <x:c r="K160" s="82"/>
      <x:c r="L160" s="82" t="n">
        <x:v>40.9</x:v>
      </x:c>
      <x:c r="M160" s="82" t="n">
        <x:v>25.6</x:v>
      </x:c>
      <x:c r="N160" s="86" t="n">
        <x:v>968</x:v>
      </x:c>
      <x:c r="O160" s="90" t="n">
        <x:v>6.48</x:v>
      </x:c>
      <x:c r="P160" s="150" t="n">
        <x:v>3.938</x:v>
      </x:c>
      <x:c r="Q160" s="86" t="n">
        <x:v>22</x:v>
      </x:c>
      <x:c r="R160" s="32" t="str">
        <x:v>ok</x:v>
      </x:c>
      <x:c r="S160" s="32"/>
      <x:c r="T160" s="32" t="str">
        <x:v>ok</x:v>
      </x:c>
      <x:c r="U160" s="32" t="str">
        <x:v>ok</x:v>
      </x:c>
      <x:c r="V160" s="32" t="str">
        <x:v>ok</x:v>
      </x:c>
      <x:c r="W160" s="154" t="str">
        <x:v>{"schema_version":1,"imei":"862323089930713","timestamp":1786016753,"report_sequence":7,"task_version":"rice_w0_water_soil_demo","sensor_mode":"water_soil","soil_moisture_percent":40.9,"soil_temperature_c":25.6,"soil_ec_us_cm":968,"soil_ph":6.48,"battery_mv":3938,"csq":22,"soil_rs485_status":"ok","cycle_status":"ok","water_level_mm":35.6,"water_4_20ma_status":"ok"}</x:v>
      </x:c>
    </x:row>
    <x:row r="161">
      <x:c r="A161" s="72" t="n">
        <x:v>46240.823530092595</x:v>
      </x:c>
      <x:c r="B161" s="72" t="n">
        <x:v>46240.82354398148</x:v>
      </x:c>
      <x:c r="C161" s="32" t="str">
        <x:v>P14</x:v>
      </x:c>
      <x:c r="D161" s="32" t="str">
        <x:v>B3-W0-V2</x:v>
      </x:c>
      <x:c r="E161" s="32" t="str">
        <x:v>B3</x:v>
      </x:c>
      <x:c r="F161" s="32" t="str">
        <x:v>W0</x:v>
      </x:c>
      <x:c r="G161" s="32" t="str">
        <x:v>V2</x:v>
      </x:c>
      <x:c r="H161" s="32" t="str">
        <x:v>water_soil</x:v>
      </x:c>
      <x:c r="I161" s="32" t="str">
        <x:v>862323089930714</x:v>
      </x:c>
      <x:c r="J161" s="82" t="n">
        <x:v>39</x:v>
      </x:c>
      <x:c r="K161" s="82"/>
      <x:c r="L161" s="82" t="n">
        <x:v>42</x:v>
      </x:c>
      <x:c r="M161" s="82" t="n">
        <x:v>25.6</x:v>
      </x:c>
      <x:c r="N161" s="86" t="n">
        <x:v>983</x:v>
      </x:c>
      <x:c r="O161" s="90" t="n">
        <x:v>6.53</x:v>
      </x:c>
      <x:c r="P161" s="150" t="n">
        <x:v>3.956</x:v>
      </x:c>
      <x:c r="Q161" s="86" t="n">
        <x:v>23</x:v>
      </x:c>
      <x:c r="R161" s="32" t="str">
        <x:v>ok</x:v>
      </x:c>
      <x:c r="S161" s="32"/>
      <x:c r="T161" s="32" t="str">
        <x:v>ok</x:v>
      </x:c>
      <x:c r="U161" s="32" t="str">
        <x:v>ok</x:v>
      </x:c>
      <x:c r="V161" s="32" t="str">
        <x:v>ok</x:v>
      </x:c>
      <x:c r="W161" s="154" t="str">
        <x:v>{"schema_version":1,"imei":"862323089930714","timestamp":1786016753,"report_sequence":7,"task_version":"rice_w0_water_soil_demo","sensor_mode":"water_soil","soil_moisture_percent":42,"soil_temperature_c":25.6,"soil_ec_us_cm":983,"soil_ph":6.53,"battery_mv":3956,"csq":23,"soil_rs485_status":"ok","cycle_status":"ok","water_level_mm":39,"water_4_20ma_status":"ok"}</x:v>
      </x:c>
    </x:row>
    <x:row r="162">
      <x:c r="A162" s="72" t="n">
        <x:v>46240.823530092595</x:v>
      </x:c>
      <x:c r="B162" s="72" t="n">
        <x:v>46240.82354398148</x:v>
      </x:c>
      <x:c r="C162" s="32" t="str">
        <x:v>P15</x:v>
      </x:c>
      <x:c r="D162" s="32" t="str">
        <x:v>B3-W1-V1</x:v>
      </x:c>
      <x:c r="E162" s="32" t="str">
        <x:v>B3</x:v>
      </x:c>
      <x:c r="F162" s="32" t="str">
        <x:v>W1</x:v>
      </x:c>
      <x:c r="G162" s="32" t="str">
        <x:v>V1</x:v>
      </x:c>
      <x:c r="H162" s="32" t="str">
        <x:v>tension_soil</x:v>
      </x:c>
      <x:c r="I162" s="32" t="str">
        <x:v>862323089930715</x:v>
      </x:c>
      <x:c r="J162" s="82"/>
      <x:c r="K162" s="82" t="n">
        <x:v>-25</x:v>
      </x:c>
      <x:c r="L162" s="82" t="n">
        <x:v>43</x:v>
      </x:c>
      <x:c r="M162" s="82" t="n">
        <x:v>25.6</x:v>
      </x:c>
      <x:c r="N162" s="86" t="n">
        <x:v>995</x:v>
      </x:c>
      <x:c r="O162" s="90" t="n">
        <x:v>6.33</x:v>
      </x:c>
      <x:c r="P162" s="150" t="n">
        <x:v>3.974</x:v>
      </x:c>
      <x:c r="Q162" s="86" t="n">
        <x:v>24</x:v>
      </x:c>
      <x:c r="R162" s="32"/>
      <x:c r="S162" s="32" t="str">
        <x:v>ok</x:v>
      </x:c>
      <x:c r="T162" s="32" t="str">
        <x:v>ok</x:v>
      </x:c>
      <x:c r="U162" s="32" t="str">
        <x:v>ok</x:v>
      </x:c>
      <x:c r="V162" s="32" t="str">
        <x:v>ok</x:v>
      </x:c>
      <x:c r="W162" s="154" t="str">
        <x:v>{"schema_version":1,"imei":"862323089930715","timestamp":1786016753,"report_sequence":7,"task_version":"rice_tension_soil_demo","sensor_mode":"tension_soil","soil_moisture_percent":43,"soil_temperature_c":25.6,"soil_ec_us_cm":995,"soil_ph":6.33,"battery_mv":3974,"csq":24,"soil_rs485_status":"ok","cycle_status":"ok","soil_tension_kpa":-25,"soil_tension_rs485_status":"ok"}</x:v>
      </x:c>
    </x:row>
    <x:row r="163">
      <x:c r="A163" s="72" t="n">
        <x:v>46240.823530092595</x:v>
      </x:c>
      <x:c r="B163" s="72" t="n">
        <x:v>46240.82354398148</x:v>
      </x:c>
      <x:c r="C163" s="32" t="str">
        <x:v>P16</x:v>
      </x:c>
      <x:c r="D163" s="32" t="str">
        <x:v>B3-W1-V2</x:v>
      </x:c>
      <x:c r="E163" s="32" t="str">
        <x:v>B3</x:v>
      </x:c>
      <x:c r="F163" s="32" t="str">
        <x:v>W1</x:v>
      </x:c>
      <x:c r="G163" s="32" t="str">
        <x:v>V2</x:v>
      </x:c>
      <x:c r="H163" s="32" t="str">
        <x:v>tension_soil</x:v>
      </x:c>
      <x:c r="I163" s="32" t="str">
        <x:v>862323089930716</x:v>
      </x:c>
      <x:c r="J163" s="82"/>
      <x:c r="K163" s="82" t="n">
        <x:v>-25.9</x:v>
      </x:c>
      <x:c r="L163" s="82" t="n">
        <x:v>35.9</x:v>
      </x:c>
      <x:c r="M163" s="82" t="n">
        <x:v>25.6</x:v>
      </x:c>
      <x:c r="N163" s="86" t="n">
        <x:v>1005</x:v>
      </x:c>
      <x:c r="O163" s="90" t="n">
        <x:v>6.38</x:v>
      </x:c>
      <x:c r="P163" s="150" t="n">
        <x:v>3.992</x:v>
      </x:c>
      <x:c r="Q163" s="86" t="n">
        <x:v>17</x:v>
      </x:c>
      <x:c r="R163" s="32"/>
      <x:c r="S163" s="32" t="str">
        <x:v>ok</x:v>
      </x:c>
      <x:c r="T163" s="32" t="str">
        <x:v>ok</x:v>
      </x:c>
      <x:c r="U163" s="32" t="str">
        <x:v>ok</x:v>
      </x:c>
      <x:c r="V163" s="32" t="str">
        <x:v>ok</x:v>
      </x:c>
      <x:c r="W163" s="154" t="str">
        <x:v>{"schema_version":1,"imei":"862323089930716","timestamp":1786016753,"report_sequence":7,"task_version":"rice_tension_soil_demo","sensor_mode":"tension_soil","soil_moisture_percent":35.9,"soil_temperature_c":25.6,"soil_ec_us_cm":1005,"soil_ph":6.38,"battery_mv":3992,"csq":17,"soil_rs485_status":"ok","cycle_status":"ok","soil_tension_kpa":-25.9,"soil_tension_rs485_status":"ok"}</x:v>
      </x:c>
    </x:row>
    <x:row r="164">
      <x:c r="A164" s="72" t="n">
        <x:v>46240.823530092595</x:v>
      </x:c>
      <x:c r="B164" s="72" t="n">
        <x:v>46240.82354398148</x:v>
      </x:c>
      <x:c r="C164" s="32" t="str">
        <x:v>P17</x:v>
      </x:c>
      <x:c r="D164" s="32" t="str">
        <x:v>B3-W2-V1</x:v>
      </x:c>
      <x:c r="E164" s="32" t="str">
        <x:v>B3</x:v>
      </x:c>
      <x:c r="F164" s="32" t="str">
        <x:v>W2</x:v>
      </x:c>
      <x:c r="G164" s="32" t="str">
        <x:v>V1</x:v>
      </x:c>
      <x:c r="H164" s="32" t="str">
        <x:v>tension_soil</x:v>
      </x:c>
      <x:c r="I164" s="32" t="str">
        <x:v>862323089930717</x:v>
      </x:c>
      <x:c r="J164" s="82"/>
      <x:c r="K164" s="82" t="n">
        <x:v>-37.6</x:v>
      </x:c>
      <x:c r="L164" s="82" t="n">
        <x:v>36.6</x:v>
      </x:c>
      <x:c r="M164" s="82" t="n">
        <x:v>25.5</x:v>
      </x:c>
      <x:c r="N164" s="86" t="n">
        <x:v>1013</x:v>
      </x:c>
      <x:c r="O164" s="90" t="n">
        <x:v>6.42</x:v>
      </x:c>
      <x:c r="P164" s="150" t="n">
        <x:v>4.01</x:v>
      </x:c>
      <x:c r="Q164" s="86" t="n">
        <x:v>18</x:v>
      </x:c>
      <x:c r="R164" s="32"/>
      <x:c r="S164" s="32" t="str">
        <x:v>ok</x:v>
      </x:c>
      <x:c r="T164" s="32" t="str">
        <x:v>ok</x:v>
      </x:c>
      <x:c r="U164" s="32" t="str">
        <x:v>ok</x:v>
      </x:c>
      <x:c r="V164" s="32" t="str">
        <x:v>ok</x:v>
      </x:c>
      <x:c r="W164" s="154" t="str">
        <x:v>{"schema_version":1,"imei":"862323089930717","timestamp":1786016753,"report_sequence":7,"task_version":"rice_tension_soil_demo","sensor_mode":"tension_soil","soil_moisture_percent":36.6,"soil_temperature_c":25.5,"soil_ec_us_cm":1013,"soil_ph":6.42,"battery_mv":4010,"csq":18,"soil_rs485_status":"ok","cycle_status":"ok","soil_tension_kpa":-37.6,"soil_tension_rs485_status":"ok"}</x:v>
      </x:c>
    </x:row>
    <x:row r="165">
      <x:c r="A165" s="72" t="n">
        <x:v>46240.823530092595</x:v>
      </x:c>
      <x:c r="B165" s="72" t="n">
        <x:v>46240.82354398148</x:v>
      </x:c>
      <x:c r="C165" s="32" t="str">
        <x:v>P18</x:v>
      </x:c>
      <x:c r="D165" s="32" t="str">
        <x:v>B3-W2-V2</x:v>
      </x:c>
      <x:c r="E165" s="32" t="str">
        <x:v>B3</x:v>
      </x:c>
      <x:c r="F165" s="32" t="str">
        <x:v>W2</x:v>
      </x:c>
      <x:c r="G165" s="32" t="str">
        <x:v>V2</x:v>
      </x:c>
      <x:c r="H165" s="32" t="str">
        <x:v>tension_soil</x:v>
      </x:c>
      <x:c r="I165" s="32" t="str">
        <x:v>862323089930718</x:v>
      </x:c>
      <x:c r="J165" s="82"/>
      <x:c r="K165" s="82" t="n">
        <x:v>-38.3</x:v>
      </x:c>
      <x:c r="L165" s="82" t="n">
        <x:v>37.3</x:v>
      </x:c>
      <x:c r="M165" s="82" t="n">
        <x:v>25.4</x:v>
      </x:c>
      <x:c r="N165" s="86" t="n">
        <x:v>1019</x:v>
      </x:c>
      <x:c r="O165" s="90" t="n">
        <x:v>6.47</x:v>
      </x:c>
      <x:c r="P165" s="150" t="n">
        <x:v>3.92</x:v>
      </x:c>
      <x:c r="Q165" s="86" t="n">
        <x:v>19</x:v>
      </x:c>
      <x:c r="R165" s="32"/>
      <x:c r="S165" s="32" t="str">
        <x:v>ok</x:v>
      </x:c>
      <x:c r="T165" s="32" t="str">
        <x:v>ok</x:v>
      </x:c>
      <x:c r="U165" s="32" t="str">
        <x:v>ok</x:v>
      </x:c>
      <x:c r="V165" s="32" t="str">
        <x:v>ok</x:v>
      </x:c>
      <x:c r="W165" s="154" t="str">
        <x:v>{"schema_version":1,"imei":"862323089930718","timestamp":1786016753,"report_sequence":7,"task_version":"rice_tension_soil_demo","sensor_mode":"tension_soil","soil_moisture_percent":37.3,"soil_temperature_c":25.4,"soil_ec_us_cm":1019,"soil_ph":6.47,"battery_mv":3920,"csq":19,"soil_rs485_status":"ok","cycle_status":"ok","soil_tension_kpa":-38.3,"soil_tension_rs485_status":"ok"}</x:v>
      </x:c>
    </x:row>
    <x:row r="166">
      <x:c r="A166" s="72" t="n">
        <x:v>46240.823530092595</x:v>
      </x:c>
      <x:c r="B166" s="72" t="n">
        <x:v>46240.82354398148</x:v>
      </x:c>
      <x:c r="C166" s="32" t="str">
        <x:v>P19</x:v>
      </x:c>
      <x:c r="D166" s="32" t="str">
        <x:v>B4-W0-V1</x:v>
      </x:c>
      <x:c r="E166" s="32" t="str">
        <x:v>B4</x:v>
      </x:c>
      <x:c r="F166" s="32" t="str">
        <x:v>W0</x:v>
      </x:c>
      <x:c r="G166" s="32" t="str">
        <x:v>V1</x:v>
      </x:c>
      <x:c r="H166" s="32" t="str">
        <x:v>water_soil</x:v>
      </x:c>
      <x:c r="I166" s="32" t="str">
        <x:v>862323089930719</x:v>
      </x:c>
      <x:c r="J166" s="82" t="n">
        <x:v>39.2</x:v>
      </x:c>
      <x:c r="K166" s="82"/>
      <x:c r="L166" s="82" t="n">
        <x:v>37.9</x:v>
      </x:c>
      <x:c r="M166" s="82" t="n">
        <x:v>25.3</x:v>
      </x:c>
      <x:c r="N166" s="86" t="n">
        <x:v>1023</x:v>
      </x:c>
      <x:c r="O166" s="90" t="n">
        <x:v>6.51</x:v>
      </x:c>
      <x:c r="P166" s="150" t="n">
        <x:v>3.938</x:v>
      </x:c>
      <x:c r="Q166" s="86" t="n">
        <x:v>20</x:v>
      </x:c>
      <x:c r="R166" s="32" t="str">
        <x:v>ok</x:v>
      </x:c>
      <x:c r="S166" s="32"/>
      <x:c r="T166" s="32" t="str">
        <x:v>ok</x:v>
      </x:c>
      <x:c r="U166" s="32" t="str">
        <x:v>ok</x:v>
      </x:c>
      <x:c r="V166" s="32" t="str">
        <x:v>ok</x:v>
      </x:c>
      <x:c r="W166" s="154" t="str">
        <x:v>{"schema_version":1,"imei":"862323089930719","timestamp":1786016753,"report_sequence":7,"task_version":"rice_w0_water_soil_demo","sensor_mode":"water_soil","soil_moisture_percent":37.9,"soil_temperature_c":25.3,"soil_ec_us_cm":1023,"soil_ph":6.51,"battery_mv":3938,"csq":20,"soil_rs485_status":"ok","cycle_status":"ok","water_level_mm":39.2,"water_4_20ma_status":"ok"}</x:v>
      </x:c>
    </x:row>
    <x:row r="167">
      <x:c r="A167" s="72" t="n">
        <x:v>46240.823530092595</x:v>
      </x:c>
      <x:c r="B167" s="72" t="n">
        <x:v>46240.82354398148</x:v>
      </x:c>
      <x:c r="C167" s="32" t="str">
        <x:v>P20</x:v>
      </x:c>
      <x:c r="D167" s="32" t="str">
        <x:v>B4-W0-V2</x:v>
      </x:c>
      <x:c r="E167" s="32" t="str">
        <x:v>B4</x:v>
      </x:c>
      <x:c r="F167" s="32" t="str">
        <x:v>W0</x:v>
      </x:c>
      <x:c r="G167" s="32" t="str">
        <x:v>V2</x:v>
      </x:c>
      <x:c r="H167" s="32" t="str">
        <x:v>water_soil</x:v>
      </x:c>
      <x:c r="I167" s="32" t="str">
        <x:v>862323089930720</x:v>
      </x:c>
      <x:c r="J167" s="82" t="n">
        <x:v>29</x:v>
      </x:c>
      <x:c r="K167" s="82"/>
      <x:c r="L167" s="82" t="n">
        <x:v>38.4</x:v>
      </x:c>
      <x:c r="M167" s="82" t="n">
        <x:v>25.2</x:v>
      </x:c>
      <x:c r="N167" s="86" t="n">
        <x:v>1027</x:v>
      </x:c>
      <x:c r="O167" s="90" t="n">
        <x:v>6.31</x:v>
      </x:c>
      <x:c r="P167" s="150" t="n">
        <x:v>3.956</x:v>
      </x:c>
      <x:c r="Q167" s="86" t="n">
        <x:v>21</x:v>
      </x:c>
      <x:c r="R167" s="32" t="str">
        <x:v>ok</x:v>
      </x:c>
      <x:c r="S167" s="32"/>
      <x:c r="T167" s="32" t="str">
        <x:v>ok</x:v>
      </x:c>
      <x:c r="U167" s="32" t="str">
        <x:v>ok</x:v>
      </x:c>
      <x:c r="V167" s="32" t="str">
        <x:v>ok</x:v>
      </x:c>
      <x:c r="W167" s="154" t="str">
        <x:v>{"schema_version":1,"imei":"862323089930720","timestamp":1786016753,"report_sequence":7,"task_version":"rice_w0_water_soil_demo","sensor_mode":"water_soil","soil_moisture_percent":38.4,"soil_temperature_c":25.2,"soil_ec_us_cm":1027,"soil_ph":6.31,"battery_mv":3956,"csq":21,"soil_rs485_status":"ok","cycle_status":"ok","water_level_mm":29,"water_4_20ma_status":"ok"}</x:v>
      </x:c>
    </x:row>
    <x:row r="168">
      <x:c r="A168" s="72" t="n">
        <x:v>46240.823530092595</x:v>
      </x:c>
      <x:c r="B168" s="72" t="n">
        <x:v>46240.82354398148</x:v>
      </x:c>
      <x:c r="C168" s="32" t="str">
        <x:v>P21</x:v>
      </x:c>
      <x:c r="D168" s="32" t="str">
        <x:v>B4-W1-V1</x:v>
      </x:c>
      <x:c r="E168" s="32" t="str">
        <x:v>B4</x:v>
      </x:c>
      <x:c r="F168" s="32" t="str">
        <x:v>W1</x:v>
      </x:c>
      <x:c r="G168" s="32" t="str">
        <x:v>V1</x:v>
      </x:c>
      <x:c r="H168" s="32" t="str">
        <x:v>tension_soil</x:v>
      </x:c>
      <x:c r="I168" s="32" t="str">
        <x:v>862323089930721</x:v>
      </x:c>
      <x:c r="J168" s="82"/>
      <x:c r="K168" s="82" t="n">
        <x:v>-23.9</x:v>
      </x:c>
      <x:c r="L168" s="82" t="n">
        <x:v>38.9</x:v>
      </x:c>
      <x:c r="M168" s="82" t="n">
        <x:v>25.1</x:v>
      </x:c>
      <x:c r="N168" s="86" t="n">
        <x:v>1031</x:v>
      </x:c>
      <x:c r="O168" s="90" t="n">
        <x:v>6.35</x:v>
      </x:c>
      <x:c r="P168" s="150" t="n">
        <x:v>3.974</x:v>
      </x:c>
      <x:c r="Q168" s="86" t="n">
        <x:v>22</x:v>
      </x:c>
      <x:c r="R168" s="32"/>
      <x:c r="S168" s="32" t="str">
        <x:v>ok</x:v>
      </x:c>
      <x:c r="T168" s="32" t="str">
        <x:v>ok</x:v>
      </x:c>
      <x:c r="U168" s="32" t="str">
        <x:v>ok</x:v>
      </x:c>
      <x:c r="V168" s="32" t="str">
        <x:v>ok</x:v>
      </x:c>
      <x:c r="W168" s="154" t="str">
        <x:v>{"schema_version":1,"imei":"862323089930721","timestamp":1786016753,"report_sequence":7,"task_version":"rice_tension_soil_demo","sensor_mode":"tension_soil","soil_moisture_percent":38.9,"soil_temperature_c":25.1,"soil_ec_us_cm":1031,"soil_ph":6.35,"battery_mv":3974,"csq":22,"soil_rs485_status":"ok","cycle_status":"ok","soil_tension_kpa":-23.9,"soil_tension_rs485_status":"ok"}</x:v>
      </x:c>
    </x:row>
    <x:row r="169">
      <x:c r="A169" s="72" t="n">
        <x:v>46240.823530092595</x:v>
      </x:c>
      <x:c r="B169" s="72" t="n">
        <x:v>46240.82354398148</x:v>
      </x:c>
      <x:c r="C169" s="32" t="str">
        <x:v>P22</x:v>
      </x:c>
      <x:c r="D169" s="32" t="str">
        <x:v>B4-W1-V2</x:v>
      </x:c>
      <x:c r="E169" s="32" t="str">
        <x:v>B4</x:v>
      </x:c>
      <x:c r="F169" s="32" t="str">
        <x:v>W1</x:v>
      </x:c>
      <x:c r="G169" s="32" t="str">
        <x:v>V2</x:v>
      </x:c>
      <x:c r="H169" s="32" t="str">
        <x:v>tension_soil</x:v>
      </x:c>
      <x:c r="I169" s="32" t="str">
        <x:v>862323089930722</x:v>
      </x:c>
      <x:c r="J169" s="82"/>
      <x:c r="K169" s="82" t="n">
        <x:v>-24.4</x:v>
      </x:c>
      <x:c r="L169" s="82" t="n">
        <x:v>39.4</x:v>
      </x:c>
      <x:c r="M169" s="82" t="n">
        <x:v>25</x:v>
      </x:c>
      <x:c r="N169" s="86" t="n">
        <x:v>1034</x:v>
      </x:c>
      <x:c r="O169" s="90" t="n">
        <x:v>6.39</x:v>
      </x:c>
      <x:c r="P169" s="150" t="n">
        <x:v>3.992</x:v>
      </x:c>
      <x:c r="Q169" s="86" t="n">
        <x:v>23</x:v>
      </x:c>
      <x:c r="R169" s="32"/>
      <x:c r="S169" s="32" t="str">
        <x:v>ok</x:v>
      </x:c>
      <x:c r="T169" s="32" t="str">
        <x:v>ok</x:v>
      </x:c>
      <x:c r="U169" s="32" t="str">
        <x:v>ok</x:v>
      </x:c>
      <x:c r="V169" s="32" t="str">
        <x:v>ok</x:v>
      </x:c>
      <x:c r="W169" s="154" t="str">
        <x:v>{"schema_version":1,"imei":"862323089930722","timestamp":1786016753,"report_sequence":7,"task_version":"rice_tension_soil_demo","sensor_mode":"tension_soil","soil_moisture_percent":39.4,"soil_temperature_c":25,"soil_ec_us_cm":1034,"soil_ph":6.39,"battery_mv":3992,"csq":23,"soil_rs485_status":"ok","cycle_status":"ok","soil_tension_kpa":-24.4,"soil_tension_rs485_status":"ok"}</x:v>
      </x:c>
    </x:row>
    <x:row r="170">
      <x:c r="A170" s="72" t="n">
        <x:v>46240.823530092595</x:v>
      </x:c>
      <x:c r="B170" s="72" t="n">
        <x:v>46240.82354398148</x:v>
      </x:c>
      <x:c r="C170" s="32" t="str">
        <x:v>P23</x:v>
      </x:c>
      <x:c r="D170" s="32" t="str">
        <x:v>B4-W2-V1</x:v>
      </x:c>
      <x:c r="E170" s="32" t="str">
        <x:v>B4</x:v>
      </x:c>
      <x:c r="F170" s="32" t="str">
        <x:v>W2</x:v>
      </x:c>
      <x:c r="G170" s="32" t="str">
        <x:v>V1</x:v>
      </x:c>
      <x:c r="H170" s="32" t="str">
        <x:v>tension_soil</x:v>
      </x:c>
      <x:c r="I170" s="32" t="str">
        <x:v>862323089930723</x:v>
      </x:c>
      <x:c r="J170" s="82"/>
      <x:c r="K170" s="82" t="n">
        <x:v>-36</x:v>
      </x:c>
      <x:c r="L170" s="82" t="n">
        <x:v>40</x:v>
      </x:c>
      <x:c r="M170" s="82" t="n">
        <x:v>24.8</x:v>
      </x:c>
      <x:c r="N170" s="86" t="n">
        <x:v>1038</x:v>
      </x:c>
      <x:c r="O170" s="90" t="n">
        <x:v>6.43</x:v>
      </x:c>
      <x:c r="P170" s="150" t="n">
        <x:v>4.01</x:v>
      </x:c>
      <x:c r="Q170" s="86" t="n">
        <x:v>24</x:v>
      </x:c>
      <x:c r="R170" s="32"/>
      <x:c r="S170" s="32" t="str">
        <x:v>ok</x:v>
      </x:c>
      <x:c r="T170" s="32" t="str">
        <x:v>ok</x:v>
      </x:c>
      <x:c r="U170" s="32" t="str">
        <x:v>ok</x:v>
      </x:c>
      <x:c r="V170" s="32" t="str">
        <x:v>ok</x:v>
      </x:c>
      <x:c r="W170" s="154" t="str">
        <x:v>{"schema_version":1,"imei":"862323089930723","timestamp":1786016753,"report_sequence":7,"task_version":"rice_tension_soil_demo","sensor_mode":"tension_soil","soil_moisture_percent":40,"soil_temperature_c":24.8,"soil_ec_us_cm":1038,"soil_ph":6.43,"battery_mv":4010,"csq":24,"soil_rs485_status":"ok","cycle_status":"ok","soil_tension_kpa":-36,"soil_tension_rs485_status":"ok"}</x:v>
      </x:c>
    </x:row>
    <x:row r="171">
      <x:c r="A171" s="72" t="n">
        <x:v>46240.823530092595</x:v>
      </x:c>
      <x:c r="B171" s="72" t="n">
        <x:v>46240.82354398148</x:v>
      </x:c>
      <x:c r="C171" s="32" t="str">
        <x:v>P24</x:v>
      </x:c>
      <x:c r="D171" s="32" t="str">
        <x:v>B4-W2-V2</x:v>
      </x:c>
      <x:c r="E171" s="32" t="str">
        <x:v>B4</x:v>
      </x:c>
      <x:c r="F171" s="32" t="str">
        <x:v>W2</x:v>
      </x:c>
      <x:c r="G171" s="32" t="str">
        <x:v>V2</x:v>
      </x:c>
      <x:c r="H171" s="32" t="str">
        <x:v>tension_soil</x:v>
      </x:c>
      <x:c r="I171" s="32" t="str">
        <x:v>862323089930724</x:v>
      </x:c>
      <x:c r="J171" s="82"/>
      <x:c r="K171" s="82" t="n">
        <x:v>-36.6</x:v>
      </x:c>
      <x:c r="L171" s="82" t="n">
        <x:v>32.6</x:v>
      </x:c>
      <x:c r="M171" s="82" t="n">
        <x:v>24.7</x:v>
      </x:c>
      <x:c r="N171" s="86" t="n">
        <x:v>1043</x:v>
      </x:c>
      <x:c r="O171" s="90" t="n">
        <x:v>6.48</x:v>
      </x:c>
      <x:c r="P171" s="150" t="n">
        <x:v>3.92</x:v>
      </x:c>
      <x:c r="Q171" s="86" t="n">
        <x:v>17</x:v>
      </x:c>
      <x:c r="R171" s="32"/>
      <x:c r="S171" s="32" t="str">
        <x:v>ok</x:v>
      </x:c>
      <x:c r="T171" s="32" t="str">
        <x:v>ok</x:v>
      </x:c>
      <x:c r="U171" s="32" t="str">
        <x:v>ok</x:v>
      </x:c>
      <x:c r="V171" s="32" t="str">
        <x:v>ok</x:v>
      </x:c>
      <x:c r="W171" s="154" t="str">
        <x:v>{"schema_version":1,"imei":"862323089930724","timestamp":1786016753,"report_sequence":7,"task_version":"rice_tension_soil_demo","sensor_mode":"tension_soil","soil_moisture_percent":32.6,"soil_temperature_c":24.7,"soil_ec_us_cm":1043,"soil_ph":6.48,"battery_mv":3920,"csq":17,"soil_rs485_status":"ok","cycle_status":"ok","soil_tension_kpa":-36.6,"soil_tension_rs485_status":"ok"}</x:v>
      </x:c>
    </x:row>
    <x:row r="172">
      <x:c r="A172" s="72" t="n">
        <x:v>46240.827002314814</x:v>
      </x:c>
      <x:c r="B172" s="72" t="n">
        <x:v>46240.8270162037</x:v>
      </x:c>
      <x:c r="C172" s="32" t="str">
        <x:v>P01</x:v>
      </x:c>
      <x:c r="D172" s="32" t="str">
        <x:v>B1-W0-V1</x:v>
      </x:c>
      <x:c r="E172" s="32" t="str">
        <x:v>B1</x:v>
      </x:c>
      <x:c r="F172" s="32" t="str">
        <x:v>W0</x:v>
      </x:c>
      <x:c r="G172" s="32" t="str">
        <x:v>V1</x:v>
      </x:c>
      <x:c r="H172" s="32" t="str">
        <x:v>water_soil</x:v>
      </x:c>
      <x:c r="I172" s="32" t="str">
        <x:v>862323089930701</x:v>
      </x:c>
      <x:c r="J172" s="82" t="n">
        <x:v>26.6</x:v>
      </x:c>
      <x:c r="K172" s="82"/>
      <x:c r="L172" s="82" t="n">
        <x:v>33.2</x:v>
      </x:c>
      <x:c r="M172" s="82" t="n">
        <x:v>24.7</x:v>
      </x:c>
      <x:c r="N172" s="86" t="n">
        <x:v>761</x:v>
      </x:c>
      <x:c r="O172" s="90" t="n">
        <x:v>6.32</x:v>
      </x:c>
      <x:c r="P172" s="150" t="n">
        <x:v>3.938</x:v>
      </x:c>
      <x:c r="Q172" s="86" t="n">
        <x:v>18</x:v>
      </x:c>
      <x:c r="R172" s="32" t="str">
        <x:v>ok</x:v>
      </x:c>
      <x:c r="S172" s="32"/>
      <x:c r="T172" s="32" t="str">
        <x:v>ok</x:v>
      </x:c>
      <x:c r="U172" s="32" t="str">
        <x:v>ok</x:v>
      </x:c>
      <x:c r="V172" s="32" t="str">
        <x:v>ok</x:v>
      </x:c>
      <x:c r="W172" s="154" t="str">
        <x:v>{"schema_version":1,"imei":"862323089930701","timestamp":1786017053,"report_sequence":8,"task_version":"rice_w0_water_soil_demo","sensor_mode":"water_soil","soil_moisture_percent":33.2,"soil_temperature_c":24.7,"soil_ec_us_cm":761,"soil_ph":6.32,"battery_mv":3938,"csq":18,"soil_rs485_status":"ok","cycle_status":"ok","water_level_mm":26.6,"water_4_20ma_status":"ok"}</x:v>
      </x:c>
    </x:row>
    <x:row r="173">
      <x:c r="A173" s="72" t="n">
        <x:v>46240.827002314814</x:v>
      </x:c>
      <x:c r="B173" s="72" t="n">
        <x:v>46240.8270162037</x:v>
      </x:c>
      <x:c r="C173" s="32" t="str">
        <x:v>P02</x:v>
      </x:c>
      <x:c r="D173" s="32" t="str">
        <x:v>B1-W0-V2</x:v>
      </x:c>
      <x:c r="E173" s="32" t="str">
        <x:v>B1</x:v>
      </x:c>
      <x:c r="F173" s="32" t="str">
        <x:v>W0</x:v>
      </x:c>
      <x:c r="G173" s="32" t="str">
        <x:v>V2</x:v>
      </x:c>
      <x:c r="H173" s="32" t="str">
        <x:v>water_soil</x:v>
      </x:c>
      <x:c r="I173" s="32" t="str">
        <x:v>862323089930702</x:v>
      </x:c>
      <x:c r="J173" s="82" t="n">
        <x:v>29.2</x:v>
      </x:c>
      <x:c r="K173" s="82"/>
      <x:c r="L173" s="82" t="n">
        <x:v>34.1</x:v>
      </x:c>
      <x:c r="M173" s="82" t="n">
        <x:v>24.6</x:v>
      </x:c>
      <x:c r="N173" s="86" t="n">
        <x:v>770</x:v>
      </x:c>
      <x:c r="O173" s="90" t="n">
        <x:v>6.37</x:v>
      </x:c>
      <x:c r="P173" s="150" t="n">
        <x:v>3.956</x:v>
      </x:c>
      <x:c r="Q173" s="86" t="n">
        <x:v>19</x:v>
      </x:c>
      <x:c r="R173" s="32" t="str">
        <x:v>ok</x:v>
      </x:c>
      <x:c r="S173" s="32"/>
      <x:c r="T173" s="32" t="str">
        <x:v>ok</x:v>
      </x:c>
      <x:c r="U173" s="32" t="str">
        <x:v>ok</x:v>
      </x:c>
      <x:c r="V173" s="32" t="str">
        <x:v>ok</x:v>
      </x:c>
      <x:c r="W173" s="154" t="str">
        <x:v>{"schema_version":1,"imei":"862323089930702","timestamp":1786017053,"report_sequence":8,"task_version":"rice_w0_water_soil_demo","sensor_mode":"water_soil","soil_moisture_percent":34.1,"soil_temperature_c":24.6,"soil_ec_us_cm":770,"soil_ph":6.37,"battery_mv":3956,"csq":19,"soil_rs485_status":"ok","cycle_status":"ok","water_level_mm":29.2,"water_4_20ma_status":"ok"}</x:v>
      </x:c>
    </x:row>
    <x:row r="174">
      <x:c r="A174" s="72" t="n">
        <x:v>46240.827002314814</x:v>
      </x:c>
      <x:c r="B174" s="72" t="n">
        <x:v>46240.8270162037</x:v>
      </x:c>
      <x:c r="C174" s="32" t="str">
        <x:v>P03</x:v>
      </x:c>
      <x:c r="D174" s="32" t="str">
        <x:v>B1-W1-V1</x:v>
      </x:c>
      <x:c r="E174" s="32" t="str">
        <x:v>B1</x:v>
      </x:c>
      <x:c r="F174" s="32" t="str">
        <x:v>W1</x:v>
      </x:c>
      <x:c r="G174" s="32" t="str">
        <x:v>V1</x:v>
      </x:c>
      <x:c r="H174" s="32" t="str">
        <x:v>tension_soil</x:v>
      </x:c>
      <x:c r="I174" s="32" t="str">
        <x:v>862323089930703</x:v>
      </x:c>
      <x:c r="J174" s="82"/>
      <x:c r="K174" s="82" t="n">
        <x:v>-24</x:v>
      </x:c>
      <x:c r="L174" s="82" t="n">
        <x:v>35</x:v>
      </x:c>
      <x:c r="M174" s="82" t="n">
        <x:v>24.6</x:v>
      </x:c>
      <x:c r="N174" s="86" t="n">
        <x:v>781</x:v>
      </x:c>
      <x:c r="O174" s="90" t="n">
        <x:v>6.42</x:v>
      </x:c>
      <x:c r="P174" s="150" t="n">
        <x:v>3.974</x:v>
      </x:c>
      <x:c r="Q174" s="86" t="n">
        <x:v>20</x:v>
      </x:c>
      <x:c r="R174" s="32"/>
      <x:c r="S174" s="32" t="str">
        <x:v>ok</x:v>
      </x:c>
      <x:c r="T174" s="32" t="str">
        <x:v>ok</x:v>
      </x:c>
      <x:c r="U174" s="32" t="str">
        <x:v>ok</x:v>
      </x:c>
      <x:c r="V174" s="32" t="str">
        <x:v>ok</x:v>
      </x:c>
      <x:c r="W174" s="154" t="str">
        <x:v>{"schema_version":1,"imei":"862323089930703","timestamp":1786017053,"report_sequence":8,"task_version":"rice_tension_soil_demo","sensor_mode":"tension_soil","soil_moisture_percent":35,"soil_temperature_c":24.6,"soil_ec_us_cm":781,"soil_ph":6.42,"battery_mv":3974,"csq":20,"soil_rs485_status":"ok","cycle_status":"ok","soil_tension_kpa":-24,"soil_tension_rs485_status":"ok"}</x:v>
      </x:c>
    </x:row>
    <x:row r="175">
      <x:c r="A175" s="72" t="n">
        <x:v>46240.827002314814</x:v>
      </x:c>
      <x:c r="B175" s="72" t="n">
        <x:v>46240.8270162037</x:v>
      </x:c>
      <x:c r="C175" s="32" t="str">
        <x:v>P04</x:v>
      </x:c>
      <x:c r="D175" s="32" t="str">
        <x:v>B1-W1-V2</x:v>
      </x:c>
      <x:c r="E175" s="32" t="str">
        <x:v>B1</x:v>
      </x:c>
      <x:c r="F175" s="32" t="str">
        <x:v>W1</x:v>
      </x:c>
      <x:c r="G175" s="32" t="str">
        <x:v>V2</x:v>
      </x:c>
      <x:c r="H175" s="32" t="str">
        <x:v>tension_soil</x:v>
      </x:c>
      <x:c r="I175" s="32" t="str">
        <x:v>862323089930704</x:v>
      </x:c>
      <x:c r="J175" s="82"/>
      <x:c r="K175" s="82" t="n">
        <x:v>-25.1</x:v>
      </x:c>
      <x:c r="L175" s="82" t="n">
        <x:v>36.1</x:v>
      </x:c>
      <x:c r="M175" s="82" t="n">
        <x:v>24.6</x:v>
      </x:c>
      <x:c r="N175" s="86" t="n">
        <x:v>794</x:v>
      </x:c>
      <x:c r="O175" s="90" t="n">
        <x:v>6.47</x:v>
      </x:c>
      <x:c r="P175" s="150" t="n">
        <x:v>3.992</x:v>
      </x:c>
      <x:c r="Q175" s="86" t="n">
        <x:v>21</x:v>
      </x:c>
      <x:c r="R175" s="32"/>
      <x:c r="S175" s="32" t="str">
        <x:v>ok</x:v>
      </x:c>
      <x:c r="T175" s="32" t="str">
        <x:v>ok</x:v>
      </x:c>
      <x:c r="U175" s="32" t="str">
        <x:v>ok</x:v>
      </x:c>
      <x:c r="V175" s="32" t="str">
        <x:v>ok</x:v>
      </x:c>
      <x:c r="W175" s="154" t="str">
        <x:v>{"schema_version":1,"imei":"862323089930704","timestamp":1786017053,"report_sequence":8,"task_version":"rice_tension_soil_demo","sensor_mode":"tension_soil","soil_moisture_percent":36.1,"soil_temperature_c":24.6,"soil_ec_us_cm":794,"soil_ph":6.47,"battery_mv":3992,"csq":21,"soil_rs485_status":"ok","cycle_status":"ok","soil_tension_kpa":-25.1,"soil_tension_rs485_status":"ok"}</x:v>
      </x:c>
    </x:row>
    <x:row r="176">
      <x:c r="A176" s="72" t="n">
        <x:v>46240.827002314814</x:v>
      </x:c>
      <x:c r="B176" s="72" t="n">
        <x:v>46240.8270162037</x:v>
      </x:c>
      <x:c r="C176" s="32" t="str">
        <x:v>P05</x:v>
      </x:c>
      <x:c r="D176" s="32" t="str">
        <x:v>B1-W2-V1</x:v>
      </x:c>
      <x:c r="E176" s="32" t="str">
        <x:v>B1</x:v>
      </x:c>
      <x:c r="F176" s="32" t="str">
        <x:v>W2</x:v>
      </x:c>
      <x:c r="G176" s="32" t="str">
        <x:v>V1</x:v>
      </x:c>
      <x:c r="H176" s="32" t="str">
        <x:v>tension_soil</x:v>
      </x:c>
      <x:c r="I176" s="32" t="str">
        <x:v>862323089930705</x:v>
      </x:c>
      <x:c r="J176" s="82"/>
      <x:c r="K176" s="82" t="n">
        <x:v>-32.2</x:v>
      </x:c>
      <x:c r="L176" s="82" t="n">
        <x:v>37.2</x:v>
      </x:c>
      <x:c r="M176" s="82" t="n">
        <x:v>24.7</x:v>
      </x:c>
      <x:c r="N176" s="86" t="n">
        <x:v>809</x:v>
      </x:c>
      <x:c r="O176" s="90" t="n">
        <x:v>6.27</x:v>
      </x:c>
      <x:c r="P176" s="150" t="n">
        <x:v>4.01</x:v>
      </x:c>
      <x:c r="Q176" s="86" t="n">
        <x:v>22</x:v>
      </x:c>
      <x:c r="R176" s="32"/>
      <x:c r="S176" s="32" t="str">
        <x:v>ok</x:v>
      </x:c>
      <x:c r="T176" s="32" t="str">
        <x:v>ok</x:v>
      </x:c>
      <x:c r="U176" s="32" t="str">
        <x:v>ok</x:v>
      </x:c>
      <x:c r="V176" s="32" t="str">
        <x:v>ok</x:v>
      </x:c>
      <x:c r="W176" s="154" t="str">
        <x:v>{"schema_version":1,"imei":"862323089930705","timestamp":1786017053,"report_sequence":8,"task_version":"rice_tension_soil_demo","sensor_mode":"tension_soil","soil_moisture_percent":37.2,"soil_temperature_c":24.7,"soil_ec_us_cm":809,"soil_ph":6.27,"battery_mv":4010,"csq":22,"soil_rs485_status":"ok","cycle_status":"ok","soil_tension_kpa":-32.2,"soil_tension_rs485_status":"ok"}</x:v>
      </x:c>
    </x:row>
    <x:row r="177">
      <x:c r="A177" s="72" t="n">
        <x:v>46240.827002314814</x:v>
      </x:c>
      <x:c r="B177" s="72" t="n">
        <x:v>46240.8270162037</x:v>
      </x:c>
      <x:c r="C177" s="32" t="str">
        <x:v>P06</x:v>
      </x:c>
      <x:c r="D177" s="32" t="str">
        <x:v>B1-W2-V2</x:v>
      </x:c>
      <x:c r="E177" s="32" t="str">
        <x:v>B1</x:v>
      </x:c>
      <x:c r="F177" s="32" t="str">
        <x:v>W2</x:v>
      </x:c>
      <x:c r="G177" s="32" t="str">
        <x:v>V2</x:v>
      </x:c>
      <x:c r="H177" s="32" t="str">
        <x:v>tension_soil</x:v>
      </x:c>
      <x:c r="I177" s="32" t="str">
        <x:v>862323089930706</x:v>
      </x:c>
      <x:c r="J177" s="82"/>
      <x:c r="K177" s="82" t="n">
        <x:v>-33.5</x:v>
      </x:c>
      <x:c r="L177" s="82" t="n">
        <x:v>38.5</x:v>
      </x:c>
      <x:c r="M177" s="82" t="n">
        <x:v>24.7</x:v>
      </x:c>
      <x:c r="N177" s="86" t="n">
        <x:v>826</x:v>
      </x:c>
      <x:c r="O177" s="90" t="n">
        <x:v>6.33</x:v>
      </x:c>
      <x:c r="P177" s="150" t="n">
        <x:v>3.92</x:v>
      </x:c>
      <x:c r="Q177" s="86" t="n">
        <x:v>23</x:v>
      </x:c>
      <x:c r="R177" s="32"/>
      <x:c r="S177" s="32" t="str">
        <x:v>ok</x:v>
      </x:c>
      <x:c r="T177" s="32" t="str">
        <x:v>ok</x:v>
      </x:c>
      <x:c r="U177" s="32" t="str">
        <x:v>ok</x:v>
      </x:c>
      <x:c r="V177" s="32" t="str">
        <x:v>ok</x:v>
      </x:c>
      <x:c r="W177" s="154" t="str">
        <x:v>{"schema_version":1,"imei":"862323089930706","timestamp":1786017053,"report_sequence":8,"task_version":"rice_tension_soil_demo","sensor_mode":"tension_soil","soil_moisture_percent":38.5,"soil_temperature_c":24.7,"soil_ec_us_cm":826,"soil_ph":6.33,"battery_mv":3920,"csq":23,"soil_rs485_status":"ok","cycle_status":"ok","soil_tension_kpa":-33.5,"soil_tension_rs485_status":"ok"}</x:v>
      </x:c>
    </x:row>
    <x:row r="178">
      <x:c r="A178" s="72" t="n">
        <x:v>46240.827002314814</x:v>
      </x:c>
      <x:c r="B178" s="72" t="n">
        <x:v>46240.8270162037</x:v>
      </x:c>
      <x:c r="C178" s="32" t="str">
        <x:v>P07</x:v>
      </x:c>
      <x:c r="D178" s="32" t="str">
        <x:v>B2-W0-V1</x:v>
      </x:c>
      <x:c r="E178" s="32" t="str">
        <x:v>B2</x:v>
      </x:c>
      <x:c r="F178" s="32" t="str">
        <x:v>W0</x:v>
      </x:c>
      <x:c r="G178" s="32" t="str">
        <x:v>V1</x:v>
      </x:c>
      <x:c r="H178" s="32" t="str">
        <x:v>water_soil</x:v>
      </x:c>
      <x:c r="I178" s="32" t="str">
        <x:v>862323089930707</x:v>
      </x:c>
      <x:c r="J178" s="82" t="n">
        <x:v>34.3</x:v>
      </x:c>
      <x:c r="K178" s="82"/>
      <x:c r="L178" s="82" t="n">
        <x:v>39.9</x:v>
      </x:c>
      <x:c r="M178" s="82" t="n">
        <x:v>24.8</x:v>
      </x:c>
      <x:c r="N178" s="86" t="n">
        <x:v>845</x:v>
      </x:c>
      <x:c r="O178" s="90" t="n">
        <x:v>6.38</x:v>
      </x:c>
      <x:c r="P178" s="150" t="n">
        <x:v>3.938</x:v>
      </x:c>
      <x:c r="Q178" s="86" t="n">
        <x:v>24</x:v>
      </x:c>
      <x:c r="R178" s="32" t="str">
        <x:v>ok</x:v>
      </x:c>
      <x:c r="S178" s="32"/>
      <x:c r="T178" s="32" t="str">
        <x:v>ok</x:v>
      </x:c>
      <x:c r="U178" s="32" t="str">
        <x:v>ok</x:v>
      </x:c>
      <x:c r="V178" s="32" t="str">
        <x:v>ok</x:v>
      </x:c>
      <x:c r="W178" s="154" t="str">
        <x:v>{"schema_version":1,"imei":"862323089930707","timestamp":1786017053,"report_sequence":8,"task_version":"rice_w0_water_soil_demo","sensor_mode":"water_soil","soil_moisture_percent":39.9,"soil_temperature_c":24.8,"soil_ec_us_cm":845,"soil_ph":6.38,"battery_mv":3938,"csq":24,"soil_rs485_status":"ok","cycle_status":"ok","water_level_mm":34.3,"water_4_20ma_status":"ok"}</x:v>
      </x:c>
    </x:row>
    <x:row r="179">
      <x:c r="A179" s="72" t="n">
        <x:v>46240.827002314814</x:v>
      </x:c>
      <x:c r="B179" s="72" t="n">
        <x:v>46240.8270162037</x:v>
      </x:c>
      <x:c r="C179" s="32" t="str">
        <x:v>P08</x:v>
      </x:c>
      <x:c r="D179" s="32" t="str">
        <x:v>B2-W0-V2</x:v>
      </x:c>
      <x:c r="E179" s="32" t="str">
        <x:v>B2</x:v>
      </x:c>
      <x:c r="F179" s="32" t="str">
        <x:v>W0</x:v>
      </x:c>
      <x:c r="G179" s="32" t="str">
        <x:v>V2</x:v>
      </x:c>
      <x:c r="H179" s="32" t="str">
        <x:v>water_soil</x:v>
      </x:c>
      <x:c r="I179" s="32" t="str">
        <x:v>862323089930708</x:v>
      </x:c>
      <x:c r="J179" s="82" t="n">
        <x:v>26.4</x:v>
      </x:c>
      <x:c r="K179" s="82"/>
      <x:c r="L179" s="82" t="n">
        <x:v>33.4</x:v>
      </x:c>
      <x:c r="M179" s="82" t="n">
        <x:v>24.9</x:v>
      </x:c>
      <x:c r="N179" s="86" t="n">
        <x:v>865</x:v>
      </x:c>
      <x:c r="O179" s="90" t="n">
        <x:v>6.44</x:v>
      </x:c>
      <x:c r="P179" s="150" t="n">
        <x:v>3.956</x:v>
      </x:c>
      <x:c r="Q179" s="86" t="n">
        <x:v>17</x:v>
      </x:c>
      <x:c r="R179" s="32" t="str">
        <x:v>ok</x:v>
      </x:c>
      <x:c r="S179" s="32"/>
      <x:c r="T179" s="32" t="str">
        <x:v>ok</x:v>
      </x:c>
      <x:c r="U179" s="32" t="str">
        <x:v>ok</x:v>
      </x:c>
      <x:c r="V179" s="32" t="str">
        <x:v>ok</x:v>
      </x:c>
      <x:c r="W179" s="154" t="str">
        <x:v>{"schema_version":1,"imei":"862323089930708","timestamp":1786017053,"report_sequence":8,"task_version":"rice_w0_water_soil_demo","sensor_mode":"water_soil","soil_moisture_percent":33.4,"soil_temperature_c":24.9,"soil_ec_us_cm":865,"soil_ph":6.44,"battery_mv":3956,"csq":17,"soil_rs485_status":"ok","cycle_status":"ok","water_level_mm":26.4,"water_4_20ma_status":"ok"}</x:v>
      </x:c>
    </x:row>
    <x:row r="180">
      <x:c r="A180" s="72" t="n">
        <x:v>46240.827002314814</x:v>
      </x:c>
      <x:c r="B180" s="72" t="n">
        <x:v>46240.8270162037</x:v>
      </x:c>
      <x:c r="C180" s="32" t="str">
        <x:v>P09</x:v>
      </x:c>
      <x:c r="D180" s="32" t="str">
        <x:v>B2-W1-V1</x:v>
      </x:c>
      <x:c r="E180" s="32" t="str">
        <x:v>B2</x:v>
      </x:c>
      <x:c r="F180" s="32" t="str">
        <x:v>W1</x:v>
      </x:c>
      <x:c r="G180" s="32" t="str">
        <x:v>V1</x:v>
      </x:c>
      <x:c r="H180" s="32" t="str">
        <x:v>tension_soil</x:v>
      </x:c>
      <x:c r="I180" s="32" t="str">
        <x:v>862323089930709</x:v>
      </x:c>
      <x:c r="J180" s="82"/>
      <x:c r="K180" s="82" t="n">
        <x:v>-26.9</x:v>
      </x:c>
      <x:c r="L180" s="82" t="n">
        <x:v>34.9</x:v>
      </x:c>
      <x:c r="M180" s="82" t="n">
        <x:v>25.1</x:v>
      </x:c>
      <x:c r="N180" s="86" t="n">
        <x:v>886</x:v>
      </x:c>
      <x:c r="O180" s="90" t="n">
        <x:v>6.5</x:v>
      </x:c>
      <x:c r="P180" s="150" t="n">
        <x:v>3.974</x:v>
      </x:c>
      <x:c r="Q180" s="86" t="n">
        <x:v>18</x:v>
      </x:c>
      <x:c r="R180" s="32"/>
      <x:c r="S180" s="32" t="str">
        <x:v>ok</x:v>
      </x:c>
      <x:c r="T180" s="32" t="str">
        <x:v>ok</x:v>
      </x:c>
      <x:c r="U180" s="32" t="str">
        <x:v>ok</x:v>
      </x:c>
      <x:c r="V180" s="32" t="str">
        <x:v>ok</x:v>
      </x:c>
      <x:c r="W180" s="154" t="str">
        <x:v>{"schema_version":1,"imei":"862323089930709","timestamp":1786017053,"report_sequence":8,"task_version":"rice_tension_soil_demo","sensor_mode":"tension_soil","soil_moisture_percent":34.9,"soil_temperature_c":25.1,"soil_ec_us_cm":886,"soil_ph":6.5,"battery_mv":3974,"csq":18,"soil_rs485_status":"ok","cycle_status":"ok","soil_tension_kpa":-26.9,"soil_tension_rs485_status":"ok"}</x:v>
      </x:c>
    </x:row>
    <x:row r="181">
      <x:c r="A181" s="72" t="n">
        <x:v>46240.827002314814</x:v>
      </x:c>
      <x:c r="B181" s="72" t="n">
        <x:v>46240.8270162037</x:v>
      </x:c>
      <x:c r="C181" s="32" t="str">
        <x:v>P10</x:v>
      </x:c>
      <x:c r="D181" s="32" t="str">
        <x:v>B2-W1-V2</x:v>
      </x:c>
      <x:c r="E181" s="32" t="str">
        <x:v>B2</x:v>
      </x:c>
      <x:c r="F181" s="32" t="str">
        <x:v>W1</x:v>
      </x:c>
      <x:c r="G181" s="32" t="str">
        <x:v>V2</x:v>
      </x:c>
      <x:c r="H181" s="32" t="str">
        <x:v>tension_soil</x:v>
      </x:c>
      <x:c r="I181" s="32" t="str">
        <x:v>862323089930710</x:v>
      </x:c>
      <x:c r="J181" s="82"/>
      <x:c r="K181" s="82" t="n">
        <x:v>-23.4</x:v>
      </x:c>
      <x:c r="L181" s="82" t="n">
        <x:v>36.4</x:v>
      </x:c>
      <x:c r="M181" s="82" t="n">
        <x:v>25.2</x:v>
      </x:c>
      <x:c r="N181" s="86" t="n">
        <x:v>906</x:v>
      </x:c>
      <x:c r="O181" s="90" t="n">
        <x:v>6.31</x:v>
      </x:c>
      <x:c r="P181" s="150" t="n">
        <x:v>3.992</x:v>
      </x:c>
      <x:c r="Q181" s="86" t="n">
        <x:v>19</x:v>
      </x:c>
      <x:c r="R181" s="32"/>
      <x:c r="S181" s="32" t="str">
        <x:v>ok</x:v>
      </x:c>
      <x:c r="T181" s="32" t="str">
        <x:v>ok</x:v>
      </x:c>
      <x:c r="U181" s="32" t="str">
        <x:v>ok</x:v>
      </x:c>
      <x:c r="V181" s="32" t="str">
        <x:v>ok</x:v>
      </x:c>
      <x:c r="W181" s="154" t="str">
        <x:v>{"schema_version":1,"imei":"862323089930710","timestamp":1786017053,"report_sequence":8,"task_version":"rice_tension_soil_demo","sensor_mode":"tension_soil","soil_moisture_percent":36.4,"soil_temperature_c":25.2,"soil_ec_us_cm":906,"soil_ph":6.31,"battery_mv":3992,"csq":19,"soil_rs485_status":"ok","cycle_status":"ok","soil_tension_kpa":-23.4,"soil_tension_rs485_status":"ok"}</x:v>
      </x:c>
    </x:row>
    <x:row r="182">
      <x:c r="A182" s="72" t="n">
        <x:v>46240.827002314814</x:v>
      </x:c>
      <x:c r="B182" s="72" t="n">
        <x:v>46240.8270162037</x:v>
      </x:c>
      <x:c r="C182" s="32" t="str">
        <x:v>P11</x:v>
      </x:c>
      <x:c r="D182" s="32" t="str">
        <x:v>B2-W2-V1</x:v>
      </x:c>
      <x:c r="E182" s="32" t="str">
        <x:v>B2</x:v>
      </x:c>
      <x:c r="F182" s="32" t="str">
        <x:v>W2</x:v>
      </x:c>
      <x:c r="G182" s="32" t="str">
        <x:v>V1</x:v>
      </x:c>
      <x:c r="H182" s="32" t="str">
        <x:v>tension_soil</x:v>
      </x:c>
      <x:c r="I182" s="32" t="str">
        <x:v>862323089930711</x:v>
      </x:c>
      <x:c r="J182" s="82"/>
      <x:c r="K182" s="82" t="n">
        <x:v>-35.8</x:v>
      </x:c>
      <x:c r="L182" s="82" t="n">
        <x:v>37.8</x:v>
      </x:c>
      <x:c r="M182" s="82" t="n">
        <x:v>25.3</x:v>
      </x:c>
      <x:c r="N182" s="86" t="n">
        <x:v>927</x:v>
      </x:c>
      <x:c r="O182" s="90" t="n">
        <x:v>6.36</x:v>
      </x:c>
      <x:c r="P182" s="150" t="n">
        <x:v>4.01</x:v>
      </x:c>
      <x:c r="Q182" s="86" t="n">
        <x:v>20</x:v>
      </x:c>
      <x:c r="R182" s="32"/>
      <x:c r="S182" s="32" t="str">
        <x:v>ok</x:v>
      </x:c>
      <x:c r="T182" s="32" t="str">
        <x:v>ok</x:v>
      </x:c>
      <x:c r="U182" s="32" t="str">
        <x:v>ok</x:v>
      </x:c>
      <x:c r="V182" s="32" t="str">
        <x:v>ok</x:v>
      </x:c>
      <x:c r="W182" s="154" t="str">
        <x:v>{"schema_version":1,"imei":"862323089930711","timestamp":1786017053,"report_sequence":8,"task_version":"rice_tension_soil_demo","sensor_mode":"tension_soil","soil_moisture_percent":37.8,"soil_temperature_c":25.3,"soil_ec_us_cm":927,"soil_ph":6.36,"battery_mv":4010,"csq":20,"soil_rs485_status":"ok","cycle_status":"ok","soil_tension_kpa":-35.8,"soil_tension_rs485_status":"ok"}</x:v>
      </x:c>
    </x:row>
    <x:row r="183">
      <x:c r="A183" s="72" t="n">
        <x:v>46240.827002314814</x:v>
      </x:c>
      <x:c r="B183" s="72" t="n">
        <x:v>46240.8270162037</x:v>
      </x:c>
      <x:c r="C183" s="32" t="str">
        <x:v>P12</x:v>
      </x:c>
      <x:c r="D183" s="32" t="str">
        <x:v>B2-W2-V2</x:v>
      </x:c>
      <x:c r="E183" s="32" t="str">
        <x:v>B2</x:v>
      </x:c>
      <x:c r="F183" s="32" t="str">
        <x:v>W2</x:v>
      </x:c>
      <x:c r="G183" s="32" t="str">
        <x:v>V2</x:v>
      </x:c>
      <x:c r="H183" s="32" t="str">
        <x:v>tension_soil</x:v>
      </x:c>
      <x:c r="I183" s="32" t="str">
        <x:v>862323089930712</x:v>
      </x:c>
      <x:c r="J183" s="82"/>
      <x:c r="K183" s="82" t="n">
        <x:v>-37.3</x:v>
      </x:c>
      <x:c r="L183" s="82" t="n">
        <x:v>39.3</x:v>
      </x:c>
      <x:c r="M183" s="82" t="n">
        <x:v>25.4</x:v>
      </x:c>
      <x:c r="N183" s="86" t="n">
        <x:v>946</x:v>
      </x:c>
      <x:c r="O183" s="90" t="n">
        <x:v>6.42</x:v>
      </x:c>
      <x:c r="P183" s="150" t="n">
        <x:v>3.92</x:v>
      </x:c>
      <x:c r="Q183" s="86" t="n">
        <x:v>21</x:v>
      </x:c>
      <x:c r="R183" s="32"/>
      <x:c r="S183" s="32" t="str">
        <x:v>ok</x:v>
      </x:c>
      <x:c r="T183" s="32" t="str">
        <x:v>ok</x:v>
      </x:c>
      <x:c r="U183" s="32" t="str">
        <x:v>ok</x:v>
      </x:c>
      <x:c r="V183" s="32" t="str">
        <x:v>ok</x:v>
      </x:c>
      <x:c r="W183" s="154" t="str">
        <x:v>{"schema_version":1,"imei":"862323089930712","timestamp":1786017053,"report_sequence":8,"task_version":"rice_tension_soil_demo","sensor_mode":"tension_soil","soil_moisture_percent":39.3,"soil_temperature_c":25.4,"soil_ec_us_cm":946,"soil_ph":6.42,"battery_mv":3920,"csq":21,"soil_rs485_status":"ok","cycle_status":"ok","soil_tension_kpa":-37.3,"soil_tension_rs485_status":"ok"}</x:v>
      </x:c>
    </x:row>
    <x:row r="184">
      <x:c r="A184" s="72" t="n">
        <x:v>46240.827002314814</x:v>
      </x:c>
      <x:c r="B184" s="72" t="n">
        <x:v>46240.8270162037</x:v>
      </x:c>
      <x:c r="C184" s="32" t="str">
        <x:v>P13</x:v>
      </x:c>
      <x:c r="D184" s="32" t="str">
        <x:v>B3-W0-V1</x:v>
      </x:c>
      <x:c r="E184" s="32" t="str">
        <x:v>B3</x:v>
      </x:c>
      <x:c r="F184" s="32" t="str">
        <x:v>W0</x:v>
      </x:c>
      <x:c r="G184" s="32" t="str">
        <x:v>V1</x:v>
      </x:c>
      <x:c r="H184" s="32" t="str">
        <x:v>water_soil</x:v>
      </x:c>
      <x:c r="I184" s="32" t="str">
        <x:v>862323089930713</x:v>
      </x:c>
      <x:c r="J184" s="82" t="n">
        <x:v>35</x:v>
      </x:c>
      <x:c r="K184" s="82"/>
      <x:c r="L184" s="82" t="n">
        <x:v>40.6</x:v>
      </x:c>
      <x:c r="M184" s="82" t="n">
        <x:v>25.5</x:v>
      </x:c>
      <x:c r="N184" s="86" t="n">
        <x:v>964</x:v>
      </x:c>
      <x:c r="O184" s="90" t="n">
        <x:v>6.47</x:v>
      </x:c>
      <x:c r="P184" s="150" t="n">
        <x:v>3.938</x:v>
      </x:c>
      <x:c r="Q184" s="86" t="n">
        <x:v>22</x:v>
      </x:c>
      <x:c r="R184" s="32" t="str">
        <x:v>ok</x:v>
      </x:c>
      <x:c r="S184" s="32"/>
      <x:c r="T184" s="32" t="str">
        <x:v>ok</x:v>
      </x:c>
      <x:c r="U184" s="32" t="str">
        <x:v>ok</x:v>
      </x:c>
      <x:c r="V184" s="32" t="str">
        <x:v>ok</x:v>
      </x:c>
      <x:c r="W184" s="154" t="str">
        <x:v>{"schema_version":1,"imei":"862323089930713","timestamp":1786017053,"report_sequence":8,"task_version":"rice_w0_water_soil_demo","sensor_mode":"water_soil","soil_moisture_percent":40.6,"soil_temperature_c":25.5,"soil_ec_us_cm":964,"soil_ph":6.47,"battery_mv":3938,"csq":22,"soil_rs485_status":"ok","cycle_status":"ok","water_level_mm":35,"water_4_20ma_status":"ok"}</x:v>
      </x:c>
    </x:row>
    <x:row r="185">
      <x:c r="A185" s="72" t="n">
        <x:v>46240.827002314814</x:v>
      </x:c>
      <x:c r="B185" s="72" t="n">
        <x:v>46240.8270162037</x:v>
      </x:c>
      <x:c r="C185" s="32" t="str">
        <x:v>P14</x:v>
      </x:c>
      <x:c r="D185" s="32" t="str">
        <x:v>B3-W0-V2</x:v>
      </x:c>
      <x:c r="E185" s="32" t="str">
        <x:v>B3</x:v>
      </x:c>
      <x:c r="F185" s="32" t="str">
        <x:v>W0</x:v>
      </x:c>
      <x:c r="G185" s="32" t="str">
        <x:v>V2</x:v>
      </x:c>
      <x:c r="H185" s="32" t="str">
        <x:v>water_soil</x:v>
      </x:c>
      <x:c r="I185" s="32" t="str">
        <x:v>862323089930714</x:v>
      </x:c>
      <x:c r="J185" s="82" t="n">
        <x:v>38.6</x:v>
      </x:c>
      <x:c r="K185" s="82"/>
      <x:c r="L185" s="82" t="n">
        <x:v>41.9</x:v>
      </x:c>
      <x:c r="M185" s="82" t="n">
        <x:v>25.6</x:v>
      </x:c>
      <x:c r="N185" s="86" t="n">
        <x:v>980</x:v>
      </x:c>
      <x:c r="O185" s="90" t="n">
        <x:v>6.53</x:v>
      </x:c>
      <x:c r="P185" s="150" t="n">
        <x:v>3.956</x:v>
      </x:c>
      <x:c r="Q185" s="86" t="n">
        <x:v>23</x:v>
      </x:c>
      <x:c r="R185" s="32" t="str">
        <x:v>ok</x:v>
      </x:c>
      <x:c r="S185" s="32"/>
      <x:c r="T185" s="32" t="str">
        <x:v>ok</x:v>
      </x:c>
      <x:c r="U185" s="32" t="str">
        <x:v>ok</x:v>
      </x:c>
      <x:c r="V185" s="32" t="str">
        <x:v>ok</x:v>
      </x:c>
      <x:c r="W185" s="154" t="str">
        <x:v>{"schema_version":1,"imei":"862323089930714","timestamp":1786017053,"report_sequence":8,"task_version":"rice_w0_water_soil_demo","sensor_mode":"water_soil","soil_moisture_percent":41.9,"soil_temperature_c":25.6,"soil_ec_us_cm":980,"soil_ph":6.53,"battery_mv":3956,"csq":23,"soil_rs485_status":"ok","cycle_status":"ok","water_level_mm":38.6,"water_4_20ma_status":"ok"}</x:v>
      </x:c>
    </x:row>
    <x:row r="186">
      <x:c r="A186" s="72" t="n">
        <x:v>46240.827002314814</x:v>
      </x:c>
      <x:c r="B186" s="72" t="n">
        <x:v>46240.8270162037</x:v>
      </x:c>
      <x:c r="C186" s="32" t="str">
        <x:v>P15</x:v>
      </x:c>
      <x:c r="D186" s="32" t="str">
        <x:v>B3-W1-V1</x:v>
      </x:c>
      <x:c r="E186" s="32" t="str">
        <x:v>B3</x:v>
      </x:c>
      <x:c r="F186" s="32" t="str">
        <x:v>W1</x:v>
      </x:c>
      <x:c r="G186" s="32" t="str">
        <x:v>V1</x:v>
      </x:c>
      <x:c r="H186" s="32" t="str">
        <x:v>tension_soil</x:v>
      </x:c>
      <x:c r="I186" s="32" t="str">
        <x:v>862323089930715</x:v>
      </x:c>
      <x:c r="J186" s="82"/>
      <x:c r="K186" s="82" t="n">
        <x:v>-25</x:v>
      </x:c>
      <x:c r="L186" s="82" t="n">
        <x:v>43</x:v>
      </x:c>
      <x:c r="M186" s="82" t="n">
        <x:v>25.6</x:v>
      </x:c>
      <x:c r="N186" s="86" t="n">
        <x:v>995</x:v>
      </x:c>
      <x:c r="O186" s="90" t="n">
        <x:v>6.33</x:v>
      </x:c>
      <x:c r="P186" s="150" t="n">
        <x:v>3.974</x:v>
      </x:c>
      <x:c r="Q186" s="86" t="n">
        <x:v>24</x:v>
      </x:c>
      <x:c r="R186" s="32"/>
      <x:c r="S186" s="32" t="str">
        <x:v>ok</x:v>
      </x:c>
      <x:c r="T186" s="32" t="str">
        <x:v>ok</x:v>
      </x:c>
      <x:c r="U186" s="32" t="str">
        <x:v>ok</x:v>
      </x:c>
      <x:c r="V186" s="32" t="str">
        <x:v>ok</x:v>
      </x:c>
      <x:c r="W186" s="154" t="str">
        <x:v>{"schema_version":1,"imei":"862323089930715","timestamp":1786017053,"report_sequence":8,"task_version":"rice_tension_soil_demo","sensor_mode":"tension_soil","soil_moisture_percent":43,"soil_temperature_c":25.6,"soil_ec_us_cm":995,"soil_ph":6.33,"battery_mv":3974,"csq":24,"soil_rs485_status":"ok","cycle_status":"ok","soil_tension_kpa":-25,"soil_tension_rs485_status":"ok"}</x:v>
      </x:c>
    </x:row>
    <x:row r="187">
      <x:c r="A187" s="72" t="n">
        <x:v>46240.827002314814</x:v>
      </x:c>
      <x:c r="B187" s="72" t="n">
        <x:v>46240.8270162037</x:v>
      </x:c>
      <x:c r="C187" s="32" t="str">
        <x:v>P16</x:v>
      </x:c>
      <x:c r="D187" s="32" t="str">
        <x:v>B3-W1-V2</x:v>
      </x:c>
      <x:c r="E187" s="32" t="str">
        <x:v>B3</x:v>
      </x:c>
      <x:c r="F187" s="32" t="str">
        <x:v>W1</x:v>
      </x:c>
      <x:c r="G187" s="32" t="str">
        <x:v>V2</x:v>
      </x:c>
      <x:c r="H187" s="32" t="str">
        <x:v>tension_soil</x:v>
      </x:c>
      <x:c r="I187" s="32" t="str">
        <x:v>862323089930716</x:v>
      </x:c>
      <x:c r="J187" s="82"/>
      <x:c r="K187" s="82" t="n">
        <x:v>-26</x:v>
      </x:c>
      <x:c r="L187" s="82" t="n">
        <x:v>36</x:v>
      </x:c>
      <x:c r="M187" s="82" t="n">
        <x:v>25.6</x:v>
      </x:c>
      <x:c r="N187" s="86" t="n">
        <x:v>1007</x:v>
      </x:c>
      <x:c r="O187" s="90" t="n">
        <x:v>6.38</x:v>
      </x:c>
      <x:c r="P187" s="150" t="n">
        <x:v>3.992</x:v>
      </x:c>
      <x:c r="Q187" s="86" t="n">
        <x:v>17</x:v>
      </x:c>
      <x:c r="R187" s="32"/>
      <x:c r="S187" s="32" t="str">
        <x:v>ok</x:v>
      </x:c>
      <x:c r="T187" s="32" t="str">
        <x:v>ok</x:v>
      </x:c>
      <x:c r="U187" s="32" t="str">
        <x:v>ok</x:v>
      </x:c>
      <x:c r="V187" s="32" t="str">
        <x:v>ok</x:v>
      </x:c>
      <x:c r="W187" s="154" t="str">
        <x:v>{"schema_version":1,"imei":"862323089930716","timestamp":1786017053,"report_sequence":8,"task_version":"rice_tension_soil_demo","sensor_mode":"tension_soil","soil_moisture_percent":36,"soil_temperature_c":25.6,"soil_ec_us_cm":1007,"soil_ph":6.38,"battery_mv":3992,"csq":17,"soil_rs485_status":"ok","cycle_status":"ok","soil_tension_kpa":-26,"soil_tension_rs485_status":"ok"}</x:v>
      </x:c>
    </x:row>
    <x:row r="188">
      <x:c r="A188" s="72" t="n">
        <x:v>46240.827002314814</x:v>
      </x:c>
      <x:c r="B188" s="72" t="n">
        <x:v>46240.8270162037</x:v>
      </x:c>
      <x:c r="C188" s="32" t="str">
        <x:v>P17</x:v>
      </x:c>
      <x:c r="D188" s="32" t="str">
        <x:v>B3-W2-V1</x:v>
      </x:c>
      <x:c r="E188" s="32" t="str">
        <x:v>B3</x:v>
      </x:c>
      <x:c r="F188" s="32" t="str">
        <x:v>W2</x:v>
      </x:c>
      <x:c r="G188" s="32" t="str">
        <x:v>V1</x:v>
      </x:c>
      <x:c r="H188" s="32" t="str">
        <x:v>tension_soil</x:v>
      </x:c>
      <x:c r="I188" s="32" t="str">
        <x:v>862323089930717</x:v>
      </x:c>
      <x:c r="J188" s="82"/>
      <x:c r="K188" s="82" t="n">
        <x:v>-37.9</x:v>
      </x:c>
      <x:c r="L188" s="82" t="n">
        <x:v>36.9</x:v>
      </x:c>
      <x:c r="M188" s="82" t="n">
        <x:v>25.6</x:v>
      </x:c>
      <x:c r="N188" s="86" t="n">
        <x:v>1017</x:v>
      </x:c>
      <x:c r="O188" s="90" t="n">
        <x:v>6.43</x:v>
      </x:c>
      <x:c r="P188" s="150" t="n">
        <x:v>4.01</x:v>
      </x:c>
      <x:c r="Q188" s="86" t="n">
        <x:v>18</x:v>
      </x:c>
      <x:c r="R188" s="32"/>
      <x:c r="S188" s="32" t="str">
        <x:v>ok</x:v>
      </x:c>
      <x:c r="T188" s="32" t="str">
        <x:v>ok</x:v>
      </x:c>
      <x:c r="U188" s="32" t="str">
        <x:v>ok</x:v>
      </x:c>
      <x:c r="V188" s="32" t="str">
        <x:v>ok</x:v>
      </x:c>
      <x:c r="W188" s="154" t="str">
        <x:v>{"schema_version":1,"imei":"862323089930717","timestamp":1786017053,"report_sequence":8,"task_version":"rice_tension_soil_demo","sensor_mode":"tension_soil","soil_moisture_percent":36.9,"soil_temperature_c":25.6,"soil_ec_us_cm":1017,"soil_ph":6.43,"battery_mv":4010,"csq":18,"soil_rs485_status":"ok","cycle_status":"ok","soil_tension_kpa":-37.9,"soil_tension_rs485_status":"ok"}</x:v>
      </x:c>
    </x:row>
    <x:row r="189">
      <x:c r="A189" s="72" t="n">
        <x:v>46240.827002314814</x:v>
      </x:c>
      <x:c r="B189" s="72" t="n">
        <x:v>46240.8270162037</x:v>
      </x:c>
      <x:c r="C189" s="32" t="str">
        <x:v>P18</x:v>
      </x:c>
      <x:c r="D189" s="32" t="str">
        <x:v>B3-W2-V2</x:v>
      </x:c>
      <x:c r="E189" s="32" t="str">
        <x:v>B3</x:v>
      </x:c>
      <x:c r="F189" s="32" t="str">
        <x:v>W2</x:v>
      </x:c>
      <x:c r="G189" s="32" t="str">
        <x:v>V2</x:v>
      </x:c>
      <x:c r="H189" s="32" t="str">
        <x:v>tension_soil</x:v>
      </x:c>
      <x:c r="I189" s="32" t="str">
        <x:v>862323089930718</x:v>
      </x:c>
      <x:c r="J189" s="82"/>
      <x:c r="K189" s="82" t="n">
        <x:v>-38.6</x:v>
      </x:c>
      <x:c r="L189" s="82" t="n">
        <x:v>37.6</x:v>
      </x:c>
      <x:c r="M189" s="82" t="n">
        <x:v>25.5</x:v>
      </x:c>
      <x:c r="N189" s="86" t="n">
        <x:v>1025</x:v>
      </x:c>
      <x:c r="O189" s="90" t="n">
        <x:v>6.47</x:v>
      </x:c>
      <x:c r="P189" s="150" t="n">
        <x:v>3.92</x:v>
      </x:c>
      <x:c r="Q189" s="86" t="n">
        <x:v>19</x:v>
      </x:c>
      <x:c r="R189" s="32"/>
      <x:c r="S189" s="32" t="str">
        <x:v>ok</x:v>
      </x:c>
      <x:c r="T189" s="32" t="str">
        <x:v>ok</x:v>
      </x:c>
      <x:c r="U189" s="32" t="str">
        <x:v>ok</x:v>
      </x:c>
      <x:c r="V189" s="32" t="str">
        <x:v>ok</x:v>
      </x:c>
      <x:c r="W189" s="154" t="str">
        <x:v>{"schema_version":1,"imei":"862323089930718","timestamp":1786017053,"report_sequence":8,"task_version":"rice_tension_soil_demo","sensor_mode":"tension_soil","soil_moisture_percent":37.6,"soil_temperature_c":25.5,"soil_ec_us_cm":1025,"soil_ph":6.47,"battery_mv":3920,"csq":19,"soil_rs485_status":"ok","cycle_status":"ok","soil_tension_kpa":-38.6,"soil_tension_rs485_status":"ok"}</x:v>
      </x:c>
    </x:row>
    <x:row r="190">
      <x:c r="A190" s="72" t="n">
        <x:v>46240.827002314814</x:v>
      </x:c>
      <x:c r="B190" s="72" t="n">
        <x:v>46240.8270162037</x:v>
      </x:c>
      <x:c r="C190" s="32" t="str">
        <x:v>P19</x:v>
      </x:c>
      <x:c r="D190" s="32" t="str">
        <x:v>B4-W0-V1</x:v>
      </x:c>
      <x:c r="E190" s="32" t="str">
        <x:v>B4</x:v>
      </x:c>
      <x:c r="F190" s="32" t="str">
        <x:v>W0</x:v>
      </x:c>
      <x:c r="G190" s="32" t="str">
        <x:v>V1</x:v>
      </x:c>
      <x:c r="H190" s="32" t="str">
        <x:v>water_soil</x:v>
      </x:c>
      <x:c r="I190" s="32" t="str">
        <x:v>862323089930719</x:v>
      </x:c>
      <x:c r="J190" s="82" t="n">
        <x:v>40.3</x:v>
      </x:c>
      <x:c r="K190" s="82"/>
      <x:c r="L190" s="82" t="n">
        <x:v>38.3</x:v>
      </x:c>
      <x:c r="M190" s="82" t="n">
        <x:v>25.4</x:v>
      </x:c>
      <x:c r="N190" s="86" t="n">
        <x:v>1031</x:v>
      </x:c>
      <x:c r="O190" s="90" t="n">
        <x:v>6.52</x:v>
      </x:c>
      <x:c r="P190" s="150" t="n">
        <x:v>3.938</x:v>
      </x:c>
      <x:c r="Q190" s="86" t="n">
        <x:v>20</x:v>
      </x:c>
      <x:c r="R190" s="32" t="str">
        <x:v>ok</x:v>
      </x:c>
      <x:c r="S190" s="32"/>
      <x:c r="T190" s="32" t="str">
        <x:v>ok</x:v>
      </x:c>
      <x:c r="U190" s="32" t="str">
        <x:v>ok</x:v>
      </x:c>
      <x:c r="V190" s="32" t="str">
        <x:v>ok</x:v>
      </x:c>
      <x:c r="W190" s="154" t="str">
        <x:v>{"schema_version":1,"imei":"862323089930719","timestamp":1786017053,"report_sequence":8,"task_version":"rice_w0_water_soil_demo","sensor_mode":"water_soil","soil_moisture_percent":38.3,"soil_temperature_c":25.4,"soil_ec_us_cm":1031,"soil_ph":6.52,"battery_mv":3938,"csq":20,"soil_rs485_status":"ok","cycle_status":"ok","water_level_mm":40.3,"water_4_20ma_status":"ok"}</x:v>
      </x:c>
    </x:row>
    <x:row r="191">
      <x:c r="A191" s="72" t="n">
        <x:v>46240.827002314814</x:v>
      </x:c>
      <x:c r="B191" s="72" t="n">
        <x:v>46240.8270162037</x:v>
      </x:c>
      <x:c r="C191" s="32" t="str">
        <x:v>P20</x:v>
      </x:c>
      <x:c r="D191" s="32" t="str">
        <x:v>B4-W0-V2</x:v>
      </x:c>
      <x:c r="E191" s="32" t="str">
        <x:v>B4</x:v>
      </x:c>
      <x:c r="F191" s="32" t="str">
        <x:v>W0</x:v>
      </x:c>
      <x:c r="G191" s="32" t="str">
        <x:v>V2</x:v>
      </x:c>
      <x:c r="H191" s="32" t="str">
        <x:v>water_soil</x:v>
      </x:c>
      <x:c r="I191" s="32" t="str">
        <x:v>862323089930720</x:v>
      </x:c>
      <x:c r="J191" s="82" t="n">
        <x:v>30.2</x:v>
      </x:c>
      <x:c r="K191" s="82"/>
      <x:c r="L191" s="82" t="n">
        <x:v>38.9</x:v>
      </x:c>
      <x:c r="M191" s="82" t="n">
        <x:v>25.3</x:v>
      </x:c>
      <x:c r="N191" s="86" t="n">
        <x:v>1035</x:v>
      </x:c>
      <x:c r="O191" s="90" t="n">
        <x:v>6.31</x:v>
      </x:c>
      <x:c r="P191" s="150" t="n">
        <x:v>3.956</x:v>
      </x:c>
      <x:c r="Q191" s="86" t="n">
        <x:v>21</x:v>
      </x:c>
      <x:c r="R191" s="32" t="str">
        <x:v>ok</x:v>
      </x:c>
      <x:c r="S191" s="32"/>
      <x:c r="T191" s="32" t="str">
        <x:v>ok</x:v>
      </x:c>
      <x:c r="U191" s="32" t="str">
        <x:v>ok</x:v>
      </x:c>
      <x:c r="V191" s="32" t="str">
        <x:v>ok</x:v>
      </x:c>
      <x:c r="W191" s="154" t="str">
        <x:v>{"schema_version":1,"imei":"862323089930720","timestamp":1786017053,"report_sequence":8,"task_version":"rice_w0_water_soil_demo","sensor_mode":"water_soil","soil_moisture_percent":38.9,"soil_temperature_c":25.3,"soil_ec_us_cm":1035,"soil_ph":6.31,"battery_mv":3956,"csq":21,"soil_rs485_status":"ok","cycle_status":"ok","water_level_mm":30.2,"water_4_20ma_status":"ok"}</x:v>
      </x:c>
    </x:row>
    <x:row r="192">
      <x:c r="A192" s="72" t="n">
        <x:v>46240.827002314814</x:v>
      </x:c>
      <x:c r="B192" s="72" t="n">
        <x:v>46240.8270162037</x:v>
      </x:c>
      <x:c r="C192" s="32" t="str">
        <x:v>P21</x:v>
      </x:c>
      <x:c r="D192" s="32" t="str">
        <x:v>B4-W1-V1</x:v>
      </x:c>
      <x:c r="E192" s="32" t="str">
        <x:v>B4</x:v>
      </x:c>
      <x:c r="F192" s="32" t="str">
        <x:v>W1</x:v>
      </x:c>
      <x:c r="G192" s="32" t="str">
        <x:v>V1</x:v>
      </x:c>
      <x:c r="H192" s="32" t="str">
        <x:v>tension_soil</x:v>
      </x:c>
      <x:c r="I192" s="32" t="str">
        <x:v>862323089930721</x:v>
      </x:c>
      <x:c r="J192" s="82"/>
      <x:c r="K192" s="82" t="n">
        <x:v>-24.4</x:v>
      </x:c>
      <x:c r="L192" s="82" t="n">
        <x:v>39.4</x:v>
      </x:c>
      <x:c r="M192" s="82" t="n">
        <x:v>25.2</x:v>
      </x:c>
      <x:c r="N192" s="86" t="n">
        <x:v>1039</x:v>
      </x:c>
      <x:c r="O192" s="90" t="n">
        <x:v>6.36</x:v>
      </x:c>
      <x:c r="P192" s="150" t="n">
        <x:v>3.974</x:v>
      </x:c>
      <x:c r="Q192" s="86" t="n">
        <x:v>22</x:v>
      </x:c>
      <x:c r="R192" s="32"/>
      <x:c r="S192" s="32" t="str">
        <x:v>ok</x:v>
      </x:c>
      <x:c r="T192" s="32" t="str">
        <x:v>ok</x:v>
      </x:c>
      <x:c r="U192" s="32" t="str">
        <x:v>ok</x:v>
      </x:c>
      <x:c r="V192" s="32" t="str">
        <x:v>ok</x:v>
      </x:c>
      <x:c r="W192" s="154" t="str">
        <x:v>{"schema_version":1,"imei":"862323089930721","timestamp":1786017053,"report_sequence":8,"task_version":"rice_tension_soil_demo","sensor_mode":"tension_soil","soil_moisture_percent":39.4,"soil_temperature_c":25.2,"soil_ec_us_cm":1039,"soil_ph":6.36,"battery_mv":3974,"csq":22,"soil_rs485_status":"ok","cycle_status":"ok","soil_tension_kpa":-24.4,"soil_tension_rs485_status":"ok"}</x:v>
      </x:c>
    </x:row>
    <x:row r="193">
      <x:c r="A193" s="72" t="n">
        <x:v>46240.827002314814</x:v>
      </x:c>
      <x:c r="B193" s="72" t="n">
        <x:v>46240.8270162037</x:v>
      </x:c>
      <x:c r="C193" s="32" t="str">
        <x:v>P22</x:v>
      </x:c>
      <x:c r="D193" s="32" t="str">
        <x:v>B4-W1-V2</x:v>
      </x:c>
      <x:c r="E193" s="32" t="str">
        <x:v>B4</x:v>
      </x:c>
      <x:c r="F193" s="32" t="str">
        <x:v>W1</x:v>
      </x:c>
      <x:c r="G193" s="32" t="str">
        <x:v>V2</x:v>
      </x:c>
      <x:c r="H193" s="32" t="str">
        <x:v>tension_soil</x:v>
      </x:c>
      <x:c r="I193" s="32" t="str">
        <x:v>862323089930722</x:v>
      </x:c>
      <x:c r="J193" s="82"/>
      <x:c r="K193" s="82" t="n">
        <x:v>-24.9</x:v>
      </x:c>
      <x:c r="L193" s="82" t="n">
        <x:v>39.9</x:v>
      </x:c>
      <x:c r="M193" s="82" t="n">
        <x:v>25.1</x:v>
      </x:c>
      <x:c r="N193" s="86" t="n">
        <x:v>1043</x:v>
      </x:c>
      <x:c r="O193" s="90" t="n">
        <x:v>6.4</x:v>
      </x:c>
      <x:c r="P193" s="150" t="n">
        <x:v>3.992</x:v>
      </x:c>
      <x:c r="Q193" s="86" t="n">
        <x:v>23</x:v>
      </x:c>
      <x:c r="R193" s="32"/>
      <x:c r="S193" s="32" t="str">
        <x:v>ok</x:v>
      </x:c>
      <x:c r="T193" s="32" t="str">
        <x:v>ok</x:v>
      </x:c>
      <x:c r="U193" s="32" t="str">
        <x:v>ok</x:v>
      </x:c>
      <x:c r="V193" s="32" t="str">
        <x:v>ok</x:v>
      </x:c>
      <x:c r="W193" s="154" t="str">
        <x:v>{"schema_version":1,"imei":"862323089930722","timestamp":1786017053,"report_sequence":8,"task_version":"rice_tension_soil_demo","sensor_mode":"tension_soil","soil_moisture_percent":39.9,"soil_temperature_c":25.1,"soil_ec_us_cm":1043,"soil_ph":6.4,"battery_mv":3992,"csq":23,"soil_rs485_status":"ok","cycle_status":"ok","soil_tension_kpa":-24.9,"soil_tension_rs485_status":"ok"}</x:v>
      </x:c>
    </x:row>
    <x:row r="194">
      <x:c r="A194" s="72" t="n">
        <x:v>46240.827002314814</x:v>
      </x:c>
      <x:c r="B194" s="72" t="n">
        <x:v>46240.8270162037</x:v>
      </x:c>
      <x:c r="C194" s="32" t="str">
        <x:v>P23</x:v>
      </x:c>
      <x:c r="D194" s="32" t="str">
        <x:v>B4-W2-V1</x:v>
      </x:c>
      <x:c r="E194" s="32" t="str">
        <x:v>B4</x:v>
      </x:c>
      <x:c r="F194" s="32" t="str">
        <x:v>W2</x:v>
      </x:c>
      <x:c r="G194" s="32" t="str">
        <x:v>V1</x:v>
      </x:c>
      <x:c r="H194" s="32" t="str">
        <x:v>tension_soil</x:v>
      </x:c>
      <x:c r="I194" s="32" t="str">
        <x:v>862323089930723</x:v>
      </x:c>
      <x:c r="J194" s="82"/>
      <x:c r="K194" s="82" t="n">
        <x:v>-36.4</x:v>
      </x:c>
      <x:c r="L194" s="82" t="n">
        <x:v>40.4</x:v>
      </x:c>
      <x:c r="M194" s="82" t="n">
        <x:v>25</x:v>
      </x:c>
      <x:c r="N194" s="86" t="n">
        <x:v>1046</x:v>
      </x:c>
      <x:c r="O194" s="90" t="n">
        <x:v>6.44</x:v>
      </x:c>
      <x:c r="P194" s="150" t="n">
        <x:v>4.01</x:v>
      </x:c>
      <x:c r="Q194" s="86" t="n">
        <x:v>24</x:v>
      </x:c>
      <x:c r="R194" s="32"/>
      <x:c r="S194" s="32" t="str">
        <x:v>ok</x:v>
      </x:c>
      <x:c r="T194" s="32" t="str">
        <x:v>ok</x:v>
      </x:c>
      <x:c r="U194" s="32" t="str">
        <x:v>ok</x:v>
      </x:c>
      <x:c r="V194" s="32" t="str">
        <x:v>ok</x:v>
      </x:c>
      <x:c r="W194" s="154" t="str">
        <x:v>{"schema_version":1,"imei":"862323089930723","timestamp":1786017053,"report_sequence":8,"task_version":"rice_tension_soil_demo","sensor_mode":"tension_soil","soil_moisture_percent":40.4,"soil_temperature_c":25,"soil_ec_us_cm":1046,"soil_ph":6.44,"battery_mv":4010,"csq":24,"soil_rs485_status":"ok","cycle_status":"ok","soil_tension_kpa":-36.4,"soil_tension_rs485_status":"ok"}</x:v>
      </x:c>
    </x:row>
    <x:row r="195">
      <x:c r="A195" s="72" t="n">
        <x:v>46240.827002314814</x:v>
      </x:c>
      <x:c r="B195" s="72" t="n">
        <x:v>46240.8270162037</x:v>
      </x:c>
      <x:c r="C195" s="32" t="str">
        <x:v>P24</x:v>
      </x:c>
      <x:c r="D195" s="32" t="str">
        <x:v>B4-W2-V2</x:v>
      </x:c>
      <x:c r="E195" s="32" t="str">
        <x:v>B4</x:v>
      </x:c>
      <x:c r="F195" s="32" t="str">
        <x:v>W2</x:v>
      </x:c>
      <x:c r="G195" s="32" t="str">
        <x:v>V2</x:v>
      </x:c>
      <x:c r="H195" s="32" t="str">
        <x:v>tension_soil</x:v>
      </x:c>
      <x:c r="I195" s="32" t="str">
        <x:v>862323089930724</x:v>
      </x:c>
      <x:c r="J195" s="82"/>
      <x:c r="K195" s="82" t="n">
        <x:v>-37</x:v>
      </x:c>
      <x:c r="L195" s="82" t="n">
        <x:v>33</x:v>
      </x:c>
      <x:c r="M195" s="82" t="n">
        <x:v>24.8</x:v>
      </x:c>
      <x:c r="N195" s="86" t="n">
        <x:v>1050</x:v>
      </x:c>
      <x:c r="O195" s="90" t="n">
        <x:v>6.48</x:v>
      </x:c>
      <x:c r="P195" s="150" t="n">
        <x:v>3.92</x:v>
      </x:c>
      <x:c r="Q195" s="86" t="n">
        <x:v>17</x:v>
      </x:c>
      <x:c r="R195" s="32"/>
      <x:c r="S195" s="32" t="str">
        <x:v>ok</x:v>
      </x:c>
      <x:c r="T195" s="32" t="str">
        <x:v>ok</x:v>
      </x:c>
      <x:c r="U195" s="32" t="str">
        <x:v>ok</x:v>
      </x:c>
      <x:c r="V195" s="32" t="str">
        <x:v>ok</x:v>
      </x:c>
      <x:c r="W195" s="154" t="str">
        <x:v>{"schema_version":1,"imei":"862323089930724","timestamp":1786017053,"report_sequence":8,"task_version":"rice_tension_soil_demo","sensor_mode":"tension_soil","soil_moisture_percent":33,"soil_temperature_c":24.8,"soil_ec_us_cm":1050,"soil_ph":6.48,"battery_mv":3920,"csq":17,"soil_rs485_status":"ok","cycle_status":"ok","soil_tension_kpa":-37,"soil_tension_rs485_status":"ok"}</x:v>
      </x:c>
    </x:row>
    <x:row r="196">
      <x:c r="A196" s="72" t="n">
        <x:v>46240.83047453704</x:v>
      </x:c>
      <x:c r="B196" s="72" t="n">
        <x:v>46240.83048842593</x:v>
      </x:c>
      <x:c r="C196" s="32" t="str">
        <x:v>P01</x:v>
      </x:c>
      <x:c r="D196" s="32" t="str">
        <x:v>B1-W0-V1</x:v>
      </x:c>
      <x:c r="E196" s="32" t="str">
        <x:v>B1</x:v>
      </x:c>
      <x:c r="F196" s="32" t="str">
        <x:v>W0</x:v>
      </x:c>
      <x:c r="G196" s="32" t="str">
        <x:v>V1</x:v>
      </x:c>
      <x:c r="H196" s="32" t="str">
        <x:v>water_soil</x:v>
      </x:c>
      <x:c r="I196" s="32" t="str">
        <x:v>862323089930701</x:v>
      </x:c>
      <x:c r="J196" s="82" t="n">
        <x:v>27.3</x:v>
      </x:c>
      <x:c r="K196" s="82"/>
      <x:c r="L196" s="82" t="n">
        <x:v>33.5</x:v>
      </x:c>
      <x:c r="M196" s="82" t="n">
        <x:v>24.7</x:v>
      </x:c>
      <x:c r="N196" s="86" t="n">
        <x:v>766</x:v>
      </x:c>
      <x:c r="O196" s="90" t="n">
        <x:v>6.33</x:v>
      </x:c>
      <x:c r="P196" s="150" t="n">
        <x:v>3.938</x:v>
      </x:c>
      <x:c r="Q196" s="86" t="n">
        <x:v>18</x:v>
      </x:c>
      <x:c r="R196" s="32" t="str">
        <x:v>ok</x:v>
      </x:c>
      <x:c r="S196" s="32"/>
      <x:c r="T196" s="32" t="str">
        <x:v>ok</x:v>
      </x:c>
      <x:c r="U196" s="32" t="str">
        <x:v>ok</x:v>
      </x:c>
      <x:c r="V196" s="32" t="str">
        <x:v>ok</x:v>
      </x:c>
      <x:c r="W196" s="154" t="str">
        <x:v>{"schema_version":1,"imei":"862323089930701","timestamp":1786017353,"report_sequence":9,"task_version":"rice_w0_water_soil_demo","sensor_mode":"water_soil","soil_moisture_percent":33.5,"soil_temperature_c":24.7,"soil_ec_us_cm":766,"soil_ph":6.33,"battery_mv":3938,"csq":18,"soil_rs485_status":"ok","cycle_status":"ok","water_level_mm":27.3,"water_4_20ma_status":"ok"}</x:v>
      </x:c>
    </x:row>
    <x:row r="197">
      <x:c r="A197" s="72" t="n">
        <x:v>46240.83047453704</x:v>
      </x:c>
      <x:c r="B197" s="72" t="n">
        <x:v>46240.83048842593</x:v>
      </x:c>
      <x:c r="C197" s="32" t="str">
        <x:v>P02</x:v>
      </x:c>
      <x:c r="D197" s="32" t="str">
        <x:v>B1-W0-V2</x:v>
      </x:c>
      <x:c r="E197" s="32" t="str">
        <x:v>B1</x:v>
      </x:c>
      <x:c r="F197" s="32" t="str">
        <x:v>W0</x:v>
      </x:c>
      <x:c r="G197" s="32" t="str">
        <x:v>V2</x:v>
      </x:c>
      <x:c r="H197" s="32" t="str">
        <x:v>water_soil</x:v>
      </x:c>
      <x:c r="I197" s="32" t="str">
        <x:v>862323089930702</x:v>
      </x:c>
      <x:c r="J197" s="82" t="n">
        <x:v>29.6</x:v>
      </x:c>
      <x:c r="K197" s="82"/>
      <x:c r="L197" s="82" t="n">
        <x:v>34.2</x:v>
      </x:c>
      <x:c r="M197" s="82" t="n">
        <x:v>24.7</x:v>
      </x:c>
      <x:c r="N197" s="86" t="n">
        <x:v>773</x:v>
      </x:c>
      <x:c r="O197" s="90" t="n">
        <x:v>6.37</x:v>
      </x:c>
      <x:c r="P197" s="150" t="n">
        <x:v>3.956</x:v>
      </x:c>
      <x:c r="Q197" s="86" t="n">
        <x:v>19</x:v>
      </x:c>
      <x:c r="R197" s="32" t="str">
        <x:v>ok</x:v>
      </x:c>
      <x:c r="S197" s="32"/>
      <x:c r="T197" s="32" t="str">
        <x:v>ok</x:v>
      </x:c>
      <x:c r="U197" s="32" t="str">
        <x:v>ok</x:v>
      </x:c>
      <x:c r="V197" s="32" t="str">
        <x:v>ok</x:v>
      </x:c>
      <x:c r="W197" s="154" t="str">
        <x:v>{"schema_version":1,"imei":"862323089930702","timestamp":1786017353,"report_sequence":9,"task_version":"rice_w0_water_soil_demo","sensor_mode":"water_soil","soil_moisture_percent":34.2,"soil_temperature_c":24.7,"soil_ec_us_cm":773,"soil_ph":6.37,"battery_mv":3956,"csq":19,"soil_rs485_status":"ok","cycle_status":"ok","water_level_mm":29.6,"water_4_20ma_status":"ok"}</x:v>
      </x:c>
    </x:row>
    <x:row r="198">
      <x:c r="A198" s="72" t="n">
        <x:v>46240.83047453704</x:v>
      </x:c>
      <x:c r="B198" s="72" t="n">
        <x:v>46240.83048842593</x:v>
      </x:c>
      <x:c r="C198" s="32" t="str">
        <x:v>P03</x:v>
      </x:c>
      <x:c r="D198" s="32" t="str">
        <x:v>B1-W1-V1</x:v>
      </x:c>
      <x:c r="E198" s="32" t="str">
        <x:v>B1</x:v>
      </x:c>
      <x:c r="F198" s="32" t="str">
        <x:v>W1</x:v>
      </x:c>
      <x:c r="G198" s="32" t="str">
        <x:v>V1</x:v>
      </x:c>
      <x:c r="H198" s="32" t="str">
        <x:v>tension_soil</x:v>
      </x:c>
      <x:c r="I198" s="32" t="str">
        <x:v>862323089930703</x:v>
      </x:c>
      <x:c r="J198" s="82"/>
      <x:c r="K198" s="82" t="n">
        <x:v>-24.1</x:v>
      </x:c>
      <x:c r="L198" s="82" t="n">
        <x:v>35.1</x:v>
      </x:c>
      <x:c r="M198" s="82" t="n">
        <x:v>24.6</x:v>
      </x:c>
      <x:c r="N198" s="86" t="n">
        <x:v>782</x:v>
      </x:c>
      <x:c r="O198" s="90" t="n">
        <x:v>6.42</x:v>
      </x:c>
      <x:c r="P198" s="150" t="n">
        <x:v>3.974</x:v>
      </x:c>
      <x:c r="Q198" s="86" t="n">
        <x:v>20</x:v>
      </x:c>
      <x:c r="R198" s="32"/>
      <x:c r="S198" s="32" t="str">
        <x:v>ok</x:v>
      </x:c>
      <x:c r="T198" s="32" t="str">
        <x:v>ok</x:v>
      </x:c>
      <x:c r="U198" s="32" t="str">
        <x:v>ok</x:v>
      </x:c>
      <x:c r="V198" s="32" t="str">
        <x:v>ok</x:v>
      </x:c>
      <x:c r="W198" s="154" t="str">
        <x:v>{"schema_version":1,"imei":"862323089930703","timestamp":1786017353,"report_sequence":9,"task_version":"rice_tension_soil_demo","sensor_mode":"tension_soil","soil_moisture_percent":35.1,"soil_temperature_c":24.6,"soil_ec_us_cm":782,"soil_ph":6.42,"battery_mv":3974,"csq":20,"soil_rs485_status":"ok","cycle_status":"ok","soil_tension_kpa":-24.1,"soil_tension_rs485_status":"ok"}</x:v>
      </x:c>
    </x:row>
    <x:row r="199">
      <x:c r="A199" s="72" t="n">
        <x:v>46240.83047453704</x:v>
      </x:c>
      <x:c r="B199" s="72" t="n">
        <x:v>46240.83048842593</x:v>
      </x:c>
      <x:c r="C199" s="32" t="str">
        <x:v>P04</x:v>
      </x:c>
      <x:c r="D199" s="32" t="str">
        <x:v>B1-W1-V2</x:v>
      </x:c>
      <x:c r="E199" s="32" t="str">
        <x:v>B1</x:v>
      </x:c>
      <x:c r="F199" s="32" t="str">
        <x:v>W1</x:v>
      </x:c>
      <x:c r="G199" s="32" t="str">
        <x:v>V2</x:v>
      </x:c>
      <x:c r="H199" s="32" t="str">
        <x:v>tension_soil</x:v>
      </x:c>
      <x:c r="I199" s="32" t="str">
        <x:v>862323089930704</x:v>
      </x:c>
      <x:c r="J199" s="82"/>
      <x:c r="K199" s="82" t="n">
        <x:v>-25</x:v>
      </x:c>
      <x:c r="L199" s="82" t="n">
        <x:v>36</x:v>
      </x:c>
      <x:c r="M199" s="82" t="n">
        <x:v>24.6</x:v>
      </x:c>
      <x:c r="N199" s="86" t="n">
        <x:v>793</x:v>
      </x:c>
      <x:c r="O199" s="90" t="n">
        <x:v>6.47</x:v>
      </x:c>
      <x:c r="P199" s="150" t="n">
        <x:v>3.992</x:v>
      </x:c>
      <x:c r="Q199" s="86" t="n">
        <x:v>21</x:v>
      </x:c>
      <x:c r="R199" s="32"/>
      <x:c r="S199" s="32" t="str">
        <x:v>ok</x:v>
      </x:c>
      <x:c r="T199" s="32" t="str">
        <x:v>ok</x:v>
      </x:c>
      <x:c r="U199" s="32" t="str">
        <x:v>ok</x:v>
      </x:c>
      <x:c r="V199" s="32" t="str">
        <x:v>ok</x:v>
      </x:c>
      <x:c r="W199" s="154" t="str">
        <x:v>{"schema_version":1,"imei":"862323089930704","timestamp":1786017353,"report_sequence":9,"task_version":"rice_tension_soil_demo","sensor_mode":"tension_soil","soil_moisture_percent":36,"soil_temperature_c":24.6,"soil_ec_us_cm":793,"soil_ph":6.47,"battery_mv":3992,"csq":21,"soil_rs485_status":"ok","cycle_status":"ok","soil_tension_kpa":-25,"soil_tension_rs485_status":"ok"}</x:v>
      </x:c>
    </x:row>
    <x:row r="200">
      <x:c r="A200" s="72" t="n">
        <x:v>46240.83047453704</x:v>
      </x:c>
      <x:c r="B200" s="72" t="n">
        <x:v>46240.83048842593</x:v>
      </x:c>
      <x:c r="C200" s="32" t="str">
        <x:v>P05</x:v>
      </x:c>
      <x:c r="D200" s="32" t="str">
        <x:v>B1-W2-V1</x:v>
      </x:c>
      <x:c r="E200" s="32" t="str">
        <x:v>B1</x:v>
      </x:c>
      <x:c r="F200" s="32" t="str">
        <x:v>W2</x:v>
      </x:c>
      <x:c r="G200" s="32" t="str">
        <x:v>V1</x:v>
      </x:c>
      <x:c r="H200" s="32" t="str">
        <x:v>tension_soil</x:v>
      </x:c>
      <x:c r="I200" s="32" t="str">
        <x:v>862323089930705</x:v>
      </x:c>
      <x:c r="J200" s="82"/>
      <x:c r="K200" s="82" t="n">
        <x:v>-32.1</x:v>
      </x:c>
      <x:c r="L200" s="82" t="n">
        <x:v>37.1</x:v>
      </x:c>
      <x:c r="M200" s="82" t="n">
        <x:v>24.6</x:v>
      </x:c>
      <x:c r="N200" s="86" t="n">
        <x:v>806</x:v>
      </x:c>
      <x:c r="O200" s="90" t="n">
        <x:v>6.27</x:v>
      </x:c>
      <x:c r="P200" s="150" t="n">
        <x:v>4.01</x:v>
      </x:c>
      <x:c r="Q200" s="86" t="n">
        <x:v>22</x:v>
      </x:c>
      <x:c r="R200" s="32"/>
      <x:c r="S200" s="32" t="str">
        <x:v>ok</x:v>
      </x:c>
      <x:c r="T200" s="32" t="str">
        <x:v>ok</x:v>
      </x:c>
      <x:c r="U200" s="32" t="str">
        <x:v>ok</x:v>
      </x:c>
      <x:c r="V200" s="32" t="str">
        <x:v>ok</x:v>
      </x:c>
      <x:c r="W200" s="154" t="str">
        <x:v>{"schema_version":1,"imei":"862323089930705","timestamp":1786017353,"report_sequence":9,"task_version":"rice_tension_soil_demo","sensor_mode":"tension_soil","soil_moisture_percent":37.1,"soil_temperature_c":24.6,"soil_ec_us_cm":806,"soil_ph":6.27,"battery_mv":4010,"csq":22,"soil_rs485_status":"ok","cycle_status":"ok","soil_tension_kpa":-32.1,"soil_tension_rs485_status":"ok"}</x:v>
      </x:c>
    </x:row>
    <x:row r="201">
      <x:c r="A201" s="72" t="n">
        <x:v>46240.83047453704</x:v>
      </x:c>
      <x:c r="B201" s="72" t="n">
        <x:v>46240.83048842593</x:v>
      </x:c>
      <x:c r="C201" s="32" t="str">
        <x:v>P06</x:v>
      </x:c>
      <x:c r="D201" s="32" t="str">
        <x:v>B1-W2-V2</x:v>
      </x:c>
      <x:c r="E201" s="32" t="str">
        <x:v>B1</x:v>
      </x:c>
      <x:c r="F201" s="32" t="str">
        <x:v>W2</x:v>
      </x:c>
      <x:c r="G201" s="32" t="str">
        <x:v>V2</x:v>
      </x:c>
      <x:c r="H201" s="32" t="str">
        <x:v>tension_soil</x:v>
      </x:c>
      <x:c r="I201" s="32" t="str">
        <x:v>862323089930706</x:v>
      </x:c>
      <x:c r="J201" s="82"/>
      <x:c r="K201" s="82" t="n">
        <x:v>-33.2</x:v>
      </x:c>
      <x:c r="L201" s="82" t="n">
        <x:v>38.2</x:v>
      </x:c>
      <x:c r="M201" s="82" t="n">
        <x:v>24.7</x:v>
      </x:c>
      <x:c r="N201" s="86" t="n">
        <x:v>821</x:v>
      </x:c>
      <x:c r="O201" s="90" t="n">
        <x:v>6.32</x:v>
      </x:c>
      <x:c r="P201" s="150" t="n">
        <x:v>3.92</x:v>
      </x:c>
      <x:c r="Q201" s="86" t="n">
        <x:v>23</x:v>
      </x:c>
      <x:c r="R201" s="32"/>
      <x:c r="S201" s="32" t="str">
        <x:v>ok</x:v>
      </x:c>
      <x:c r="T201" s="32" t="str">
        <x:v>ok</x:v>
      </x:c>
      <x:c r="U201" s="32" t="str">
        <x:v>ok</x:v>
      </x:c>
      <x:c r="V201" s="32" t="str">
        <x:v>ok</x:v>
      </x:c>
      <x:c r="W201" s="154" t="str">
        <x:v>{"schema_version":1,"imei":"862323089930706","timestamp":1786017353,"report_sequence":9,"task_version":"rice_tension_soil_demo","sensor_mode":"tension_soil","soil_moisture_percent":38.2,"soil_temperature_c":24.7,"soil_ec_us_cm":821,"soil_ph":6.32,"battery_mv":3920,"csq":23,"soil_rs485_status":"ok","cycle_status":"ok","soil_tension_kpa":-33.2,"soil_tension_rs485_status":"ok"}</x:v>
      </x:c>
    </x:row>
    <x:row r="202">
      <x:c r="A202" s="72" t="n">
        <x:v>46240.83047453704</x:v>
      </x:c>
      <x:c r="B202" s="72" t="n">
        <x:v>46240.83048842593</x:v>
      </x:c>
      <x:c r="C202" s="32" t="str">
        <x:v>P07</x:v>
      </x:c>
      <x:c r="D202" s="32" t="str">
        <x:v>B2-W0-V1</x:v>
      </x:c>
      <x:c r="E202" s="32" t="str">
        <x:v>B2</x:v>
      </x:c>
      <x:c r="F202" s="32" t="str">
        <x:v>W0</x:v>
      </x:c>
      <x:c r="G202" s="32" t="str">
        <x:v>V1</x:v>
      </x:c>
      <x:c r="H202" s="32" t="str">
        <x:v>water_soil</x:v>
      </x:c>
      <x:c r="I202" s="32" t="str">
        <x:v>862323089930707</x:v>
      </x:c>
      <x:c r="J202" s="82" t="n">
        <x:v>33.4</x:v>
      </x:c>
      <x:c r="K202" s="82"/>
      <x:c r="L202" s="82" t="n">
        <x:v>39.5</x:v>
      </x:c>
      <x:c r="M202" s="82" t="n">
        <x:v>24.7</x:v>
      </x:c>
      <x:c r="N202" s="86" t="n">
        <x:v>838</x:v>
      </x:c>
      <x:c r="O202" s="90" t="n">
        <x:v>6.38</x:v>
      </x:c>
      <x:c r="P202" s="150" t="n">
        <x:v>3.938</x:v>
      </x:c>
      <x:c r="Q202" s="86" t="n">
        <x:v>24</x:v>
      </x:c>
      <x:c r="R202" s="32" t="str">
        <x:v>ok</x:v>
      </x:c>
      <x:c r="S202" s="32"/>
      <x:c r="T202" s="32" t="str">
        <x:v>ok</x:v>
      </x:c>
      <x:c r="U202" s="32" t="str">
        <x:v>ok</x:v>
      </x:c>
      <x:c r="V202" s="32" t="str">
        <x:v>ok</x:v>
      </x:c>
      <x:c r="W202" s="154" t="str">
        <x:v>{"schema_version":1,"imei":"862323089930707","timestamp":1786017353,"report_sequence":9,"task_version":"rice_w0_water_soil_demo","sensor_mode":"water_soil","soil_moisture_percent":39.5,"soil_temperature_c":24.7,"soil_ec_us_cm":838,"soil_ph":6.38,"battery_mv":3938,"csq":24,"soil_rs485_status":"ok","cycle_status":"ok","water_level_mm":33.4,"water_4_20ma_status":"ok"}</x:v>
      </x:c>
    </x:row>
    <x:row r="203">
      <x:c r="A203" s="72" t="n">
        <x:v>46240.83047453704</x:v>
      </x:c>
      <x:c r="B203" s="72" t="n">
        <x:v>46240.83048842593</x:v>
      </x:c>
      <x:c r="C203" s="32" t="str">
        <x:v>P08</x:v>
      </x:c>
      <x:c r="D203" s="32" t="str">
        <x:v>B2-W0-V2</x:v>
      </x:c>
      <x:c r="E203" s="32" t="str">
        <x:v>B2</x:v>
      </x:c>
      <x:c r="F203" s="32" t="str">
        <x:v>W0</x:v>
      </x:c>
      <x:c r="G203" s="32" t="str">
        <x:v>V2</x:v>
      </x:c>
      <x:c r="H203" s="32" t="str">
        <x:v>water_soil</x:v>
      </x:c>
      <x:c r="I203" s="32" t="str">
        <x:v>862323089930708</x:v>
      </x:c>
      <x:c r="J203" s="82" t="n">
        <x:v>25.3</x:v>
      </x:c>
      <x:c r="K203" s="82"/>
      <x:c r="L203" s="82" t="n">
        <x:v>32.9</x:v>
      </x:c>
      <x:c r="M203" s="82" t="n">
        <x:v>24.8</x:v>
      </x:c>
      <x:c r="N203" s="86" t="n">
        <x:v>857</x:v>
      </x:c>
      <x:c r="O203" s="90" t="n">
        <x:v>6.43</x:v>
      </x:c>
      <x:c r="P203" s="150" t="n">
        <x:v>3.956</x:v>
      </x:c>
      <x:c r="Q203" s="86" t="n">
        <x:v>17</x:v>
      </x:c>
      <x:c r="R203" s="32" t="str">
        <x:v>ok</x:v>
      </x:c>
      <x:c r="S203" s="32"/>
      <x:c r="T203" s="32" t="str">
        <x:v>ok</x:v>
      </x:c>
      <x:c r="U203" s="32" t="str">
        <x:v>ok</x:v>
      </x:c>
      <x:c r="V203" s="32" t="str">
        <x:v>ok</x:v>
      </x:c>
      <x:c r="W203" s="154" t="str">
        <x:v>{"schema_version":1,"imei":"862323089930708","timestamp":1786017353,"report_sequence":9,"task_version":"rice_w0_water_soil_demo","sensor_mode":"water_soil","soil_moisture_percent":32.9,"soil_temperature_c":24.8,"soil_ec_us_cm":857,"soil_ph":6.43,"battery_mv":3956,"csq":17,"soil_rs485_status":"ok","cycle_status":"ok","water_level_mm":25.3,"water_4_20ma_status":"ok"}</x:v>
      </x:c>
    </x:row>
    <x:row r="204">
      <x:c r="A204" s="72" t="n">
        <x:v>46240.83047453704</x:v>
      </x:c>
      <x:c r="B204" s="72" t="n">
        <x:v>46240.83048842593</x:v>
      </x:c>
      <x:c r="C204" s="32" t="str">
        <x:v>P09</x:v>
      </x:c>
      <x:c r="D204" s="32" t="str">
        <x:v>B2-W1-V1</x:v>
      </x:c>
      <x:c r="E204" s="32" t="str">
        <x:v>B2</x:v>
      </x:c>
      <x:c r="F204" s="32" t="str">
        <x:v>W1</x:v>
      </x:c>
      <x:c r="G204" s="32" t="str">
        <x:v>V1</x:v>
      </x:c>
      <x:c r="H204" s="32" t="str">
        <x:v>tension_soil</x:v>
      </x:c>
      <x:c r="I204" s="32" t="str">
        <x:v>862323089930709</x:v>
      </x:c>
      <x:c r="J204" s="82"/>
      <x:c r="K204" s="82" t="n">
        <x:v>-26.4</x:v>
      </x:c>
      <x:c r="L204" s="82" t="n">
        <x:v>34.4</x:v>
      </x:c>
      <x:c r="M204" s="82" t="n">
        <x:v>24.9</x:v>
      </x:c>
      <x:c r="N204" s="86" t="n">
        <x:v>877</x:v>
      </x:c>
      <x:c r="O204" s="90" t="n">
        <x:v>6.49</x:v>
      </x:c>
      <x:c r="P204" s="150" t="n">
        <x:v>3.974</x:v>
      </x:c>
      <x:c r="Q204" s="86" t="n">
        <x:v>18</x:v>
      </x:c>
      <x:c r="R204" s="32"/>
      <x:c r="S204" s="32" t="str">
        <x:v>ok</x:v>
      </x:c>
      <x:c r="T204" s="32" t="str">
        <x:v>ok</x:v>
      </x:c>
      <x:c r="U204" s="32" t="str">
        <x:v>ok</x:v>
      </x:c>
      <x:c r="V204" s="32" t="str">
        <x:v>ok</x:v>
      </x:c>
      <x:c r="W204" s="154" t="str">
        <x:v>{"schema_version":1,"imei":"862323089930709","timestamp":1786017353,"report_sequence":9,"task_version":"rice_tension_soil_demo","sensor_mode":"tension_soil","soil_moisture_percent":34.4,"soil_temperature_c":24.9,"soil_ec_us_cm":877,"soil_ph":6.49,"battery_mv":3974,"csq":18,"soil_rs485_status":"ok","cycle_status":"ok","soil_tension_kpa":-26.4,"soil_tension_rs485_status":"ok"}</x:v>
      </x:c>
    </x:row>
    <x:row r="205">
      <x:c r="A205" s="72" t="n">
        <x:v>46240.83047453704</x:v>
      </x:c>
      <x:c r="B205" s="72" t="n">
        <x:v>46240.83048842593</x:v>
      </x:c>
      <x:c r="C205" s="32" t="str">
        <x:v>P10</x:v>
      </x:c>
      <x:c r="D205" s="32" t="str">
        <x:v>B2-W1-V2</x:v>
      </x:c>
      <x:c r="E205" s="32" t="str">
        <x:v>B2</x:v>
      </x:c>
      <x:c r="F205" s="32" t="str">
        <x:v>W1</x:v>
      </x:c>
      <x:c r="G205" s="32" t="str">
        <x:v>V2</x:v>
      </x:c>
      <x:c r="H205" s="32" t="str">
        <x:v>tension_soil</x:v>
      </x:c>
      <x:c r="I205" s="32" t="str">
        <x:v>862323089930710</x:v>
      </x:c>
      <x:c r="J205" s="82"/>
      <x:c r="K205" s="82" t="n">
        <x:v>-22.9</x:v>
      </x:c>
      <x:c r="L205" s="82" t="n">
        <x:v>35.9</x:v>
      </x:c>
      <x:c r="M205" s="82" t="n">
        <x:v>25.1</x:v>
      </x:c>
      <x:c r="N205" s="86" t="n">
        <x:v>898</x:v>
      </x:c>
      <x:c r="O205" s="90" t="n">
        <x:v>6.3</x:v>
      </x:c>
      <x:c r="P205" s="150" t="n">
        <x:v>3.992</x:v>
      </x:c>
      <x:c r="Q205" s="86" t="n">
        <x:v>19</x:v>
      </x:c>
      <x:c r="R205" s="32"/>
      <x:c r="S205" s="32" t="str">
        <x:v>ok</x:v>
      </x:c>
      <x:c r="T205" s="32" t="str">
        <x:v>ok</x:v>
      </x:c>
      <x:c r="U205" s="32" t="str">
        <x:v>ok</x:v>
      </x:c>
      <x:c r="V205" s="32" t="str">
        <x:v>ok</x:v>
      </x:c>
      <x:c r="W205" s="154" t="str">
        <x:v>{"schema_version":1,"imei":"862323089930710","timestamp":1786017353,"report_sequence":9,"task_version":"rice_tension_soil_demo","sensor_mode":"tension_soil","soil_moisture_percent":35.9,"soil_temperature_c":25.1,"soil_ec_us_cm":898,"soil_ph":6.3,"battery_mv":3992,"csq":19,"soil_rs485_status":"ok","cycle_status":"ok","soil_tension_kpa":-22.9,"soil_tension_rs485_status":"ok"}</x:v>
      </x:c>
    </x:row>
    <x:row r="206">
      <x:c r="A206" s="72" t="n">
        <x:v>46240.83047453704</x:v>
      </x:c>
      <x:c r="B206" s="72" t="n">
        <x:v>46240.83048842593</x:v>
      </x:c>
      <x:c r="C206" s="32" t="str">
        <x:v>P11</x:v>
      </x:c>
      <x:c r="D206" s="32" t="str">
        <x:v>B2-W2-V1</x:v>
      </x:c>
      <x:c r="E206" s="32" t="str">
        <x:v>B2</x:v>
      </x:c>
      <x:c r="F206" s="32" t="str">
        <x:v>W2</x:v>
      </x:c>
      <x:c r="G206" s="32" t="str">
        <x:v>V1</x:v>
      </x:c>
      <x:c r="H206" s="32" t="str">
        <x:v>tension_soil</x:v>
      </x:c>
      <x:c r="I206" s="32" t="str">
        <x:v>862323089930711</x:v>
      </x:c>
      <x:c r="J206" s="82"/>
      <x:c r="K206" s="82" t="n">
        <x:v>-35.4</x:v>
      </x:c>
      <x:c r="L206" s="82" t="n">
        <x:v>37.4</x:v>
      </x:c>
      <x:c r="M206" s="82" t="n">
        <x:v>25.2</x:v>
      </x:c>
      <x:c r="N206" s="86" t="n">
        <x:v>918</x:v>
      </x:c>
      <x:c r="O206" s="90" t="n">
        <x:v>6.36</x:v>
      </x:c>
      <x:c r="P206" s="150" t="n">
        <x:v>4.01</x:v>
      </x:c>
      <x:c r="Q206" s="86" t="n">
        <x:v>20</x:v>
      </x:c>
      <x:c r="R206" s="32"/>
      <x:c r="S206" s="32" t="str">
        <x:v>ok</x:v>
      </x:c>
      <x:c r="T206" s="32" t="str">
        <x:v>ok</x:v>
      </x:c>
      <x:c r="U206" s="32" t="str">
        <x:v>ok</x:v>
      </x:c>
      <x:c r="V206" s="32" t="str">
        <x:v>ok</x:v>
      </x:c>
      <x:c r="W206" s="154" t="str">
        <x:v>{"schema_version":1,"imei":"862323089930711","timestamp":1786017353,"report_sequence":9,"task_version":"rice_tension_soil_demo","sensor_mode":"tension_soil","soil_moisture_percent":37.4,"soil_temperature_c":25.2,"soil_ec_us_cm":918,"soil_ph":6.36,"battery_mv":4010,"csq":20,"soil_rs485_status":"ok","cycle_status":"ok","soil_tension_kpa":-35.4,"soil_tension_rs485_status":"ok"}</x:v>
      </x:c>
    </x:row>
    <x:row r="207">
      <x:c r="A207" s="72" t="n">
        <x:v>46240.83047453704</x:v>
      </x:c>
      <x:c r="B207" s="72" t="n">
        <x:v>46240.83048842593</x:v>
      </x:c>
      <x:c r="C207" s="32" t="str">
        <x:v>P12</x:v>
      </x:c>
      <x:c r="D207" s="32" t="str">
        <x:v>B2-W2-V2</x:v>
      </x:c>
      <x:c r="E207" s="32" t="str">
        <x:v>B2</x:v>
      </x:c>
      <x:c r="F207" s="32" t="str">
        <x:v>W2</x:v>
      </x:c>
      <x:c r="G207" s="32" t="str">
        <x:v>V2</x:v>
      </x:c>
      <x:c r="H207" s="32" t="str">
        <x:v>tension_soil</x:v>
      </x:c>
      <x:c r="I207" s="32" t="str">
        <x:v>862323089930712</x:v>
      </x:c>
      <x:c r="J207" s="82"/>
      <x:c r="K207" s="82" t="n">
        <x:v>-36.8</x:v>
      </x:c>
      <x:c r="L207" s="82" t="n">
        <x:v>38.8</x:v>
      </x:c>
      <x:c r="M207" s="82" t="n">
        <x:v>25.3</x:v>
      </x:c>
      <x:c r="N207" s="86" t="n">
        <x:v>939</x:v>
      </x:c>
      <x:c r="O207" s="90" t="n">
        <x:v>6.41</x:v>
      </x:c>
      <x:c r="P207" s="150" t="n">
        <x:v>3.92</x:v>
      </x:c>
      <x:c r="Q207" s="86" t="n">
        <x:v>21</x:v>
      </x:c>
      <x:c r="R207" s="32"/>
      <x:c r="S207" s="32" t="str">
        <x:v>ok</x:v>
      </x:c>
      <x:c r="T207" s="32" t="str">
        <x:v>ok</x:v>
      </x:c>
      <x:c r="U207" s="32" t="str">
        <x:v>ok</x:v>
      </x:c>
      <x:c r="V207" s="32" t="str">
        <x:v>ok</x:v>
      </x:c>
      <x:c r="W207" s="154" t="str">
        <x:v>{"schema_version":1,"imei":"862323089930712","timestamp":1786017353,"report_sequence":9,"task_version":"rice_tension_soil_demo","sensor_mode":"tension_soil","soil_moisture_percent":38.8,"soil_temperature_c":25.3,"soil_ec_us_cm":939,"soil_ph":6.41,"battery_mv":3920,"csq":21,"soil_rs485_status":"ok","cycle_status":"ok","soil_tension_kpa":-36.8,"soil_tension_rs485_status":"ok"}</x:v>
      </x:c>
    </x:row>
    <x:row r="208">
      <x:c r="A208" s="72" t="n">
        <x:v>46240.83047453704</x:v>
      </x:c>
      <x:c r="B208" s="72" t="n">
        <x:v>46240.83048842593</x:v>
      </x:c>
      <x:c r="C208" s="32" t="str">
        <x:v>P13</x:v>
      </x:c>
      <x:c r="D208" s="32" t="str">
        <x:v>B3-W0-V1</x:v>
      </x:c>
      <x:c r="E208" s="32" t="str">
        <x:v>B3</x:v>
      </x:c>
      <x:c r="F208" s="32" t="str">
        <x:v>W0</x:v>
      </x:c>
      <x:c r="G208" s="32" t="str">
        <x:v>V1</x:v>
      </x:c>
      <x:c r="H208" s="32" t="str">
        <x:v>water_soil</x:v>
      </x:c>
      <x:c r="I208" s="32" t="str">
        <x:v>862323089930713</x:v>
      </x:c>
      <x:c r="J208" s="82" t="n">
        <x:v>34.2</x:v>
      </x:c>
      <x:c r="K208" s="82"/>
      <x:c r="L208" s="82" t="n">
        <x:v>40.3</x:v>
      </x:c>
      <x:c r="M208" s="82" t="n">
        <x:v>25.4</x:v>
      </x:c>
      <x:c r="N208" s="86" t="n">
        <x:v>958</x:v>
      </x:c>
      <x:c r="O208" s="90" t="n">
        <x:v>6.47</x:v>
      </x:c>
      <x:c r="P208" s="150" t="n">
        <x:v>3.938</x:v>
      </x:c>
      <x:c r="Q208" s="86" t="n">
        <x:v>22</x:v>
      </x:c>
      <x:c r="R208" s="32" t="str">
        <x:v>ok</x:v>
      </x:c>
      <x:c r="S208" s="32"/>
      <x:c r="T208" s="32" t="str">
        <x:v>ok</x:v>
      </x:c>
      <x:c r="U208" s="32" t="str">
        <x:v>ok</x:v>
      </x:c>
      <x:c r="V208" s="32" t="str">
        <x:v>ok</x:v>
      </x:c>
      <x:c r="W208" s="154" t="str">
        <x:v>{"schema_version":1,"imei":"862323089930713","timestamp":1786017353,"report_sequence":9,"task_version":"rice_w0_water_soil_demo","sensor_mode":"water_soil","soil_moisture_percent":40.3,"soil_temperature_c":25.4,"soil_ec_us_cm":958,"soil_ph":6.47,"battery_mv":3938,"csq":22,"soil_rs485_status":"ok","cycle_status":"ok","water_level_mm":34.2,"water_4_20ma_status":"ok"}</x:v>
      </x:c>
    </x:row>
    <x:row r="209">
      <x:c r="A209" s="72" t="n">
        <x:v>46240.83047453704</x:v>
      </x:c>
      <x:c r="B209" s="72" t="n">
        <x:v>46240.83048842593</x:v>
      </x:c>
      <x:c r="C209" s="32" t="str">
        <x:v>P14</x:v>
      </x:c>
      <x:c r="D209" s="32" t="str">
        <x:v>B3-W0-V2</x:v>
      </x:c>
      <x:c r="E209" s="32" t="str">
        <x:v>B3</x:v>
      </x:c>
      <x:c r="F209" s="32" t="str">
        <x:v>W0</x:v>
      </x:c>
      <x:c r="G209" s="32" t="str">
        <x:v>V2</x:v>
      </x:c>
      <x:c r="H209" s="32" t="str">
        <x:v>water_soil</x:v>
      </x:c>
      <x:c r="I209" s="32" t="str">
        <x:v>862323089930714</x:v>
      </x:c>
      <x:c r="J209" s="82" t="n">
        <x:v>38</x:v>
      </x:c>
      <x:c r="K209" s="82"/>
      <x:c r="L209" s="82" t="n">
        <x:v>41.6</x:v>
      </x:c>
      <x:c r="M209" s="82" t="n">
        <x:v>25.5</x:v>
      </x:c>
      <x:c r="N209" s="86" t="n">
        <x:v>976</x:v>
      </x:c>
      <x:c r="O209" s="90" t="n">
        <x:v>6.52</x:v>
      </x:c>
      <x:c r="P209" s="150" t="n">
        <x:v>3.956</x:v>
      </x:c>
      <x:c r="Q209" s="86" t="n">
        <x:v>23</x:v>
      </x:c>
      <x:c r="R209" s="32" t="str">
        <x:v>ok</x:v>
      </x:c>
      <x:c r="S209" s="32"/>
      <x:c r="T209" s="32" t="str">
        <x:v>ok</x:v>
      </x:c>
      <x:c r="U209" s="32" t="str">
        <x:v>ok</x:v>
      </x:c>
      <x:c r="V209" s="32" t="str">
        <x:v>ok</x:v>
      </x:c>
      <x:c r="W209" s="154" t="str">
        <x:v>{"schema_version":1,"imei":"862323089930714","timestamp":1786017353,"report_sequence":9,"task_version":"rice_w0_water_soil_demo","sensor_mode":"water_soil","soil_moisture_percent":41.6,"soil_temperature_c":25.5,"soil_ec_us_cm":976,"soil_ph":6.52,"battery_mv":3956,"csq":23,"soil_rs485_status":"ok","cycle_status":"ok","water_level_mm":38,"water_4_20ma_status":"ok"}</x:v>
      </x:c>
    </x:row>
    <x:row r="210">
      <x:c r="A210" s="72" t="n">
        <x:v>46240.83047453704</x:v>
      </x:c>
      <x:c r="B210" s="72" t="n">
        <x:v>46240.83048842593</x:v>
      </x:c>
      <x:c r="C210" s="32" t="str">
        <x:v>P15</x:v>
      </x:c>
      <x:c r="D210" s="32" t="str">
        <x:v>B3-W1-V1</x:v>
      </x:c>
      <x:c r="E210" s="32" t="str">
        <x:v>B3</x:v>
      </x:c>
      <x:c r="F210" s="32" t="str">
        <x:v>W1</x:v>
      </x:c>
      <x:c r="G210" s="32" t="str">
        <x:v>V1</x:v>
      </x:c>
      <x:c r="H210" s="32" t="str">
        <x:v>tension_soil</x:v>
      </x:c>
      <x:c r="I210" s="32" t="str">
        <x:v>862323089930715</x:v>
      </x:c>
      <x:c r="J210" s="82"/>
      <x:c r="K210" s="82" t="n">
        <x:v>-24.9</x:v>
      </x:c>
      <x:c r="L210" s="82" t="n">
        <x:v>42.9</x:v>
      </x:c>
      <x:c r="M210" s="82" t="n">
        <x:v>25.6</x:v>
      </x:c>
      <x:c r="N210" s="86" t="n">
        <x:v>992</x:v>
      </x:c>
      <x:c r="O210" s="90" t="n">
        <x:v>6.33</x:v>
      </x:c>
      <x:c r="P210" s="150" t="n">
        <x:v>3.974</x:v>
      </x:c>
      <x:c r="Q210" s="86" t="n">
        <x:v>24</x:v>
      </x:c>
      <x:c r="R210" s="32"/>
      <x:c r="S210" s="32" t="str">
        <x:v>ok</x:v>
      </x:c>
      <x:c r="T210" s="32" t="str">
        <x:v>ok</x:v>
      </x:c>
      <x:c r="U210" s="32" t="str">
        <x:v>ok</x:v>
      </x:c>
      <x:c r="V210" s="32" t="str">
        <x:v>ok</x:v>
      </x:c>
      <x:c r="W210" s="154" t="str">
        <x:v>{"schema_version":1,"imei":"862323089930715","timestamp":1786017353,"report_sequence":9,"task_version":"rice_tension_soil_demo","sensor_mode":"tension_soil","soil_moisture_percent":42.9,"soil_temperature_c":25.6,"soil_ec_us_cm":992,"soil_ph":6.33,"battery_mv":3974,"csq":24,"soil_rs485_status":"ok","cycle_status":"ok","soil_tension_kpa":-24.9,"soil_tension_rs485_status":"ok"}</x:v>
      </x:c>
    </x:row>
    <x:row r="211">
      <x:c r="A211" s="72" t="n">
        <x:v>46240.83047453704</x:v>
      </x:c>
      <x:c r="B211" s="72" t="n">
        <x:v>46240.83048842593</x:v>
      </x:c>
      <x:c r="C211" s="32" t="str">
        <x:v>P16</x:v>
      </x:c>
      <x:c r="D211" s="32" t="str">
        <x:v>B3-W1-V2</x:v>
      </x:c>
      <x:c r="E211" s="32" t="str">
        <x:v>B3</x:v>
      </x:c>
      <x:c r="F211" s="32" t="str">
        <x:v>W1</x:v>
      </x:c>
      <x:c r="G211" s="32" t="str">
        <x:v>V2</x:v>
      </x:c>
      <x:c r="H211" s="32" t="str">
        <x:v>tension_soil</x:v>
      </x:c>
      <x:c r="I211" s="32" t="str">
        <x:v>862323089930716</x:v>
      </x:c>
      <x:c r="J211" s="82"/>
      <x:c r="K211" s="82" t="n">
        <x:v>-26</x:v>
      </x:c>
      <x:c r="L211" s="82" t="n">
        <x:v>36</x:v>
      </x:c>
      <x:c r="M211" s="82" t="n">
        <x:v>25.6</x:v>
      </x:c>
      <x:c r="N211" s="86" t="n">
        <x:v>1007</x:v>
      </x:c>
      <x:c r="O211" s="90" t="n">
        <x:v>6.38</x:v>
      </x:c>
      <x:c r="P211" s="150" t="n">
        <x:v>3.992</x:v>
      </x:c>
      <x:c r="Q211" s="86" t="n">
        <x:v>17</x:v>
      </x:c>
      <x:c r="R211" s="32"/>
      <x:c r="S211" s="32" t="str">
        <x:v>ok</x:v>
      </x:c>
      <x:c r="T211" s="32" t="str">
        <x:v>ok</x:v>
      </x:c>
      <x:c r="U211" s="32" t="str">
        <x:v>ok</x:v>
      </x:c>
      <x:c r="V211" s="32" t="str">
        <x:v>ok</x:v>
      </x:c>
      <x:c r="W211" s="154" t="str">
        <x:v>{"schema_version":1,"imei":"862323089930716","timestamp":1786017353,"report_sequence":9,"task_version":"rice_tension_soil_demo","sensor_mode":"tension_soil","soil_moisture_percent":36,"soil_temperature_c":25.6,"soil_ec_us_cm":1007,"soil_ph":6.38,"battery_mv":3992,"csq":17,"soil_rs485_status":"ok","cycle_status":"ok","soil_tension_kpa":-26,"soil_tension_rs485_status":"ok"}</x:v>
      </x:c>
    </x:row>
    <x:row r="212">
      <x:c r="A212" s="72" t="n">
        <x:v>46240.83047453704</x:v>
      </x:c>
      <x:c r="B212" s="72" t="n">
        <x:v>46240.83048842593</x:v>
      </x:c>
      <x:c r="C212" s="32" t="str">
        <x:v>P17</x:v>
      </x:c>
      <x:c r="D212" s="32" t="str">
        <x:v>B3-W2-V1</x:v>
      </x:c>
      <x:c r="E212" s="32" t="str">
        <x:v>B3</x:v>
      </x:c>
      <x:c r="F212" s="32" t="str">
        <x:v>W2</x:v>
      </x:c>
      <x:c r="G212" s="32" t="str">
        <x:v>V1</x:v>
      </x:c>
      <x:c r="H212" s="32" t="str">
        <x:v>tension_soil</x:v>
      </x:c>
      <x:c r="I212" s="32" t="str">
        <x:v>862323089930717</x:v>
      </x:c>
      <x:c r="J212" s="82"/>
      <x:c r="K212" s="82" t="n">
        <x:v>-38</x:v>
      </x:c>
      <x:c r="L212" s="82" t="n">
        <x:v>37</x:v>
      </x:c>
      <x:c r="M212" s="82" t="n">
        <x:v>25.6</x:v>
      </x:c>
      <x:c r="N212" s="86" t="n">
        <x:v>1019</x:v>
      </x:c>
      <x:c r="O212" s="90" t="n">
        <x:v>6.43</x:v>
      </x:c>
      <x:c r="P212" s="150" t="n">
        <x:v>4.01</x:v>
      </x:c>
      <x:c r="Q212" s="86" t="n">
        <x:v>18</x:v>
      </x:c>
      <x:c r="R212" s="32"/>
      <x:c r="S212" s="32" t="str">
        <x:v>ok</x:v>
      </x:c>
      <x:c r="T212" s="32" t="str">
        <x:v>ok</x:v>
      </x:c>
      <x:c r="U212" s="32" t="str">
        <x:v>ok</x:v>
      </x:c>
      <x:c r="V212" s="32" t="str">
        <x:v>ok</x:v>
      </x:c>
      <x:c r="W212" s="154" t="str">
        <x:v>{"schema_version":1,"imei":"862323089930717","timestamp":1786017353,"report_sequence":9,"task_version":"rice_tension_soil_demo","sensor_mode":"tension_soil","soil_moisture_percent":37,"soil_temperature_c":25.6,"soil_ec_us_cm":1019,"soil_ph":6.43,"battery_mv":4010,"csq":18,"soil_rs485_status":"ok","cycle_status":"ok","soil_tension_kpa":-38,"soil_tension_rs485_status":"ok"}</x:v>
      </x:c>
    </x:row>
    <x:row r="213">
      <x:c r="A213" s="72" t="n">
        <x:v>46240.83047453704</x:v>
      </x:c>
      <x:c r="B213" s="72" t="n">
        <x:v>46240.83048842593</x:v>
      </x:c>
      <x:c r="C213" s="32" t="str">
        <x:v>P18</x:v>
      </x:c>
      <x:c r="D213" s="32" t="str">
        <x:v>B3-W2-V2</x:v>
      </x:c>
      <x:c r="E213" s="32" t="str">
        <x:v>B3</x:v>
      </x:c>
      <x:c r="F213" s="32" t="str">
        <x:v>W2</x:v>
      </x:c>
      <x:c r="G213" s="32" t="str">
        <x:v>V2</x:v>
      </x:c>
      <x:c r="H213" s="32" t="str">
        <x:v>tension_soil</x:v>
      </x:c>
      <x:c r="I213" s="32" t="str">
        <x:v>862323089930718</x:v>
      </x:c>
      <x:c r="J213" s="82"/>
      <x:c r="K213" s="82" t="n">
        <x:v>-38.9</x:v>
      </x:c>
      <x:c r="L213" s="82" t="n">
        <x:v>37.9</x:v>
      </x:c>
      <x:c r="M213" s="82" t="n">
        <x:v>25.6</x:v>
      </x:c>
      <x:c r="N213" s="86" t="n">
        <x:v>1029</x:v>
      </x:c>
      <x:c r="O213" s="90" t="n">
        <x:v>6.48</x:v>
      </x:c>
      <x:c r="P213" s="150" t="n">
        <x:v>3.92</x:v>
      </x:c>
      <x:c r="Q213" s="86" t="n">
        <x:v>19</x:v>
      </x:c>
      <x:c r="R213" s="32"/>
      <x:c r="S213" s="32" t="str">
        <x:v>ok</x:v>
      </x:c>
      <x:c r="T213" s="32" t="str">
        <x:v>ok</x:v>
      </x:c>
      <x:c r="U213" s="32" t="str">
        <x:v>ok</x:v>
      </x:c>
      <x:c r="V213" s="32" t="str">
        <x:v>ok</x:v>
      </x:c>
      <x:c r="W213" s="154" t="str">
        <x:v>{"schema_version":1,"imei":"862323089930718","timestamp":1786017353,"report_sequence":9,"task_version":"rice_tension_soil_demo","sensor_mode":"tension_soil","soil_moisture_percent":37.9,"soil_temperature_c":25.6,"soil_ec_us_cm":1029,"soil_ph":6.48,"battery_mv":3920,"csq":19,"soil_rs485_status":"ok","cycle_status":"ok","soil_tension_kpa":-38.9,"soil_tension_rs485_status":"ok"}</x:v>
      </x:c>
    </x:row>
    <x:row r="214">
      <x:c r="A214" s="72" t="n">
        <x:v>46240.83047453704</x:v>
      </x:c>
      <x:c r="B214" s="72" t="n">
        <x:v>46240.83048842593</x:v>
      </x:c>
      <x:c r="C214" s="32" t="str">
        <x:v>P19</x:v>
      </x:c>
      <x:c r="D214" s="32" t="str">
        <x:v>B4-W0-V1</x:v>
      </x:c>
      <x:c r="E214" s="32" t="str">
        <x:v>B4</x:v>
      </x:c>
      <x:c r="F214" s="32" t="str">
        <x:v>W0</x:v>
      </x:c>
      <x:c r="G214" s="32" t="str">
        <x:v>V1</x:v>
      </x:c>
      <x:c r="H214" s="32" t="str">
        <x:v>water_soil</x:v>
      </x:c>
      <x:c r="I214" s="32" t="str">
        <x:v>862323089930719</x:v>
      </x:c>
      <x:c r="J214" s="82" t="n">
        <x:v>41.1</x:v>
      </x:c>
      <x:c r="K214" s="82"/>
      <x:c r="L214" s="82" t="n">
        <x:v>38.6</x:v>
      </x:c>
      <x:c r="M214" s="82" t="n">
        <x:v>25.5</x:v>
      </x:c>
      <x:c r="N214" s="86" t="n">
        <x:v>1037</x:v>
      </x:c>
      <x:c r="O214" s="90" t="n">
        <x:v>6.52</x:v>
      </x:c>
      <x:c r="P214" s="150" t="n">
        <x:v>3.938</x:v>
      </x:c>
      <x:c r="Q214" s="86" t="n">
        <x:v>20</x:v>
      </x:c>
      <x:c r="R214" s="32" t="str">
        <x:v>ok</x:v>
      </x:c>
      <x:c r="S214" s="32"/>
      <x:c r="T214" s="32" t="str">
        <x:v>ok</x:v>
      </x:c>
      <x:c r="U214" s="32" t="str">
        <x:v>ok</x:v>
      </x:c>
      <x:c r="V214" s="32" t="str">
        <x:v>ok</x:v>
      </x:c>
      <x:c r="W214" s="154" t="str">
        <x:v>{"schema_version":1,"imei":"862323089930719","timestamp":1786017353,"report_sequence":9,"task_version":"rice_w0_water_soil_demo","sensor_mode":"water_soil","soil_moisture_percent":38.6,"soil_temperature_c":25.5,"soil_ec_us_cm":1037,"soil_ph":6.52,"battery_mv":3938,"csq":20,"soil_rs485_status":"ok","cycle_status":"ok","water_level_mm":41.1,"water_4_20ma_status":"ok"}</x:v>
      </x:c>
    </x:row>
    <x:row r="215">
      <x:c r="A215" s="72" t="n">
        <x:v>46240.83047453704</x:v>
      </x:c>
      <x:c r="B215" s="72" t="n">
        <x:v>46240.83048842593</x:v>
      </x:c>
      <x:c r="C215" s="32" t="str">
        <x:v>P20</x:v>
      </x:c>
      <x:c r="D215" s="32" t="str">
        <x:v>B4-W0-V2</x:v>
      </x:c>
      <x:c r="E215" s="32" t="str">
        <x:v>B4</x:v>
      </x:c>
      <x:c r="F215" s="32" t="str">
        <x:v>W0</x:v>
      </x:c>
      <x:c r="G215" s="32" t="str">
        <x:v>V2</x:v>
      </x:c>
      <x:c r="H215" s="32" t="str">
        <x:v>water_soil</x:v>
      </x:c>
      <x:c r="I215" s="32" t="str">
        <x:v>862323089930720</x:v>
      </x:c>
      <x:c r="J215" s="82" t="n">
        <x:v>31.3</x:v>
      </x:c>
      <x:c r="K215" s="82"/>
      <x:c r="L215" s="82" t="n">
        <x:v>39.3</x:v>
      </x:c>
      <x:c r="M215" s="82" t="n">
        <x:v>25.4</x:v>
      </x:c>
      <x:c r="N215" s="86" t="n">
        <x:v>1043</x:v>
      </x:c>
      <x:c r="O215" s="90" t="n">
        <x:v>6.32</x:v>
      </x:c>
      <x:c r="P215" s="150" t="n">
        <x:v>3.956</x:v>
      </x:c>
      <x:c r="Q215" s="86" t="n">
        <x:v>21</x:v>
      </x:c>
      <x:c r="R215" s="32" t="str">
        <x:v>ok</x:v>
      </x:c>
      <x:c r="S215" s="32"/>
      <x:c r="T215" s="32" t="str">
        <x:v>ok</x:v>
      </x:c>
      <x:c r="U215" s="32" t="str">
        <x:v>ok</x:v>
      </x:c>
      <x:c r="V215" s="32" t="str">
        <x:v>ok</x:v>
      </x:c>
      <x:c r="W215" s="154" t="str">
        <x:v>{"schema_version":1,"imei":"862323089930720","timestamp":1786017353,"report_sequence":9,"task_version":"rice_w0_water_soil_demo","sensor_mode":"water_soil","soil_moisture_percent":39.3,"soil_temperature_c":25.4,"soil_ec_us_cm":1043,"soil_ph":6.32,"battery_mv":3956,"csq":21,"soil_rs485_status":"ok","cycle_status":"ok","water_level_mm":31.3,"water_4_20ma_status":"ok"}</x:v>
      </x:c>
    </x:row>
    <x:row r="216">
      <x:c r="A216" s="72" t="n">
        <x:v>46240.83047453704</x:v>
      </x:c>
      <x:c r="B216" s="72" t="n">
        <x:v>46240.83048842593</x:v>
      </x:c>
      <x:c r="C216" s="32" t="str">
        <x:v>P21</x:v>
      </x:c>
      <x:c r="D216" s="32" t="str">
        <x:v>B4-W1-V1</x:v>
      </x:c>
      <x:c r="E216" s="32" t="str">
        <x:v>B4</x:v>
      </x:c>
      <x:c r="F216" s="32" t="str">
        <x:v>W1</x:v>
      </x:c>
      <x:c r="G216" s="32" t="str">
        <x:v>V1</x:v>
      </x:c>
      <x:c r="H216" s="32" t="str">
        <x:v>tension_soil</x:v>
      </x:c>
      <x:c r="I216" s="32" t="str">
        <x:v>862323089930721</x:v>
      </x:c>
      <x:c r="J216" s="82"/>
      <x:c r="K216" s="82" t="n">
        <x:v>-24.9</x:v>
      </x:c>
      <x:c r="L216" s="82" t="n">
        <x:v>39.9</x:v>
      </x:c>
      <x:c r="M216" s="82" t="n">
        <x:v>25.3</x:v>
      </x:c>
      <x:c r="N216" s="86" t="n">
        <x:v>1047</x:v>
      </x:c>
      <x:c r="O216" s="90" t="n">
        <x:v>6.36</x:v>
      </x:c>
      <x:c r="P216" s="150" t="n">
        <x:v>3.974</x:v>
      </x:c>
      <x:c r="Q216" s="86" t="n">
        <x:v>22</x:v>
      </x:c>
      <x:c r="R216" s="32"/>
      <x:c r="S216" s="32" t="str">
        <x:v>ok</x:v>
      </x:c>
      <x:c r="T216" s="32" t="str">
        <x:v>ok</x:v>
      </x:c>
      <x:c r="U216" s="32" t="str">
        <x:v>ok</x:v>
      </x:c>
      <x:c r="V216" s="32" t="str">
        <x:v>ok</x:v>
      </x:c>
      <x:c r="W216" s="154" t="str">
        <x:v>{"schema_version":1,"imei":"862323089930721","timestamp":1786017353,"report_sequence":9,"task_version":"rice_tension_soil_demo","sensor_mode":"tension_soil","soil_moisture_percent":39.9,"soil_temperature_c":25.3,"soil_ec_us_cm":1047,"soil_ph":6.36,"battery_mv":3974,"csq":22,"soil_rs485_status":"ok","cycle_status":"ok","soil_tension_kpa":-24.9,"soil_tension_rs485_status":"ok"}</x:v>
      </x:c>
    </x:row>
    <x:row r="217">
      <x:c r="A217" s="72" t="n">
        <x:v>46240.83047453704</x:v>
      </x:c>
      <x:c r="B217" s="72" t="n">
        <x:v>46240.83048842593</x:v>
      </x:c>
      <x:c r="C217" s="32" t="str">
        <x:v>P22</x:v>
      </x:c>
      <x:c r="D217" s="32" t="str">
        <x:v>B4-W1-V2</x:v>
      </x:c>
      <x:c r="E217" s="32" t="str">
        <x:v>B4</x:v>
      </x:c>
      <x:c r="F217" s="32" t="str">
        <x:v>W1</x:v>
      </x:c>
      <x:c r="G217" s="32" t="str">
        <x:v>V2</x:v>
      </x:c>
      <x:c r="H217" s="32" t="str">
        <x:v>tension_soil</x:v>
      </x:c>
      <x:c r="I217" s="32" t="str">
        <x:v>862323089930722</x:v>
      </x:c>
      <x:c r="J217" s="82"/>
      <x:c r="K217" s="82" t="n">
        <x:v>-25.4</x:v>
      </x:c>
      <x:c r="L217" s="82" t="n">
        <x:v>40.4</x:v>
      </x:c>
      <x:c r="M217" s="82" t="n">
        <x:v>25.2</x:v>
      </x:c>
      <x:c r="N217" s="86" t="n">
        <x:v>1051</x:v>
      </x:c>
      <x:c r="O217" s="90" t="n">
        <x:v>6.41</x:v>
      </x:c>
      <x:c r="P217" s="150" t="n">
        <x:v>3.992</x:v>
      </x:c>
      <x:c r="Q217" s="86" t="n">
        <x:v>23</x:v>
      </x:c>
      <x:c r="R217" s="32"/>
      <x:c r="S217" s="32" t="str">
        <x:v>ok</x:v>
      </x:c>
      <x:c r="T217" s="32" t="str">
        <x:v>ok</x:v>
      </x:c>
      <x:c r="U217" s="32" t="str">
        <x:v>ok</x:v>
      </x:c>
      <x:c r="V217" s="32" t="str">
        <x:v>ok</x:v>
      </x:c>
      <x:c r="W217" s="154" t="str">
        <x:v>{"schema_version":1,"imei":"862323089930722","timestamp":1786017353,"report_sequence":9,"task_version":"rice_tension_soil_demo","sensor_mode":"tension_soil","soil_moisture_percent":40.4,"soil_temperature_c":25.2,"soil_ec_us_cm":1051,"soil_ph":6.41,"battery_mv":3992,"csq":23,"soil_rs485_status":"ok","cycle_status":"ok","soil_tension_kpa":-25.4,"soil_tension_rs485_status":"ok"}</x:v>
      </x:c>
    </x:row>
    <x:row r="218">
      <x:c r="A218" s="72" t="n">
        <x:v>46240.83047453704</x:v>
      </x:c>
      <x:c r="B218" s="72" t="n">
        <x:v>46240.83048842593</x:v>
      </x:c>
      <x:c r="C218" s="32" t="str">
        <x:v>P23</x:v>
      </x:c>
      <x:c r="D218" s="32" t="str">
        <x:v>B4-W2-V1</x:v>
      </x:c>
      <x:c r="E218" s="32" t="str">
        <x:v>B4</x:v>
      </x:c>
      <x:c r="F218" s="32" t="str">
        <x:v>W2</x:v>
      </x:c>
      <x:c r="G218" s="32" t="str">
        <x:v>V1</x:v>
      </x:c>
      <x:c r="H218" s="32" t="str">
        <x:v>tension_soil</x:v>
      </x:c>
      <x:c r="I218" s="32" t="str">
        <x:v>862323089930723</x:v>
      </x:c>
      <x:c r="J218" s="82"/>
      <x:c r="K218" s="82" t="n">
        <x:v>-36.9</x:v>
      </x:c>
      <x:c r="L218" s="82" t="n">
        <x:v>40.9</x:v>
      </x:c>
      <x:c r="M218" s="82" t="n">
        <x:v>25.1</x:v>
      </x:c>
      <x:c r="N218" s="86" t="n">
        <x:v>1055</x:v>
      </x:c>
      <x:c r="O218" s="90" t="n">
        <x:v>6.45</x:v>
      </x:c>
      <x:c r="P218" s="150" t="n">
        <x:v>4.01</x:v>
      </x:c>
      <x:c r="Q218" s="86" t="n">
        <x:v>24</x:v>
      </x:c>
      <x:c r="R218" s="32"/>
      <x:c r="S218" s="32" t="str">
        <x:v>ok</x:v>
      </x:c>
      <x:c r="T218" s="32" t="str">
        <x:v>ok</x:v>
      </x:c>
      <x:c r="U218" s="32" t="str">
        <x:v>ok</x:v>
      </x:c>
      <x:c r="V218" s="32" t="str">
        <x:v>ok</x:v>
      </x:c>
      <x:c r="W218" s="154" t="str">
        <x:v>{"schema_version":1,"imei":"862323089930723","timestamp":1786017353,"report_sequence":9,"task_version":"rice_tension_soil_demo","sensor_mode":"tension_soil","soil_moisture_percent":40.9,"soil_temperature_c":25.1,"soil_ec_us_cm":1055,"soil_ph":6.45,"battery_mv":4010,"csq":24,"soil_rs485_status":"ok","cycle_status":"ok","soil_tension_kpa":-36.9,"soil_tension_rs485_status":"ok"}</x:v>
      </x:c>
    </x:row>
    <x:row r="219">
      <x:c r="A219" s="72" t="n">
        <x:v>46240.83047453704</x:v>
      </x:c>
      <x:c r="B219" s="72" t="n">
        <x:v>46240.83048842593</x:v>
      </x:c>
      <x:c r="C219" s="32" t="str">
        <x:v>P24</x:v>
      </x:c>
      <x:c r="D219" s="32" t="str">
        <x:v>B4-W2-V2</x:v>
      </x:c>
      <x:c r="E219" s="32" t="str">
        <x:v>B4</x:v>
      </x:c>
      <x:c r="F219" s="32" t="str">
        <x:v>W2</x:v>
      </x:c>
      <x:c r="G219" s="32" t="str">
        <x:v>V2</x:v>
      </x:c>
      <x:c r="H219" s="32" t="str">
        <x:v>tension_soil</x:v>
      </x:c>
      <x:c r="I219" s="32" t="str">
        <x:v>862323089930724</x:v>
      </x:c>
      <x:c r="J219" s="82"/>
      <x:c r="K219" s="82" t="n">
        <x:v>-37.4</x:v>
      </x:c>
      <x:c r="L219" s="82" t="n">
        <x:v>33.4</x:v>
      </x:c>
      <x:c r="M219" s="82" t="n">
        <x:v>25</x:v>
      </x:c>
      <x:c r="N219" s="86" t="n">
        <x:v>1058</x:v>
      </x:c>
      <x:c r="O219" s="90" t="n">
        <x:v>6.49</x:v>
      </x:c>
      <x:c r="P219" s="150" t="n">
        <x:v>3.92</x:v>
      </x:c>
      <x:c r="Q219" s="86" t="n">
        <x:v>17</x:v>
      </x:c>
      <x:c r="R219" s="32"/>
      <x:c r="S219" s="32" t="str">
        <x:v>ok</x:v>
      </x:c>
      <x:c r="T219" s="32" t="str">
        <x:v>ok</x:v>
      </x:c>
      <x:c r="U219" s="32" t="str">
        <x:v>ok</x:v>
      </x:c>
      <x:c r="V219" s="32" t="str">
        <x:v>ok</x:v>
      </x:c>
      <x:c r="W219" s="154" t="str">
        <x:v>{"schema_version":1,"imei":"862323089930724","timestamp":1786017353,"report_sequence":9,"task_version":"rice_tension_soil_demo","sensor_mode":"tension_soil","soil_moisture_percent":33.4,"soil_temperature_c":25,"soil_ec_us_cm":1058,"soil_ph":6.49,"battery_mv":3920,"csq":17,"soil_rs485_status":"ok","cycle_status":"ok","soil_tension_kpa":-37.4,"soil_tension_rs485_status":"ok"}</x:v>
      </x:c>
    </x:row>
    <x:row r="220">
      <x:c r="A220" s="72" t="n">
        <x:v>46240.83394675926</x:v>
      </x:c>
      <x:c r="B220" s="72" t="n">
        <x:v>46240.833960648146</x:v>
      </x:c>
      <x:c r="C220" s="32" t="str">
        <x:v>P01</x:v>
      </x:c>
      <x:c r="D220" s="32" t="str">
        <x:v>B1-W0-V1</x:v>
      </x:c>
      <x:c r="E220" s="32" t="str">
        <x:v>B1</x:v>
      </x:c>
      <x:c r="F220" s="32" t="str">
        <x:v>W0</x:v>
      </x:c>
      <x:c r="G220" s="32" t="str">
        <x:v>V1</x:v>
      </x:c>
      <x:c r="H220" s="32" t="str">
        <x:v>water_soil</x:v>
      </x:c>
      <x:c r="I220" s="32" t="str">
        <x:v>862323089930701</x:v>
      </x:c>
      <x:c r="J220" s="82" t="n">
        <x:v>28.3</x:v>
      </x:c>
      <x:c r="K220" s="82"/>
      <x:c r="L220" s="82" t="n">
        <x:v>33.9</x:v>
      </x:c>
      <x:c r="M220" s="82" t="n">
        <x:v>24.8</x:v>
      </x:c>
      <x:c r="N220" s="86" t="n">
        <x:v>773</x:v>
      </x:c>
      <x:c r="O220" s="90" t="n">
        <x:v>6.33</x:v>
      </x:c>
      <x:c r="P220" s="150" t="n">
        <x:v>3.938</x:v>
      </x:c>
      <x:c r="Q220" s="86" t="n">
        <x:v>18</x:v>
      </x:c>
      <x:c r="R220" s="32" t="str">
        <x:v>ok</x:v>
      </x:c>
      <x:c r="S220" s="32"/>
      <x:c r="T220" s="32" t="str">
        <x:v>ok</x:v>
      </x:c>
      <x:c r="U220" s="32" t="str">
        <x:v>ok</x:v>
      </x:c>
      <x:c r="V220" s="32" t="str">
        <x:v>ok</x:v>
      </x:c>
      <x:c r="W220" s="154" t="str">
        <x:v>{"schema_version":1,"imei":"862323089930701","timestamp":1786017653,"report_sequence":10,"task_version":"rice_w0_water_soil_demo","sensor_mode":"water_soil","soil_moisture_percent":33.9,"soil_temperature_c":24.8,"soil_ec_us_cm":773,"soil_ph":6.33,"battery_mv":3938,"csq":18,"soil_rs485_status":"ok","cycle_status":"ok","water_level_mm":28.3,"water_4_20ma_status":"ok"}</x:v>
      </x:c>
    </x:row>
    <x:row r="221">
      <x:c r="A221" s="72" t="n">
        <x:v>46240.83394675926</x:v>
      </x:c>
      <x:c r="B221" s="72" t="n">
        <x:v>46240.833960648146</x:v>
      </x:c>
      <x:c r="C221" s="32" t="str">
        <x:v>P02</x:v>
      </x:c>
      <x:c r="D221" s="32" t="str">
        <x:v>B1-W0-V2</x:v>
      </x:c>
      <x:c r="E221" s="32" t="str">
        <x:v>B1</x:v>
      </x:c>
      <x:c r="F221" s="32" t="str">
        <x:v>W0</x:v>
      </x:c>
      <x:c r="G221" s="32" t="str">
        <x:v>V2</x:v>
      </x:c>
      <x:c r="H221" s="32" t="str">
        <x:v>water_soil</x:v>
      </x:c>
      <x:c r="I221" s="32" t="str">
        <x:v>862323089930702</x:v>
      </x:c>
      <x:c r="J221" s="82" t="n">
        <x:v>30.3</x:v>
      </x:c>
      <x:c r="K221" s="82"/>
      <x:c r="L221" s="82" t="n">
        <x:v>34.5</x:v>
      </x:c>
      <x:c r="M221" s="82" t="n">
        <x:v>24.7</x:v>
      </x:c>
      <x:c r="N221" s="86" t="n">
        <x:v>778</x:v>
      </x:c>
      <x:c r="O221" s="90" t="n">
        <x:v>6.38</x:v>
      </x:c>
      <x:c r="P221" s="150" t="n">
        <x:v>3.956</x:v>
      </x:c>
      <x:c r="Q221" s="86" t="n">
        <x:v>19</x:v>
      </x:c>
      <x:c r="R221" s="32" t="str">
        <x:v>ok</x:v>
      </x:c>
      <x:c r="S221" s="32"/>
      <x:c r="T221" s="32" t="str">
        <x:v>ok</x:v>
      </x:c>
      <x:c r="U221" s="32" t="str">
        <x:v>ok</x:v>
      </x:c>
      <x:c r="V221" s="32" t="str">
        <x:v>ok</x:v>
      </x:c>
      <x:c r="W221" s="154" t="str">
        <x:v>{"schema_version":1,"imei":"862323089930702","timestamp":1786017653,"report_sequence":10,"task_version":"rice_w0_water_soil_demo","sensor_mode":"water_soil","soil_moisture_percent":34.5,"soil_temperature_c":24.7,"soil_ec_us_cm":778,"soil_ph":6.38,"battery_mv":3956,"csq":19,"soil_rs485_status":"ok","cycle_status":"ok","water_level_mm":30.3,"water_4_20ma_status":"ok"}</x:v>
      </x:c>
    </x:row>
    <x:row r="222">
      <x:c r="A222" s="72" t="n">
        <x:v>46240.83394675926</x:v>
      </x:c>
      <x:c r="B222" s="72" t="n">
        <x:v>46240.833960648146</x:v>
      </x:c>
      <x:c r="C222" s="32" t="str">
        <x:v>P03</x:v>
      </x:c>
      <x:c r="D222" s="32" t="str">
        <x:v>B1-W1-V1</x:v>
      </x:c>
      <x:c r="E222" s="32" t="str">
        <x:v>B1</x:v>
      </x:c>
      <x:c r="F222" s="32" t="str">
        <x:v>W1</x:v>
      </x:c>
      <x:c r="G222" s="32" t="str">
        <x:v>V1</x:v>
      </x:c>
      <x:c r="H222" s="32" t="str">
        <x:v>tension_soil</x:v>
      </x:c>
      <x:c r="I222" s="32" t="str">
        <x:v>862323089930703</x:v>
      </x:c>
      <x:c r="J222" s="82"/>
      <x:c r="K222" s="82" t="n">
        <x:v>-24.2</x:v>
      </x:c>
      <x:c r="L222" s="82" t="n">
        <x:v>35.2</x:v>
      </x:c>
      <x:c r="M222" s="82" t="n">
        <x:v>24.7</x:v>
      </x:c>
      <x:c r="N222" s="86" t="n">
        <x:v>785</x:v>
      </x:c>
      <x:c r="O222" s="90" t="n">
        <x:v>6.42</x:v>
      </x:c>
      <x:c r="P222" s="150" t="n">
        <x:v>3.974</x:v>
      </x:c>
      <x:c r="Q222" s="86" t="n">
        <x:v>20</x:v>
      </x:c>
      <x:c r="R222" s="32"/>
      <x:c r="S222" s="32" t="str">
        <x:v>ok</x:v>
      </x:c>
      <x:c r="T222" s="32" t="str">
        <x:v>ok</x:v>
      </x:c>
      <x:c r="U222" s="32" t="str">
        <x:v>ok</x:v>
      </x:c>
      <x:c r="V222" s="32" t="str">
        <x:v>ok</x:v>
      </x:c>
      <x:c r="W222" s="154" t="str">
        <x:v>{"schema_version":1,"imei":"862323089930703","timestamp":1786017653,"report_sequence":10,"task_version":"rice_tension_soil_demo","sensor_mode":"tension_soil","soil_moisture_percent":35.2,"soil_temperature_c":24.7,"soil_ec_us_cm":785,"soil_ph":6.42,"battery_mv":3974,"csq":20,"soil_rs485_status":"ok","cycle_status":"ok","soil_tension_kpa":-24.2,"soil_tension_rs485_status":"ok"}</x:v>
      </x:c>
    </x:row>
    <x:row r="223">
      <x:c r="A223" s="72" t="n">
        <x:v>46240.83394675926</x:v>
      </x:c>
      <x:c r="B223" s="72" t="n">
        <x:v>46240.833960648146</x:v>
      </x:c>
      <x:c r="C223" s="32" t="str">
        <x:v>P04</x:v>
      </x:c>
      <x:c r="D223" s="32" t="str">
        <x:v>B1-W1-V2</x:v>
      </x:c>
      <x:c r="E223" s="32" t="str">
        <x:v>B1</x:v>
      </x:c>
      <x:c r="F223" s="32" t="str">
        <x:v>W1</x:v>
      </x:c>
      <x:c r="G223" s="32" t="str">
        <x:v>V2</x:v>
      </x:c>
      <x:c r="H223" s="32" t="str">
        <x:v>tension_soil</x:v>
      </x:c>
      <x:c r="I223" s="32" t="str">
        <x:v>862323089930704</x:v>
      </x:c>
      <x:c r="J223" s="82"/>
      <x:c r="K223" s="82" t="n">
        <x:v>-25.1</x:v>
      </x:c>
      <x:c r="L223" s="82" t="n">
        <x:v>36.1</x:v>
      </x:c>
      <x:c r="M223" s="82" t="n">
        <x:v>24.6</x:v>
      </x:c>
      <x:c r="N223" s="86" t="n">
        <x:v>794</x:v>
      </x:c>
      <x:c r="O223" s="90" t="n">
        <x:v>6.47</x:v>
      </x:c>
      <x:c r="P223" s="150" t="n">
        <x:v>3.992</x:v>
      </x:c>
      <x:c r="Q223" s="86" t="n">
        <x:v>21</x:v>
      </x:c>
      <x:c r="R223" s="32"/>
      <x:c r="S223" s="32" t="str">
        <x:v>ok</x:v>
      </x:c>
      <x:c r="T223" s="32" t="str">
        <x:v>ok</x:v>
      </x:c>
      <x:c r="U223" s="32" t="str">
        <x:v>ok</x:v>
      </x:c>
      <x:c r="V223" s="32" t="str">
        <x:v>ok</x:v>
      </x:c>
      <x:c r="W223" s="154" t="str">
        <x:v>{"schema_version":1,"imei":"862323089930704","timestamp":1786017653,"report_sequence":10,"task_version":"rice_tension_soil_demo","sensor_mode":"tension_soil","soil_moisture_percent":36.1,"soil_temperature_c":24.6,"soil_ec_us_cm":794,"soil_ph":6.47,"battery_mv":3992,"csq":21,"soil_rs485_status":"ok","cycle_status":"ok","soil_tension_kpa":-25.1,"soil_tension_rs485_status":"ok"}</x:v>
      </x:c>
    </x:row>
    <x:row r="224">
      <x:c r="A224" s="72" t="n">
        <x:v>46240.83394675926</x:v>
      </x:c>
      <x:c r="B224" s="72" t="n">
        <x:v>46240.833960648146</x:v>
      </x:c>
      <x:c r="C224" s="32" t="str">
        <x:v>P05</x:v>
      </x:c>
      <x:c r="D224" s="32" t="str">
        <x:v>B1-W2-V1</x:v>
      </x:c>
      <x:c r="E224" s="32" t="str">
        <x:v>B1</x:v>
      </x:c>
      <x:c r="F224" s="32" t="str">
        <x:v>W2</x:v>
      </x:c>
      <x:c r="G224" s="32" t="str">
        <x:v>V1</x:v>
      </x:c>
      <x:c r="H224" s="32" t="str">
        <x:v>tension_soil</x:v>
      </x:c>
      <x:c r="I224" s="32" t="str">
        <x:v>862323089930705</x:v>
      </x:c>
      <x:c r="J224" s="82"/>
      <x:c r="K224" s="82" t="n">
        <x:v>-32</x:v>
      </x:c>
      <x:c r="L224" s="82" t="n">
        <x:v>37</x:v>
      </x:c>
      <x:c r="M224" s="82" t="n">
        <x:v>24.6</x:v>
      </x:c>
      <x:c r="N224" s="86" t="n">
        <x:v>805</x:v>
      </x:c>
      <x:c r="O224" s="90" t="n">
        <x:v>6.27</x:v>
      </x:c>
      <x:c r="P224" s="150" t="n">
        <x:v>4.01</x:v>
      </x:c>
      <x:c r="Q224" s="86" t="n">
        <x:v>22</x:v>
      </x:c>
      <x:c r="R224" s="32"/>
      <x:c r="S224" s="32" t="str">
        <x:v>ok</x:v>
      </x:c>
      <x:c r="T224" s="32" t="str">
        <x:v>ok</x:v>
      </x:c>
      <x:c r="U224" s="32" t="str">
        <x:v>ok</x:v>
      </x:c>
      <x:c r="V224" s="32" t="str">
        <x:v>ok</x:v>
      </x:c>
      <x:c r="W224" s="154" t="str">
        <x:v>{"schema_version":1,"imei":"862323089930705","timestamp":1786017653,"report_sequence":10,"task_version":"rice_tension_soil_demo","sensor_mode":"tension_soil","soil_moisture_percent":37,"soil_temperature_c":24.6,"soil_ec_us_cm":805,"soil_ph":6.27,"battery_mv":4010,"csq":22,"soil_rs485_status":"ok","cycle_status":"ok","soil_tension_kpa":-32,"soil_tension_rs485_status":"ok"}</x:v>
      </x:c>
    </x:row>
    <x:row r="225">
      <x:c r="A225" s="72" t="n">
        <x:v>46240.83394675926</x:v>
      </x:c>
      <x:c r="B225" s="72" t="n">
        <x:v>46240.833960648146</x:v>
      </x:c>
      <x:c r="C225" s="32" t="str">
        <x:v>P06</x:v>
      </x:c>
      <x:c r="D225" s="32" t="str">
        <x:v>B1-W2-V2</x:v>
      </x:c>
      <x:c r="E225" s="32" t="str">
        <x:v>B1</x:v>
      </x:c>
      <x:c r="F225" s="32" t="str">
        <x:v>W2</x:v>
      </x:c>
      <x:c r="G225" s="32" t="str">
        <x:v>V2</x:v>
      </x:c>
      <x:c r="H225" s="32" t="str">
        <x:v>tension_soil</x:v>
      </x:c>
      <x:c r="I225" s="32" t="str">
        <x:v>862323089930706</x:v>
      </x:c>
      <x:c r="J225" s="82"/>
      <x:c r="K225" s="82" t="n">
        <x:v>-33.1</x:v>
      </x:c>
      <x:c r="L225" s="82" t="n">
        <x:v>38.1</x:v>
      </x:c>
      <x:c r="M225" s="82" t="n">
        <x:v>24.6</x:v>
      </x:c>
      <x:c r="N225" s="86" t="n">
        <x:v>818</x:v>
      </x:c>
      <x:c r="O225" s="90" t="n">
        <x:v>6.32</x:v>
      </x:c>
      <x:c r="P225" s="150" t="n">
        <x:v>3.92</x:v>
      </x:c>
      <x:c r="Q225" s="86" t="n">
        <x:v>23</x:v>
      </x:c>
      <x:c r="R225" s="32"/>
      <x:c r="S225" s="32" t="str">
        <x:v>ok</x:v>
      </x:c>
      <x:c r="T225" s="32" t="str">
        <x:v>ok</x:v>
      </x:c>
      <x:c r="U225" s="32" t="str">
        <x:v>ok</x:v>
      </x:c>
      <x:c r="V225" s="32" t="str">
        <x:v>ok</x:v>
      </x:c>
      <x:c r="W225" s="154" t="str">
        <x:v>{"schema_version":1,"imei":"862323089930706","timestamp":1786017653,"report_sequence":10,"task_version":"rice_tension_soil_demo","sensor_mode":"tension_soil","soil_moisture_percent":38.1,"soil_temperature_c":24.6,"soil_ec_us_cm":818,"soil_ph":6.32,"battery_mv":3920,"csq":23,"soil_rs485_status":"ok","cycle_status":"ok","soil_tension_kpa":-33.1,"soil_tension_rs485_status":"ok"}</x:v>
      </x:c>
    </x:row>
    <x:row r="226">
      <x:c r="A226" s="72" t="n">
        <x:v>46240.83394675926</x:v>
      </x:c>
      <x:c r="B226" s="72" t="n">
        <x:v>46240.833960648146</x:v>
      </x:c>
      <x:c r="C226" s="32" t="str">
        <x:v>P07</x:v>
      </x:c>
      <x:c r="D226" s="32" t="str">
        <x:v>B2-W0-V1</x:v>
      </x:c>
      <x:c r="E226" s="32" t="str">
        <x:v>B2</x:v>
      </x:c>
      <x:c r="F226" s="32" t="str">
        <x:v>W0</x:v>
      </x:c>
      <x:c r="G226" s="32" t="str">
        <x:v>V1</x:v>
      </x:c>
      <x:c r="H226" s="32" t="str">
        <x:v>water_soil</x:v>
      </x:c>
      <x:c r="I226" s="32" t="str">
        <x:v>862323089930707</x:v>
      </x:c>
      <x:c r="J226" s="82" t="n">
        <x:v>32.6</x:v>
      </x:c>
      <x:c r="K226" s="82"/>
      <x:c r="L226" s="82" t="n">
        <x:v>39.2</x:v>
      </x:c>
      <x:c r="M226" s="82" t="n">
        <x:v>24.7</x:v>
      </x:c>
      <x:c r="N226" s="86" t="n">
        <x:v>833</x:v>
      </x:c>
      <x:c r="O226" s="90" t="n">
        <x:v>6.37</x:v>
      </x:c>
      <x:c r="P226" s="150" t="n">
        <x:v>3.938</x:v>
      </x:c>
      <x:c r="Q226" s="86" t="n">
        <x:v>24</x:v>
      </x:c>
      <x:c r="R226" s="32" t="str">
        <x:v>ok</x:v>
      </x:c>
      <x:c r="S226" s="32"/>
      <x:c r="T226" s="32" t="str">
        <x:v>ok</x:v>
      </x:c>
      <x:c r="U226" s="32" t="str">
        <x:v>ok</x:v>
      </x:c>
      <x:c r="V226" s="32" t="str">
        <x:v>ok</x:v>
      </x:c>
      <x:c r="W226" s="154" t="str">
        <x:v>{"schema_version":1,"imei":"862323089930707","timestamp":1786017653,"report_sequence":10,"task_version":"rice_w0_water_soil_demo","sensor_mode":"water_soil","soil_moisture_percent":39.2,"soil_temperature_c":24.7,"soil_ec_us_cm":833,"soil_ph":6.37,"battery_mv":3938,"csq":24,"soil_rs485_status":"ok","cycle_status":"ok","water_level_mm":32.6,"water_4_20ma_status":"ok"}</x:v>
      </x:c>
    </x:row>
    <x:row r="227">
      <x:c r="A227" s="72" t="n">
        <x:v>46240.83394675926</x:v>
      </x:c>
      <x:c r="B227" s="72" t="n">
        <x:v>46240.833960648146</x:v>
      </x:c>
      <x:c r="C227" s="32" t="str">
        <x:v>P08</x:v>
      </x:c>
      <x:c r="D227" s="32" t="str">
        <x:v>B2-W0-V2</x:v>
      </x:c>
      <x:c r="E227" s="32" t="str">
        <x:v>B2</x:v>
      </x:c>
      <x:c r="F227" s="32" t="str">
        <x:v>W0</x:v>
      </x:c>
      <x:c r="G227" s="32" t="str">
        <x:v>V2</x:v>
      </x:c>
      <x:c r="H227" s="32" t="str">
        <x:v>water_soil</x:v>
      </x:c>
      <x:c r="I227" s="32" t="str">
        <x:v>862323089930708</x:v>
      </x:c>
      <x:c r="J227" s="82" t="n">
        <x:v>24.4</x:v>
      </x:c>
      <x:c r="K227" s="82"/>
      <x:c r="L227" s="82" t="n">
        <x:v>32.5</x:v>
      </x:c>
      <x:c r="M227" s="82" t="n">
        <x:v>24.7</x:v>
      </x:c>
      <x:c r="N227" s="86" t="n">
        <x:v>850</x:v>
      </x:c>
      <x:c r="O227" s="90" t="n">
        <x:v>6.43</x:v>
      </x:c>
      <x:c r="P227" s="150" t="n">
        <x:v>3.956</x:v>
      </x:c>
      <x:c r="Q227" s="86" t="n">
        <x:v>17</x:v>
      </x:c>
      <x:c r="R227" s="32" t="str">
        <x:v>ok</x:v>
      </x:c>
      <x:c r="S227" s="32"/>
      <x:c r="T227" s="32" t="str">
        <x:v>ok</x:v>
      </x:c>
      <x:c r="U227" s="32" t="str">
        <x:v>ok</x:v>
      </x:c>
      <x:c r="V227" s="32" t="str">
        <x:v>ok</x:v>
      </x:c>
      <x:c r="W227" s="154" t="str">
        <x:v>{"schema_version":1,"imei":"862323089930708","timestamp":1786017653,"report_sequence":10,"task_version":"rice_w0_water_soil_demo","sensor_mode":"water_soil","soil_moisture_percent":32.5,"soil_temperature_c":24.7,"soil_ec_us_cm":850,"soil_ph":6.43,"battery_mv":3956,"csq":17,"soil_rs485_status":"ok","cycle_status":"ok","water_level_mm":24.4,"water_4_20ma_status":"ok"}</x:v>
      </x:c>
    </x:row>
    <x:row r="228">
      <x:c r="A228" s="72" t="n">
        <x:v>46240.83394675926</x:v>
      </x:c>
      <x:c r="B228" s="72" t="n">
        <x:v>46240.833960648146</x:v>
      </x:c>
      <x:c r="C228" s="32" t="str">
        <x:v>P09</x:v>
      </x:c>
      <x:c r="D228" s="32" t="str">
        <x:v>B2-W1-V1</x:v>
      </x:c>
      <x:c r="E228" s="32" t="str">
        <x:v>B2</x:v>
      </x:c>
      <x:c r="F228" s="32" t="str">
        <x:v>W1</x:v>
      </x:c>
      <x:c r="G228" s="32" t="str">
        <x:v>V1</x:v>
      </x:c>
      <x:c r="H228" s="32" t="str">
        <x:v>tension_soil</x:v>
      </x:c>
      <x:c r="I228" s="32" t="str">
        <x:v>862323089930709</x:v>
      </x:c>
      <x:c r="J228" s="82"/>
      <x:c r="K228" s="82" t="n">
        <x:v>-25.9</x:v>
      </x:c>
      <x:c r="L228" s="82" t="n">
        <x:v>33.9</x:v>
      </x:c>
      <x:c r="M228" s="82" t="n">
        <x:v>24.8</x:v>
      </x:c>
      <x:c r="N228" s="86" t="n">
        <x:v>869</x:v>
      </x:c>
      <x:c r="O228" s="90" t="n">
        <x:v>6.48</x:v>
      </x:c>
      <x:c r="P228" s="150" t="n">
        <x:v>3.974</x:v>
      </x:c>
      <x:c r="Q228" s="86" t="n">
        <x:v>18</x:v>
      </x:c>
      <x:c r="R228" s="32"/>
      <x:c r="S228" s="32" t="str">
        <x:v>ok</x:v>
      </x:c>
      <x:c r="T228" s="32" t="str">
        <x:v>ok</x:v>
      </x:c>
      <x:c r="U228" s="32" t="str">
        <x:v>ok</x:v>
      </x:c>
      <x:c r="V228" s="32" t="str">
        <x:v>ok</x:v>
      </x:c>
      <x:c r="W228" s="154" t="str">
        <x:v>{"schema_version":1,"imei":"862323089930709","timestamp":1786017653,"report_sequence":10,"task_version":"rice_tension_soil_demo","sensor_mode":"tension_soil","soil_moisture_percent":33.9,"soil_temperature_c":24.8,"soil_ec_us_cm":869,"soil_ph":6.48,"battery_mv":3974,"csq":18,"soil_rs485_status":"ok","cycle_status":"ok","soil_tension_kpa":-25.9,"soil_tension_rs485_status":"ok"}</x:v>
      </x:c>
    </x:row>
    <x:row r="229">
      <x:c r="A229" s="72" t="n">
        <x:v>46240.83394675926</x:v>
      </x:c>
      <x:c r="B229" s="72" t="n">
        <x:v>46240.833960648146</x:v>
      </x:c>
      <x:c r="C229" s="32" t="str">
        <x:v>P10</x:v>
      </x:c>
      <x:c r="D229" s="32" t="str">
        <x:v>B2-W1-V2</x:v>
      </x:c>
      <x:c r="E229" s="32" t="str">
        <x:v>B2</x:v>
      </x:c>
      <x:c r="F229" s="32" t="str">
        <x:v>W1</x:v>
      </x:c>
      <x:c r="G229" s="32" t="str">
        <x:v>V2</x:v>
      </x:c>
      <x:c r="H229" s="32" t="str">
        <x:v>tension_soil</x:v>
      </x:c>
      <x:c r="I229" s="32" t="str">
        <x:v>862323089930710</x:v>
      </x:c>
      <x:c r="J229" s="82"/>
      <x:c r="K229" s="82" t="n">
        <x:v>-22.4</x:v>
      </x:c>
      <x:c r="L229" s="82" t="n">
        <x:v>35.4</x:v>
      </x:c>
      <x:c r="M229" s="82" t="n">
        <x:v>24.9</x:v>
      </x:c>
      <x:c r="N229" s="86" t="n">
        <x:v>889</x:v>
      </x:c>
      <x:c r="O229" s="90" t="n">
        <x:v>6.29</x:v>
      </x:c>
      <x:c r="P229" s="150" t="n">
        <x:v>3.992</x:v>
      </x:c>
      <x:c r="Q229" s="86" t="n">
        <x:v>19</x:v>
      </x:c>
      <x:c r="R229" s="32"/>
      <x:c r="S229" s="32" t="str">
        <x:v>ok</x:v>
      </x:c>
      <x:c r="T229" s="32" t="str">
        <x:v>ok</x:v>
      </x:c>
      <x:c r="U229" s="32" t="str">
        <x:v>ok</x:v>
      </x:c>
      <x:c r="V229" s="32" t="str">
        <x:v>ok</x:v>
      </x:c>
      <x:c r="W229" s="154" t="str">
        <x:v>{"schema_version":1,"imei":"862323089930710","timestamp":1786017653,"report_sequence":10,"task_version":"rice_tension_soil_demo","sensor_mode":"tension_soil","soil_moisture_percent":35.4,"soil_temperature_c":24.9,"soil_ec_us_cm":889,"soil_ph":6.29,"battery_mv":3992,"csq":19,"soil_rs485_status":"ok","cycle_status":"ok","soil_tension_kpa":-22.4,"soil_tension_rs485_status":"ok"}</x:v>
      </x:c>
    </x:row>
    <x:row r="230">
      <x:c r="A230" s="72" t="n">
        <x:v>46240.83394675926</x:v>
      </x:c>
      <x:c r="B230" s="72" t="n">
        <x:v>46240.833960648146</x:v>
      </x:c>
      <x:c r="C230" s="32" t="str">
        <x:v>P11</x:v>
      </x:c>
      <x:c r="D230" s="32" t="str">
        <x:v>B2-W2-V1</x:v>
      </x:c>
      <x:c r="E230" s="32" t="str">
        <x:v>B2</x:v>
      </x:c>
      <x:c r="F230" s="32" t="str">
        <x:v>W2</x:v>
      </x:c>
      <x:c r="G230" s="32" t="str">
        <x:v>V1</x:v>
      </x:c>
      <x:c r="H230" s="32" t="str">
        <x:v>tension_soil</x:v>
      </x:c>
      <x:c r="I230" s="32" t="str">
        <x:v>862323089930711</x:v>
      </x:c>
      <x:c r="J230" s="82"/>
      <x:c r="K230" s="82" t="n">
        <x:v>-34.9</x:v>
      </x:c>
      <x:c r="L230" s="82" t="n">
        <x:v>36.9</x:v>
      </x:c>
      <x:c r="M230" s="82" t="n">
        <x:v>25.1</x:v>
      </x:c>
      <x:c r="N230" s="86" t="n">
        <x:v>910</x:v>
      </x:c>
      <x:c r="O230" s="90" t="n">
        <x:v>6.35</x:v>
      </x:c>
      <x:c r="P230" s="150" t="n">
        <x:v>4.01</x:v>
      </x:c>
      <x:c r="Q230" s="86" t="n">
        <x:v>20</x:v>
      </x:c>
      <x:c r="R230" s="32"/>
      <x:c r="S230" s="32" t="str">
        <x:v>ok</x:v>
      </x:c>
      <x:c r="T230" s="32" t="str">
        <x:v>ok</x:v>
      </x:c>
      <x:c r="U230" s="32" t="str">
        <x:v>ok</x:v>
      </x:c>
      <x:c r="V230" s="32" t="str">
        <x:v>ok</x:v>
      </x:c>
      <x:c r="W230" s="154" t="str">
        <x:v>{"schema_version":1,"imei":"862323089930711","timestamp":1786017653,"report_sequence":10,"task_version":"rice_tension_soil_demo","sensor_mode":"tension_soil","soil_moisture_percent":36.9,"soil_temperature_c":25.1,"soil_ec_us_cm":910,"soil_ph":6.35,"battery_mv":4010,"csq":20,"soil_rs485_status":"ok","cycle_status":"ok","soil_tension_kpa":-34.9,"soil_tension_rs485_status":"ok"}</x:v>
      </x:c>
    </x:row>
    <x:row r="231">
      <x:c r="A231" s="72" t="n">
        <x:v>46240.83394675926</x:v>
      </x:c>
      <x:c r="B231" s="72" t="n">
        <x:v>46240.833960648146</x:v>
      </x:c>
      <x:c r="C231" s="32" t="str">
        <x:v>P12</x:v>
      </x:c>
      <x:c r="D231" s="32" t="str">
        <x:v>B2-W2-V2</x:v>
      </x:c>
      <x:c r="E231" s="32" t="str">
        <x:v>B2</x:v>
      </x:c>
      <x:c r="F231" s="32" t="str">
        <x:v>W2</x:v>
      </x:c>
      <x:c r="G231" s="32" t="str">
        <x:v>V2</x:v>
      </x:c>
      <x:c r="H231" s="32" t="str">
        <x:v>tension_soil</x:v>
      </x:c>
      <x:c r="I231" s="32" t="str">
        <x:v>862323089930712</x:v>
      </x:c>
      <x:c r="J231" s="82"/>
      <x:c r="K231" s="82" t="n">
        <x:v>-36.4</x:v>
      </x:c>
      <x:c r="L231" s="82" t="n">
        <x:v>38.4</x:v>
      </x:c>
      <x:c r="M231" s="82" t="n">
        <x:v>25.2</x:v>
      </x:c>
      <x:c r="N231" s="86" t="n">
        <x:v>930</x:v>
      </x:c>
      <x:c r="O231" s="90" t="n">
        <x:v>6.41</x:v>
      </x:c>
      <x:c r="P231" s="150" t="n">
        <x:v>3.92</x:v>
      </x:c>
      <x:c r="Q231" s="86" t="n">
        <x:v>21</x:v>
      </x:c>
      <x:c r="R231" s="32"/>
      <x:c r="S231" s="32" t="str">
        <x:v>ok</x:v>
      </x:c>
      <x:c r="T231" s="32" t="str">
        <x:v>ok</x:v>
      </x:c>
      <x:c r="U231" s="32" t="str">
        <x:v>ok</x:v>
      </x:c>
      <x:c r="V231" s="32" t="str">
        <x:v>ok</x:v>
      </x:c>
      <x:c r="W231" s="154" t="str">
        <x:v>{"schema_version":1,"imei":"862323089930712","timestamp":1786017653,"report_sequence":10,"task_version":"rice_tension_soil_demo","sensor_mode":"tension_soil","soil_moisture_percent":38.4,"soil_temperature_c":25.2,"soil_ec_us_cm":930,"soil_ph":6.41,"battery_mv":3920,"csq":21,"soil_rs485_status":"ok","cycle_status":"ok","soil_tension_kpa":-36.4,"soil_tension_rs485_status":"ok"}</x:v>
      </x:c>
    </x:row>
    <x:row r="232">
      <x:c r="A232" s="72" t="n">
        <x:v>46240.83394675926</x:v>
      </x:c>
      <x:c r="B232" s="72" t="n">
        <x:v>46240.833960648146</x:v>
      </x:c>
      <x:c r="C232" s="32" t="str">
        <x:v>P13</x:v>
      </x:c>
      <x:c r="D232" s="32" t="str">
        <x:v>B3-W0-V1</x:v>
      </x:c>
      <x:c r="E232" s="32" t="str">
        <x:v>B3</x:v>
      </x:c>
      <x:c r="F232" s="32" t="str">
        <x:v>W0</x:v>
      </x:c>
      <x:c r="G232" s="32" t="str">
        <x:v>V1</x:v>
      </x:c>
      <x:c r="H232" s="32" t="str">
        <x:v>water_soil</x:v>
      </x:c>
      <x:c r="I232" s="32" t="str">
        <x:v>862323089930713</x:v>
      </x:c>
      <x:c r="J232" s="82" t="n">
        <x:v>33.1</x:v>
      </x:c>
      <x:c r="K232" s="82"/>
      <x:c r="L232" s="82" t="n">
        <x:v>39.8</x:v>
      </x:c>
      <x:c r="M232" s="82" t="n">
        <x:v>25.3</x:v>
      </x:c>
      <x:c r="N232" s="86" t="n">
        <x:v>951</x:v>
      </x:c>
      <x:c r="O232" s="90" t="n">
        <x:v>6.46</x:v>
      </x:c>
      <x:c r="P232" s="150" t="n">
        <x:v>3.938</x:v>
      </x:c>
      <x:c r="Q232" s="86" t="n">
        <x:v>22</x:v>
      </x:c>
      <x:c r="R232" s="32" t="str">
        <x:v>ok</x:v>
      </x:c>
      <x:c r="S232" s="32"/>
      <x:c r="T232" s="32" t="str">
        <x:v>ok</x:v>
      </x:c>
      <x:c r="U232" s="32" t="str">
        <x:v>ok</x:v>
      </x:c>
      <x:c r="V232" s="32" t="str">
        <x:v>ok</x:v>
      </x:c>
      <x:c r="W232" s="154" t="str">
        <x:v>{"schema_version":1,"imei":"862323089930713","timestamp":1786017653,"report_sequence":10,"task_version":"rice_w0_water_soil_demo","sensor_mode":"water_soil","soil_moisture_percent":39.8,"soil_temperature_c":25.3,"soil_ec_us_cm":951,"soil_ph":6.46,"battery_mv":3938,"csq":22,"soil_rs485_status":"ok","cycle_status":"ok","water_level_mm":33.1,"water_4_20ma_status":"ok"}</x:v>
      </x:c>
    </x:row>
    <x:row r="233">
      <x:c r="A233" s="72" t="n">
        <x:v>46240.83394675926</x:v>
      </x:c>
      <x:c r="B233" s="72" t="n">
        <x:v>46240.833960648146</x:v>
      </x:c>
      <x:c r="C233" s="32" t="str">
        <x:v>P14</x:v>
      </x:c>
      <x:c r="D233" s="32" t="str">
        <x:v>B3-W0-V2</x:v>
      </x:c>
      <x:c r="E233" s="32" t="str">
        <x:v>B3</x:v>
      </x:c>
      <x:c r="F233" s="32" t="str">
        <x:v>W0</x:v>
      </x:c>
      <x:c r="G233" s="32" t="str">
        <x:v>V2</x:v>
      </x:c>
      <x:c r="H233" s="32" t="str">
        <x:v>water_soil</x:v>
      </x:c>
      <x:c r="I233" s="32" t="str">
        <x:v>862323089930714</x:v>
      </x:c>
      <x:c r="J233" s="82" t="n">
        <x:v>37.2</x:v>
      </x:c>
      <x:c r="K233" s="82"/>
      <x:c r="L233" s="82" t="n">
        <x:v>41.3</x:v>
      </x:c>
      <x:c r="M233" s="82" t="n">
        <x:v>25.4</x:v>
      </x:c>
      <x:c r="N233" s="86" t="n">
        <x:v>970</x:v>
      </x:c>
      <x:c r="O233" s="90" t="n">
        <x:v>6.52</x:v>
      </x:c>
      <x:c r="P233" s="150" t="n">
        <x:v>3.956</x:v>
      </x:c>
      <x:c r="Q233" s="86" t="n">
        <x:v>23</x:v>
      </x:c>
      <x:c r="R233" s="32" t="str">
        <x:v>ok</x:v>
      </x:c>
      <x:c r="S233" s="32"/>
      <x:c r="T233" s="32" t="str">
        <x:v>ok</x:v>
      </x:c>
      <x:c r="U233" s="32" t="str">
        <x:v>ok</x:v>
      </x:c>
      <x:c r="V233" s="32" t="str">
        <x:v>ok</x:v>
      </x:c>
      <x:c r="W233" s="154" t="str">
        <x:v>{"schema_version":1,"imei":"862323089930714","timestamp":1786017653,"report_sequence":10,"task_version":"rice_w0_water_soil_demo","sensor_mode":"water_soil","soil_moisture_percent":41.3,"soil_temperature_c":25.4,"soil_ec_us_cm":970,"soil_ph":6.52,"battery_mv":3956,"csq":23,"soil_rs485_status":"ok","cycle_status":"ok","water_level_mm":37.2,"water_4_20ma_status":"ok"}</x:v>
      </x:c>
    </x:row>
    <x:row r="234">
      <x:c r="A234" s="72" t="n">
        <x:v>46240.83394675926</x:v>
      </x:c>
      <x:c r="B234" s="72" t="n">
        <x:v>46240.833960648146</x:v>
      </x:c>
      <x:c r="C234" s="32" t="str">
        <x:v>P15</x:v>
      </x:c>
      <x:c r="D234" s="32" t="str">
        <x:v>B3-W1-V1</x:v>
      </x:c>
      <x:c r="E234" s="32" t="str">
        <x:v>B3</x:v>
      </x:c>
      <x:c r="F234" s="32" t="str">
        <x:v>W1</x:v>
      </x:c>
      <x:c r="G234" s="32" t="str">
        <x:v>V1</x:v>
      </x:c>
      <x:c r="H234" s="32" t="str">
        <x:v>tension_soil</x:v>
      </x:c>
      <x:c r="I234" s="32" t="str">
        <x:v>862323089930715</x:v>
      </x:c>
      <x:c r="J234" s="82"/>
      <x:c r="K234" s="82" t="n">
        <x:v>-24.6</x:v>
      </x:c>
      <x:c r="L234" s="82" t="n">
        <x:v>42.6</x:v>
      </x:c>
      <x:c r="M234" s="82" t="n">
        <x:v>25.5</x:v>
      </x:c>
      <x:c r="N234" s="86" t="n">
        <x:v>988</x:v>
      </x:c>
      <x:c r="O234" s="90" t="n">
        <x:v>6.32</x:v>
      </x:c>
      <x:c r="P234" s="150" t="n">
        <x:v>3.974</x:v>
      </x:c>
      <x:c r="Q234" s="86" t="n">
        <x:v>24</x:v>
      </x:c>
      <x:c r="R234" s="32"/>
      <x:c r="S234" s="32" t="str">
        <x:v>ok</x:v>
      </x:c>
      <x:c r="T234" s="32" t="str">
        <x:v>ok</x:v>
      </x:c>
      <x:c r="U234" s="32" t="str">
        <x:v>ok</x:v>
      </x:c>
      <x:c r="V234" s="32" t="str">
        <x:v>ok</x:v>
      </x:c>
      <x:c r="W234" s="154" t="str">
        <x:v>{"schema_version":1,"imei":"862323089930715","timestamp":1786017653,"report_sequence":10,"task_version":"rice_tension_soil_demo","sensor_mode":"tension_soil","soil_moisture_percent":42.6,"soil_temperature_c":25.5,"soil_ec_us_cm":988,"soil_ph":6.32,"battery_mv":3974,"csq":24,"soil_rs485_status":"ok","cycle_status":"ok","soil_tension_kpa":-24.6,"soil_tension_rs485_status":"ok"}</x:v>
      </x:c>
    </x:row>
    <x:row r="235">
      <x:c r="A235" s="72" t="n">
        <x:v>46240.83394675926</x:v>
      </x:c>
      <x:c r="B235" s="72" t="n">
        <x:v>46240.833960648146</x:v>
      </x:c>
      <x:c r="C235" s="32" t="str">
        <x:v>P16</x:v>
      </x:c>
      <x:c r="D235" s="32" t="str">
        <x:v>B3-W1-V2</x:v>
      </x:c>
      <x:c r="E235" s="32" t="str">
        <x:v>B3</x:v>
      </x:c>
      <x:c r="F235" s="32" t="str">
        <x:v>W1</x:v>
      </x:c>
      <x:c r="G235" s="32" t="str">
        <x:v>V2</x:v>
      </x:c>
      <x:c r="H235" s="32" t="str">
        <x:v>tension_soil</x:v>
      </x:c>
      <x:c r="I235" s="32" t="str">
        <x:v>862323089930716</x:v>
      </x:c>
      <x:c r="J235" s="82"/>
      <x:c r="K235" s="82" t="n">
        <x:v>-25.9</x:v>
      </x:c>
      <x:c r="L235" s="82" t="n">
        <x:v>35.9</x:v>
      </x:c>
      <x:c r="M235" s="82" t="n">
        <x:v>25.6</x:v>
      </x:c>
      <x:c r="N235" s="86" t="n">
        <x:v>1004</x:v>
      </x:c>
      <x:c r="O235" s="90" t="n">
        <x:v>6.38</x:v>
      </x:c>
      <x:c r="P235" s="150" t="n">
        <x:v>3.992</x:v>
      </x:c>
      <x:c r="Q235" s="86" t="n">
        <x:v>17</x:v>
      </x:c>
      <x:c r="R235" s="32"/>
      <x:c r="S235" s="32" t="str">
        <x:v>ok</x:v>
      </x:c>
      <x:c r="T235" s="32" t="str">
        <x:v>ok</x:v>
      </x:c>
      <x:c r="U235" s="32" t="str">
        <x:v>ok</x:v>
      </x:c>
      <x:c r="V235" s="32" t="str">
        <x:v>ok</x:v>
      </x:c>
      <x:c r="W235" s="154" t="str">
        <x:v>{"schema_version":1,"imei":"862323089930716","timestamp":1786017653,"report_sequence":10,"task_version":"rice_tension_soil_demo","sensor_mode":"tension_soil","soil_moisture_percent":35.9,"soil_temperature_c":25.6,"soil_ec_us_cm":1004,"soil_ph":6.38,"battery_mv":3992,"csq":17,"soil_rs485_status":"ok","cycle_status":"ok","soil_tension_kpa":-25.9,"soil_tension_rs485_status":"ok"}</x:v>
      </x:c>
    </x:row>
    <x:row r="236">
      <x:c r="A236" s="72" t="n">
        <x:v>46240.83394675926</x:v>
      </x:c>
      <x:c r="B236" s="72" t="n">
        <x:v>46240.833960648146</x:v>
      </x:c>
      <x:c r="C236" s="32" t="str">
        <x:v>P17</x:v>
      </x:c>
      <x:c r="D236" s="32" t="str">
        <x:v>B3-W2-V1</x:v>
      </x:c>
      <x:c r="E236" s="32" t="str">
        <x:v>B3</x:v>
      </x:c>
      <x:c r="F236" s="32" t="str">
        <x:v>W2</x:v>
      </x:c>
      <x:c r="G236" s="32" t="str">
        <x:v>V1</x:v>
      </x:c>
      <x:c r="H236" s="32" t="str">
        <x:v>tension_soil</x:v>
      </x:c>
      <x:c r="I236" s="32" t="str">
        <x:v>862323089930717</x:v>
      </x:c>
      <x:c r="J236" s="82"/>
      <x:c r="K236" s="82" t="n">
        <x:v>-38</x:v>
      </x:c>
      <x:c r="L236" s="82" t="n">
        <x:v>37</x:v>
      </x:c>
      <x:c r="M236" s="82" t="n">
        <x:v>25.6</x:v>
      </x:c>
      <x:c r="N236" s="86" t="n">
        <x:v>1019</x:v>
      </x:c>
      <x:c r="O236" s="90" t="n">
        <x:v>6.43</x:v>
      </x:c>
      <x:c r="P236" s="150" t="n">
        <x:v>4.01</x:v>
      </x:c>
      <x:c r="Q236" s="86" t="n">
        <x:v>18</x:v>
      </x:c>
      <x:c r="R236" s="32"/>
      <x:c r="S236" s="32" t="str">
        <x:v>ok</x:v>
      </x:c>
      <x:c r="T236" s="32" t="str">
        <x:v>ok</x:v>
      </x:c>
      <x:c r="U236" s="32" t="str">
        <x:v>ok</x:v>
      </x:c>
      <x:c r="V236" s="32" t="str">
        <x:v>ok</x:v>
      </x:c>
      <x:c r="W236" s="154" t="str">
        <x:v>{"schema_version":1,"imei":"862323089930717","timestamp":1786017653,"report_sequence":10,"task_version":"rice_tension_soil_demo","sensor_mode":"tension_soil","soil_moisture_percent":37,"soil_temperature_c":25.6,"soil_ec_us_cm":1019,"soil_ph":6.43,"battery_mv":4010,"csq":18,"soil_rs485_status":"ok","cycle_status":"ok","soil_tension_kpa":-38,"soil_tension_rs485_status":"ok"}</x:v>
      </x:c>
    </x:row>
    <x:row r="237">
      <x:c r="A237" s="72" t="n">
        <x:v>46240.83394675926</x:v>
      </x:c>
      <x:c r="B237" s="72" t="n">
        <x:v>46240.833960648146</x:v>
      </x:c>
      <x:c r="C237" s="32" t="str">
        <x:v>P18</x:v>
      </x:c>
      <x:c r="D237" s="32" t="str">
        <x:v>B3-W2-V2</x:v>
      </x:c>
      <x:c r="E237" s="32" t="str">
        <x:v>B3</x:v>
      </x:c>
      <x:c r="F237" s="32" t="str">
        <x:v>W2</x:v>
      </x:c>
      <x:c r="G237" s="32" t="str">
        <x:v>V2</x:v>
      </x:c>
      <x:c r="H237" s="32" t="str">
        <x:v>tension_soil</x:v>
      </x:c>
      <x:c r="I237" s="32" t="str">
        <x:v>862323089930718</x:v>
      </x:c>
      <x:c r="J237" s="82"/>
      <x:c r="K237" s="82" t="n">
        <x:v>-39</x:v>
      </x:c>
      <x:c r="L237" s="82" t="n">
        <x:v>38</x:v>
      </x:c>
      <x:c r="M237" s="82" t="n">
        <x:v>25.6</x:v>
      </x:c>
      <x:c r="N237" s="86" t="n">
        <x:v>1031</x:v>
      </x:c>
      <x:c r="O237" s="90" t="n">
        <x:v>6.48</x:v>
      </x:c>
      <x:c r="P237" s="150" t="n">
        <x:v>3.92</x:v>
      </x:c>
      <x:c r="Q237" s="86" t="n">
        <x:v>19</x:v>
      </x:c>
      <x:c r="R237" s="32"/>
      <x:c r="S237" s="32" t="str">
        <x:v>ok</x:v>
      </x:c>
      <x:c r="T237" s="32" t="str">
        <x:v>ok</x:v>
      </x:c>
      <x:c r="U237" s="32" t="str">
        <x:v>ok</x:v>
      </x:c>
      <x:c r="V237" s="32" t="str">
        <x:v>ok</x:v>
      </x:c>
      <x:c r="W237" s="154" t="str">
        <x:v>{"schema_version":1,"imei":"862323089930718","timestamp":1786017653,"report_sequence":10,"task_version":"rice_tension_soil_demo","sensor_mode":"tension_soil","soil_moisture_percent":38,"soil_temperature_c":25.6,"soil_ec_us_cm":1031,"soil_ph":6.48,"battery_mv":3920,"csq":19,"soil_rs485_status":"ok","cycle_status":"ok","soil_tension_kpa":-39,"soil_tension_rs485_status":"ok"}</x:v>
      </x:c>
    </x:row>
    <x:row r="238">
      <x:c r="A238" s="72" t="n">
        <x:v>46240.83394675926</x:v>
      </x:c>
      <x:c r="B238" s="72" t="n">
        <x:v>46240.833960648146</x:v>
      </x:c>
      <x:c r="C238" s="32" t="str">
        <x:v>P19</x:v>
      </x:c>
      <x:c r="D238" s="32" t="str">
        <x:v>B4-W0-V1</x:v>
      </x:c>
      <x:c r="E238" s="32" t="str">
        <x:v>B4</x:v>
      </x:c>
      <x:c r="F238" s="32" t="str">
        <x:v>W0</x:v>
      </x:c>
      <x:c r="G238" s="32" t="str">
        <x:v>V1</x:v>
      </x:c>
      <x:c r="H238" s="32" t="str">
        <x:v>water_soil</x:v>
      </x:c>
      <x:c r="I238" s="32" t="str">
        <x:v>862323089930719</x:v>
      </x:c>
      <x:c r="J238" s="82" t="n">
        <x:v>41.7</x:v>
      </x:c>
      <x:c r="K238" s="82"/>
      <x:c r="L238" s="82" t="n">
        <x:v>38.9</x:v>
      </x:c>
      <x:c r="M238" s="82" t="n">
        <x:v>25.6</x:v>
      </x:c>
      <x:c r="N238" s="86" t="n">
        <x:v>1041</x:v>
      </x:c>
      <x:c r="O238" s="90" t="n">
        <x:v>6.53</x:v>
      </x:c>
      <x:c r="P238" s="150" t="n">
        <x:v>3.938</x:v>
      </x:c>
      <x:c r="Q238" s="86" t="n">
        <x:v>20</x:v>
      </x:c>
      <x:c r="R238" s="32" t="str">
        <x:v>ok</x:v>
      </x:c>
      <x:c r="S238" s="32"/>
      <x:c r="T238" s="32" t="str">
        <x:v>ok</x:v>
      </x:c>
      <x:c r="U238" s="32" t="str">
        <x:v>ok</x:v>
      </x:c>
      <x:c r="V238" s="32" t="str">
        <x:v>ok</x:v>
      </x:c>
      <x:c r="W238" s="154" t="str">
        <x:v>{"schema_version":1,"imei":"862323089930719","timestamp":1786017653,"report_sequence":10,"task_version":"rice_w0_water_soil_demo","sensor_mode":"water_soil","soil_moisture_percent":38.9,"soil_temperature_c":25.6,"soil_ec_us_cm":1041,"soil_ph":6.53,"battery_mv":3938,"csq":20,"soil_rs485_status":"ok","cycle_status":"ok","water_level_mm":41.7,"water_4_20ma_status":"ok"}</x:v>
      </x:c>
    </x:row>
    <x:row r="239">
      <x:c r="A239" s="72" t="n">
        <x:v>46240.83394675926</x:v>
      </x:c>
      <x:c r="B239" s="72" t="n">
        <x:v>46240.833960648146</x:v>
      </x:c>
      <x:c r="C239" s="32" t="str">
        <x:v>P20</x:v>
      </x:c>
      <x:c r="D239" s="32" t="str">
        <x:v>B4-W0-V2</x:v>
      </x:c>
      <x:c r="E239" s="32" t="str">
        <x:v>B4</x:v>
      </x:c>
      <x:c r="F239" s="32" t="str">
        <x:v>W0</x:v>
      </x:c>
      <x:c r="G239" s="32" t="str">
        <x:v>V2</x:v>
      </x:c>
      <x:c r="H239" s="32" t="str">
        <x:v>water_soil</x:v>
      </x:c>
      <x:c r="I239" s="32" t="str">
        <x:v>862323089930720</x:v>
      </x:c>
      <x:c r="J239" s="82" t="n">
        <x:v>32.1</x:v>
      </x:c>
      <x:c r="K239" s="82"/>
      <x:c r="L239" s="82" t="n">
        <x:v>39.6</x:v>
      </x:c>
      <x:c r="M239" s="82" t="n">
        <x:v>25.5</x:v>
      </x:c>
      <x:c r="N239" s="86" t="n">
        <x:v>1049</x:v>
      </x:c>
      <x:c r="O239" s="90" t="n">
        <x:v>6.32</x:v>
      </x:c>
      <x:c r="P239" s="150" t="n">
        <x:v>3.956</x:v>
      </x:c>
      <x:c r="Q239" s="86" t="n">
        <x:v>21</x:v>
      </x:c>
      <x:c r="R239" s="32" t="str">
        <x:v>ok</x:v>
      </x:c>
      <x:c r="S239" s="32"/>
      <x:c r="T239" s="32" t="str">
        <x:v>ok</x:v>
      </x:c>
      <x:c r="U239" s="32" t="str">
        <x:v>ok</x:v>
      </x:c>
      <x:c r="V239" s="32" t="str">
        <x:v>ok</x:v>
      </x:c>
      <x:c r="W239" s="154" t="str">
        <x:v>{"schema_version":1,"imei":"862323089930720","timestamp":1786017653,"report_sequence":10,"task_version":"rice_w0_water_soil_demo","sensor_mode":"water_soil","soil_moisture_percent":39.6,"soil_temperature_c":25.5,"soil_ec_us_cm":1049,"soil_ph":6.32,"battery_mv":3956,"csq":21,"soil_rs485_status":"ok","cycle_status":"ok","water_level_mm":32.1,"water_4_20ma_status":"ok"}</x:v>
      </x:c>
    </x:row>
    <x:row r="240">
      <x:c r="A240" s="72" t="n">
        <x:v>46240.83394675926</x:v>
      </x:c>
      <x:c r="B240" s="72" t="n">
        <x:v>46240.833960648146</x:v>
      </x:c>
      <x:c r="C240" s="32" t="str">
        <x:v>P21</x:v>
      </x:c>
      <x:c r="D240" s="32" t="str">
        <x:v>B4-W1-V1</x:v>
      </x:c>
      <x:c r="E240" s="32" t="str">
        <x:v>B4</x:v>
      </x:c>
      <x:c r="F240" s="32" t="str">
        <x:v>W1</x:v>
      </x:c>
      <x:c r="G240" s="32" t="str">
        <x:v>V1</x:v>
      </x:c>
      <x:c r="H240" s="32" t="str">
        <x:v>tension_soil</x:v>
      </x:c>
      <x:c r="I240" s="32" t="str">
        <x:v>862323089930721</x:v>
      </x:c>
      <x:c r="J240" s="82"/>
      <x:c r="K240" s="82" t="n">
        <x:v>-25.3</x:v>
      </x:c>
      <x:c r="L240" s="82" t="n">
        <x:v>40.3</x:v>
      </x:c>
      <x:c r="M240" s="82" t="n">
        <x:v>25.4</x:v>
      </x:c>
      <x:c r="N240" s="86" t="n">
        <x:v>1055</x:v>
      </x:c>
      <x:c r="O240" s="90" t="n">
        <x:v>6.37</x:v>
      </x:c>
      <x:c r="P240" s="150" t="n">
        <x:v>3.974</x:v>
      </x:c>
      <x:c r="Q240" s="86" t="n">
        <x:v>22</x:v>
      </x:c>
      <x:c r="R240" s="32"/>
      <x:c r="S240" s="32" t="str">
        <x:v>ok</x:v>
      </x:c>
      <x:c r="T240" s="32" t="str">
        <x:v>ok</x:v>
      </x:c>
      <x:c r="U240" s="32" t="str">
        <x:v>ok</x:v>
      </x:c>
      <x:c r="V240" s="32" t="str">
        <x:v>ok</x:v>
      </x:c>
      <x:c r="W240" s="154" t="str">
        <x:v>{"schema_version":1,"imei":"862323089930721","timestamp":1786017653,"report_sequence":10,"task_version":"rice_tension_soil_demo","sensor_mode":"tension_soil","soil_moisture_percent":40.3,"soil_temperature_c":25.4,"soil_ec_us_cm":1055,"soil_ph":6.37,"battery_mv":3974,"csq":22,"soil_rs485_status":"ok","cycle_status":"ok","soil_tension_kpa":-25.3,"soil_tension_rs485_status":"ok"}</x:v>
      </x:c>
    </x:row>
    <x:row r="241">
      <x:c r="A241" s="72" t="n">
        <x:v>46240.83394675926</x:v>
      </x:c>
      <x:c r="B241" s="72" t="n">
        <x:v>46240.833960648146</x:v>
      </x:c>
      <x:c r="C241" s="32" t="str">
        <x:v>P22</x:v>
      </x:c>
      <x:c r="D241" s="32" t="str">
        <x:v>B4-W1-V2</x:v>
      </x:c>
      <x:c r="E241" s="32" t="str">
        <x:v>B4</x:v>
      </x:c>
      <x:c r="F241" s="32" t="str">
        <x:v>W1</x:v>
      </x:c>
      <x:c r="G241" s="32" t="str">
        <x:v>V2</x:v>
      </x:c>
      <x:c r="H241" s="32" t="str">
        <x:v>tension_soil</x:v>
      </x:c>
      <x:c r="I241" s="32" t="str">
        <x:v>862323089930722</x:v>
      </x:c>
      <x:c r="J241" s="82"/>
      <x:c r="K241" s="82" t="n">
        <x:v>-25.9</x:v>
      </x:c>
      <x:c r="L241" s="82" t="n">
        <x:v>40.9</x:v>
      </x:c>
      <x:c r="M241" s="82" t="n">
        <x:v>25.3</x:v>
      </x:c>
      <x:c r="N241" s="86" t="n">
        <x:v>1059</x:v>
      </x:c>
      <x:c r="O241" s="90" t="n">
        <x:v>6.41</x:v>
      </x:c>
      <x:c r="P241" s="150" t="n">
        <x:v>3.992</x:v>
      </x:c>
      <x:c r="Q241" s="86" t="n">
        <x:v>23</x:v>
      </x:c>
      <x:c r="R241" s="32"/>
      <x:c r="S241" s="32" t="str">
        <x:v>ok</x:v>
      </x:c>
      <x:c r="T241" s="32" t="str">
        <x:v>ok</x:v>
      </x:c>
      <x:c r="U241" s="32" t="str">
        <x:v>ok</x:v>
      </x:c>
      <x:c r="V241" s="32" t="str">
        <x:v>ok</x:v>
      </x:c>
      <x:c r="W241" s="154" t="str">
        <x:v>{"schema_version":1,"imei":"862323089930722","timestamp":1786017653,"report_sequence":10,"task_version":"rice_tension_soil_demo","sensor_mode":"tension_soil","soil_moisture_percent":40.9,"soil_temperature_c":25.3,"soil_ec_us_cm":1059,"soil_ph":6.41,"battery_mv":3992,"csq":23,"soil_rs485_status":"ok","cycle_status":"ok","soil_tension_kpa":-25.9,"soil_tension_rs485_status":"ok"}</x:v>
      </x:c>
    </x:row>
    <x:row r="242">
      <x:c r="A242" s="72" t="n">
        <x:v>46240.83394675926</x:v>
      </x:c>
      <x:c r="B242" s="72" t="n">
        <x:v>46240.833960648146</x:v>
      </x:c>
      <x:c r="C242" s="32" t="str">
        <x:v>P23</x:v>
      </x:c>
      <x:c r="D242" s="32" t="str">
        <x:v>B4-W2-V1</x:v>
      </x:c>
      <x:c r="E242" s="32" t="str">
        <x:v>B4</x:v>
      </x:c>
      <x:c r="F242" s="32" t="str">
        <x:v>W2</x:v>
      </x:c>
      <x:c r="G242" s="32" t="str">
        <x:v>V1</x:v>
      </x:c>
      <x:c r="H242" s="32" t="str">
        <x:v>tension_soil</x:v>
      </x:c>
      <x:c r="I242" s="32" t="str">
        <x:v>862323089930723</x:v>
      </x:c>
      <x:c r="J242" s="82"/>
      <x:c r="K242" s="82" t="n">
        <x:v>-37.4</x:v>
      </x:c>
      <x:c r="L242" s="82" t="n">
        <x:v>41.4</x:v>
      </x:c>
      <x:c r="M242" s="82" t="n">
        <x:v>25.2</x:v>
      </x:c>
      <x:c r="N242" s="86" t="n">
        <x:v>1063</x:v>
      </x:c>
      <x:c r="O242" s="90" t="n">
        <x:v>6.46</x:v>
      </x:c>
      <x:c r="P242" s="150" t="n">
        <x:v>4.01</x:v>
      </x:c>
      <x:c r="Q242" s="86" t="n">
        <x:v>24</x:v>
      </x:c>
      <x:c r="R242" s="32"/>
      <x:c r="S242" s="32" t="str">
        <x:v>ok</x:v>
      </x:c>
      <x:c r="T242" s="32" t="str">
        <x:v>ok</x:v>
      </x:c>
      <x:c r="U242" s="32" t="str">
        <x:v>ok</x:v>
      </x:c>
      <x:c r="V242" s="32" t="str">
        <x:v>ok</x:v>
      </x:c>
      <x:c r="W242" s="154" t="str">
        <x:v>{"schema_version":1,"imei":"862323089930723","timestamp":1786017653,"report_sequence":10,"task_version":"rice_tension_soil_demo","sensor_mode":"tension_soil","soil_moisture_percent":41.4,"soil_temperature_c":25.2,"soil_ec_us_cm":1063,"soil_ph":6.46,"battery_mv":4010,"csq":24,"soil_rs485_status":"ok","cycle_status":"ok","soil_tension_kpa":-37.4,"soil_tension_rs485_status":"ok"}</x:v>
      </x:c>
    </x:row>
    <x:row r="243">
      <x:c r="A243" s="72" t="n">
        <x:v>46240.83394675926</x:v>
      </x:c>
      <x:c r="B243" s="72" t="n">
        <x:v>46240.833960648146</x:v>
      </x:c>
      <x:c r="C243" s="32" t="str">
        <x:v>P24</x:v>
      </x:c>
      <x:c r="D243" s="32" t="str">
        <x:v>B4-W2-V2</x:v>
      </x:c>
      <x:c r="E243" s="32" t="str">
        <x:v>B4</x:v>
      </x:c>
      <x:c r="F243" s="32" t="str">
        <x:v>W2</x:v>
      </x:c>
      <x:c r="G243" s="32" t="str">
        <x:v>V2</x:v>
      </x:c>
      <x:c r="H243" s="32" t="str">
        <x:v>tension_soil</x:v>
      </x:c>
      <x:c r="I243" s="32" t="str">
        <x:v>862323089930724</x:v>
      </x:c>
      <x:c r="J243" s="82"/>
      <x:c r="K243" s="82" t="n">
        <x:v>-37.9</x:v>
      </x:c>
      <x:c r="L243" s="82" t="n">
        <x:v>33.9</x:v>
      </x:c>
      <x:c r="M243" s="82" t="n">
        <x:v>25.1</x:v>
      </x:c>
      <x:c r="N243" s="86" t="n">
        <x:v>1067</x:v>
      </x:c>
      <x:c r="O243" s="90" t="n">
        <x:v>6.5</x:v>
      </x:c>
      <x:c r="P243" s="150" t="n">
        <x:v>3.92</x:v>
      </x:c>
      <x:c r="Q243" s="86" t="n">
        <x:v>17</x:v>
      </x:c>
      <x:c r="R243" s="32"/>
      <x:c r="S243" s="32" t="str">
        <x:v>ok</x:v>
      </x:c>
      <x:c r="T243" s="32" t="str">
        <x:v>ok</x:v>
      </x:c>
      <x:c r="U243" s="32" t="str">
        <x:v>ok</x:v>
      </x:c>
      <x:c r="V243" s="32" t="str">
        <x:v>ok</x:v>
      </x:c>
      <x:c r="W243" s="154" t="str">
        <x:v>{"schema_version":1,"imei":"862323089930724","timestamp":1786017653,"report_sequence":10,"task_version":"rice_tension_soil_demo","sensor_mode":"tension_soil","soil_moisture_percent":33.9,"soil_temperature_c":25.1,"soil_ec_us_cm":1067,"soil_ph":6.5,"battery_mv":3920,"csq":17,"soil_rs485_status":"ok","cycle_status":"ok","soil_tension_kpa":-37.9,"soil_tension_rs485_status":"ok"}</x:v>
      </x:c>
    </x:row>
    <x:row r="244">
      <x:c r="A244" s="72" t="n">
        <x:v>46240.83741898148</x:v>
      </x:c>
      <x:c r="B244" s="72" t="n">
        <x:v>46240.83743287037</x:v>
      </x:c>
      <x:c r="C244" s="32" t="str">
        <x:v>P01</x:v>
      </x:c>
      <x:c r="D244" s="32" t="str">
        <x:v>B1-W0-V1</x:v>
      </x:c>
      <x:c r="E244" s="32" t="str">
        <x:v>B1</x:v>
      </x:c>
      <x:c r="F244" s="32" t="str">
        <x:v>W0</x:v>
      </x:c>
      <x:c r="G244" s="32" t="str">
        <x:v>V1</x:v>
      </x:c>
      <x:c r="H244" s="32" t="str">
        <x:v>water_soil</x:v>
      </x:c>
      <x:c r="I244" s="32" t="str">
        <x:v>862323089930701</x:v>
      </x:c>
      <x:c r="J244" s="82" t="n">
        <x:v>29.4</x:v>
      </x:c>
      <x:c r="K244" s="82"/>
      <x:c r="L244" s="82" t="n">
        <x:v>34.4</x:v>
      </x:c>
      <x:c r="M244" s="82" t="n">
        <x:v>24.9</x:v>
      </x:c>
      <x:c r="N244" s="86" t="n">
        <x:v>781</x:v>
      </x:c>
      <x:c r="O244" s="90" t="n">
        <x:v>6.34</x:v>
      </x:c>
      <x:c r="P244" s="150" t="n">
        <x:v>3.938</x:v>
      </x:c>
      <x:c r="Q244" s="86" t="n">
        <x:v>18</x:v>
      </x:c>
      <x:c r="R244" s="32" t="str">
        <x:v>ok</x:v>
      </x:c>
      <x:c r="S244" s="32"/>
      <x:c r="T244" s="32" t="str">
        <x:v>ok</x:v>
      </x:c>
      <x:c r="U244" s="32" t="str">
        <x:v>ok</x:v>
      </x:c>
      <x:c r="V244" s="32" t="str">
        <x:v>ok</x:v>
      </x:c>
      <x:c r="W244" s="154" t="str">
        <x:v>{"schema_version":1,"imei":"862323089930701","timestamp":1786017953,"report_sequence":11,"task_version":"rice_w0_water_soil_demo","sensor_mode":"water_soil","soil_moisture_percent":34.4,"soil_temperature_c":24.9,"soil_ec_us_cm":781,"soil_ph":6.34,"battery_mv":3938,"csq":18,"soil_rs485_status":"ok","cycle_status":"ok","water_level_mm":29.4,"water_4_20ma_status":"ok"}</x:v>
      </x:c>
    </x:row>
    <x:row r="245">
      <x:c r="A245" s="72" t="n">
        <x:v>46240.83741898148</x:v>
      </x:c>
      <x:c r="B245" s="72" t="n">
        <x:v>46240.83743287037</x:v>
      </x:c>
      <x:c r="C245" s="32" t="str">
        <x:v>P02</x:v>
      </x:c>
      <x:c r="D245" s="32" t="str">
        <x:v>B1-W0-V2</x:v>
      </x:c>
      <x:c r="E245" s="32" t="str">
        <x:v>B1</x:v>
      </x:c>
      <x:c r="F245" s="32" t="str">
        <x:v>W0</x:v>
      </x:c>
      <x:c r="G245" s="32" t="str">
        <x:v>V2</x:v>
      </x:c>
      <x:c r="H245" s="32" t="str">
        <x:v>water_soil</x:v>
      </x:c>
      <x:c r="I245" s="32" t="str">
        <x:v>862323089930702</x:v>
      </x:c>
      <x:c r="J245" s="82" t="n">
        <x:v>31.3</x:v>
      </x:c>
      <x:c r="K245" s="82"/>
      <x:c r="L245" s="82" t="n">
        <x:v>34.9</x:v>
      </x:c>
      <x:c r="M245" s="82" t="n">
        <x:v>24.8</x:v>
      </x:c>
      <x:c r="N245" s="86" t="n">
        <x:v>785</x:v>
      </x:c>
      <x:c r="O245" s="90" t="n">
        <x:v>6.38</x:v>
      </x:c>
      <x:c r="P245" s="150" t="n">
        <x:v>3.956</x:v>
      </x:c>
      <x:c r="Q245" s="86" t="n">
        <x:v>19</x:v>
      </x:c>
      <x:c r="R245" s="32" t="str">
        <x:v>ok</x:v>
      </x:c>
      <x:c r="S245" s="32"/>
      <x:c r="T245" s="32" t="str">
        <x:v>ok</x:v>
      </x:c>
      <x:c r="U245" s="32" t="str">
        <x:v>ok</x:v>
      </x:c>
      <x:c r="V245" s="32" t="str">
        <x:v>ok</x:v>
      </x:c>
      <x:c r="W245" s="154" t="str">
        <x:v>{"schema_version":1,"imei":"862323089930702","timestamp":1786017953,"report_sequence":11,"task_version":"rice_w0_water_soil_demo","sensor_mode":"water_soil","soil_moisture_percent":34.9,"soil_temperature_c":24.8,"soil_ec_us_cm":785,"soil_ph":6.38,"battery_mv":3956,"csq":19,"soil_rs485_status":"ok","cycle_status":"ok","water_level_mm":31.3,"water_4_20ma_status":"ok"}</x:v>
      </x:c>
    </x:row>
    <x:row r="246">
      <x:c r="A246" s="72" t="n">
        <x:v>46240.83741898148</x:v>
      </x:c>
      <x:c r="B246" s="72" t="n">
        <x:v>46240.83743287037</x:v>
      </x:c>
      <x:c r="C246" s="32" t="str">
        <x:v>P03</x:v>
      </x:c>
      <x:c r="D246" s="32" t="str">
        <x:v>B1-W1-V1</x:v>
      </x:c>
      <x:c r="E246" s="32" t="str">
        <x:v>B1</x:v>
      </x:c>
      <x:c r="F246" s="32" t="str">
        <x:v>W1</x:v>
      </x:c>
      <x:c r="G246" s="32" t="str">
        <x:v>V1</x:v>
      </x:c>
      <x:c r="H246" s="32" t="str">
        <x:v>tension_soil</x:v>
      </x:c>
      <x:c r="I246" s="32" t="str">
        <x:v>862323089930703</x:v>
      </x:c>
      <x:c r="J246" s="82"/>
      <x:c r="K246" s="82" t="n">
        <x:v>-24.5</x:v>
      </x:c>
      <x:c r="L246" s="82" t="n">
        <x:v>35.5</x:v>
      </x:c>
      <x:c r="M246" s="82" t="n">
        <x:v>24.7</x:v>
      </x:c>
      <x:c r="N246" s="86" t="n">
        <x:v>790</x:v>
      </x:c>
      <x:c r="O246" s="90" t="n">
        <x:v>6.43</x:v>
      </x:c>
      <x:c r="P246" s="150" t="n">
        <x:v>3.974</x:v>
      </x:c>
      <x:c r="Q246" s="86" t="n">
        <x:v>20</x:v>
      </x:c>
      <x:c r="R246" s="32"/>
      <x:c r="S246" s="32" t="str">
        <x:v>ok</x:v>
      </x:c>
      <x:c r="T246" s="32" t="str">
        <x:v>ok</x:v>
      </x:c>
      <x:c r="U246" s="32" t="str">
        <x:v>ok</x:v>
      </x:c>
      <x:c r="V246" s="32" t="str">
        <x:v>ok</x:v>
      </x:c>
      <x:c r="W246" s="154" t="str">
        <x:v>{"schema_version":1,"imei":"862323089930703","timestamp":1786017953,"report_sequence":11,"task_version":"rice_tension_soil_demo","sensor_mode":"tension_soil","soil_moisture_percent":35.5,"soil_temperature_c":24.7,"soil_ec_us_cm":790,"soil_ph":6.43,"battery_mv":3974,"csq":20,"soil_rs485_status":"ok","cycle_status":"ok","soil_tension_kpa":-24.5,"soil_tension_rs485_status":"ok"}</x:v>
      </x:c>
    </x:row>
    <x:row r="247">
      <x:c r="A247" s="72" t="n">
        <x:v>46240.83741898148</x:v>
      </x:c>
      <x:c r="B247" s="72" t="n">
        <x:v>46240.83743287037</x:v>
      </x:c>
      <x:c r="C247" s="32" t="str">
        <x:v>P04</x:v>
      </x:c>
      <x:c r="D247" s="32" t="str">
        <x:v>B1-W1-V2</x:v>
      </x:c>
      <x:c r="E247" s="32" t="str">
        <x:v>B1</x:v>
      </x:c>
      <x:c r="F247" s="32" t="str">
        <x:v>W1</x:v>
      </x:c>
      <x:c r="G247" s="32" t="str">
        <x:v>V2</x:v>
      </x:c>
      <x:c r="H247" s="32" t="str">
        <x:v>tension_soil</x:v>
      </x:c>
      <x:c r="I247" s="32" t="str">
        <x:v>862323089930704</x:v>
      </x:c>
      <x:c r="J247" s="82"/>
      <x:c r="K247" s="82" t="n">
        <x:v>-25.2</x:v>
      </x:c>
      <x:c r="L247" s="82" t="n">
        <x:v>36.2</x:v>
      </x:c>
      <x:c r="M247" s="82" t="n">
        <x:v>24.7</x:v>
      </x:c>
      <x:c r="N247" s="86" t="n">
        <x:v>797</x:v>
      </x:c>
      <x:c r="O247" s="90" t="n">
        <x:v>6.47</x:v>
      </x:c>
      <x:c r="P247" s="150" t="n">
        <x:v>3.992</x:v>
      </x:c>
      <x:c r="Q247" s="86" t="n">
        <x:v>21</x:v>
      </x:c>
      <x:c r="R247" s="32"/>
      <x:c r="S247" s="32" t="str">
        <x:v>ok</x:v>
      </x:c>
      <x:c r="T247" s="32" t="str">
        <x:v>ok</x:v>
      </x:c>
      <x:c r="U247" s="32" t="str">
        <x:v>ok</x:v>
      </x:c>
      <x:c r="V247" s="32" t="str">
        <x:v>ok</x:v>
      </x:c>
      <x:c r="W247" s="154" t="str">
        <x:v>{"schema_version":1,"imei":"862323089930704","timestamp":1786017953,"report_sequence":11,"task_version":"rice_tension_soil_demo","sensor_mode":"tension_soil","soil_moisture_percent":36.2,"soil_temperature_c":24.7,"soil_ec_us_cm":797,"soil_ph":6.47,"battery_mv":3992,"csq":21,"soil_rs485_status":"ok","cycle_status":"ok","soil_tension_kpa":-25.2,"soil_tension_rs485_status":"ok"}</x:v>
      </x:c>
    </x:row>
    <x:row r="248">
      <x:c r="A248" s="72" t="n">
        <x:v>46240.83741898148</x:v>
      </x:c>
      <x:c r="B248" s="72" t="n">
        <x:v>46240.83743287037</x:v>
      </x:c>
      <x:c r="C248" s="32" t="str">
        <x:v>P05</x:v>
      </x:c>
      <x:c r="D248" s="32" t="str">
        <x:v>B1-W2-V1</x:v>
      </x:c>
      <x:c r="E248" s="32" t="str">
        <x:v>B1</x:v>
      </x:c>
      <x:c r="F248" s="32" t="str">
        <x:v>W2</x:v>
      </x:c>
      <x:c r="G248" s="32" t="str">
        <x:v>V1</x:v>
      </x:c>
      <x:c r="H248" s="32" t="str">
        <x:v>tension_soil</x:v>
      </x:c>
      <x:c r="I248" s="32" t="str">
        <x:v>862323089930705</x:v>
      </x:c>
      <x:c r="J248" s="82"/>
      <x:c r="K248" s="82" t="n">
        <x:v>-32.1</x:v>
      </x:c>
      <x:c r="L248" s="82" t="n">
        <x:v>37.1</x:v>
      </x:c>
      <x:c r="M248" s="82" t="n">
        <x:v>24.6</x:v>
      </x:c>
      <x:c r="N248" s="86" t="n">
        <x:v>806</x:v>
      </x:c>
      <x:c r="O248" s="90" t="n">
        <x:v>6.27</x:v>
      </x:c>
      <x:c r="P248" s="150" t="n">
        <x:v>4.01</x:v>
      </x:c>
      <x:c r="Q248" s="86" t="n">
        <x:v>22</x:v>
      </x:c>
      <x:c r="R248" s="32"/>
      <x:c r="S248" s="32" t="str">
        <x:v>ok</x:v>
      </x:c>
      <x:c r="T248" s="32" t="str">
        <x:v>ok</x:v>
      </x:c>
      <x:c r="U248" s="32" t="str">
        <x:v>ok</x:v>
      </x:c>
      <x:c r="V248" s="32" t="str">
        <x:v>ok</x:v>
      </x:c>
      <x:c r="W248" s="154" t="str">
        <x:v>{"schema_version":1,"imei":"862323089930705","timestamp":1786017953,"report_sequence":11,"task_version":"rice_tension_soil_demo","sensor_mode":"tension_soil","soil_moisture_percent":37.1,"soil_temperature_c":24.6,"soil_ec_us_cm":806,"soil_ph":6.27,"battery_mv":4010,"csq":22,"soil_rs485_status":"ok","cycle_status":"ok","soil_tension_kpa":-32.1,"soil_tension_rs485_status":"ok"}</x:v>
      </x:c>
    </x:row>
    <x:row r="249">
      <x:c r="A249" s="72" t="n">
        <x:v>46240.83741898148</x:v>
      </x:c>
      <x:c r="B249" s="72" t="n">
        <x:v>46240.83743287037</x:v>
      </x:c>
      <x:c r="C249" s="32" t="str">
        <x:v>P06</x:v>
      </x:c>
      <x:c r="D249" s="32" t="str">
        <x:v>B1-W2-V2</x:v>
      </x:c>
      <x:c r="E249" s="32" t="str">
        <x:v>B1</x:v>
      </x:c>
      <x:c r="F249" s="32" t="str">
        <x:v>W2</x:v>
      </x:c>
      <x:c r="G249" s="32" t="str">
        <x:v>V2</x:v>
      </x:c>
      <x:c r="H249" s="32" t="str">
        <x:v>tension_soil</x:v>
      </x:c>
      <x:c r="I249" s="32" t="str">
        <x:v>862323089930706</x:v>
      </x:c>
      <x:c r="J249" s="82"/>
      <x:c r="K249" s="82" t="n">
        <x:v>-33</x:v>
      </x:c>
      <x:c r="L249" s="82" t="n">
        <x:v>38</x:v>
      </x:c>
      <x:c r="M249" s="82" t="n">
        <x:v>24.6</x:v>
      </x:c>
      <x:c r="N249" s="86" t="n">
        <x:v>817</x:v>
      </x:c>
      <x:c r="O249" s="90" t="n">
        <x:v>6.32</x:v>
      </x:c>
      <x:c r="P249" s="150" t="n">
        <x:v>3.92</x:v>
      </x:c>
      <x:c r="Q249" s="86" t="n">
        <x:v>23</x:v>
      </x:c>
      <x:c r="R249" s="32"/>
      <x:c r="S249" s="32" t="str">
        <x:v>ok</x:v>
      </x:c>
      <x:c r="T249" s="32" t="str">
        <x:v>ok</x:v>
      </x:c>
      <x:c r="U249" s="32" t="str">
        <x:v>ok</x:v>
      </x:c>
      <x:c r="V249" s="32" t="str">
        <x:v>ok</x:v>
      </x:c>
      <x:c r="W249" s="154" t="str">
        <x:v>{"schema_version":1,"imei":"862323089930706","timestamp":1786017953,"report_sequence":11,"task_version":"rice_tension_soil_demo","sensor_mode":"tension_soil","soil_moisture_percent":38,"soil_temperature_c":24.6,"soil_ec_us_cm":817,"soil_ph":6.32,"battery_mv":3920,"csq":23,"soil_rs485_status":"ok","cycle_status":"ok","soil_tension_kpa":-33,"soil_tension_rs485_status":"ok"}</x:v>
      </x:c>
    </x:row>
    <x:row r="250">
      <x:c r="A250" s="72" t="n">
        <x:v>46240.83741898148</x:v>
      </x:c>
      <x:c r="B250" s="72" t="n">
        <x:v>46240.83743287037</x:v>
      </x:c>
      <x:c r="C250" s="32" t="str">
        <x:v>P07</x:v>
      </x:c>
      <x:c r="D250" s="32" t="str">
        <x:v>B2-W0-V1</x:v>
      </x:c>
      <x:c r="E250" s="32" t="str">
        <x:v>B2</x:v>
      </x:c>
      <x:c r="F250" s="32" t="str">
        <x:v>W0</x:v>
      </x:c>
      <x:c r="G250" s="32" t="str">
        <x:v>V1</x:v>
      </x:c>
      <x:c r="H250" s="32" t="str">
        <x:v>water_soil</x:v>
      </x:c>
      <x:c r="I250" s="32" t="str">
        <x:v>862323089930707</x:v>
      </x:c>
      <x:c r="J250" s="82" t="n">
        <x:v>32.2</x:v>
      </x:c>
      <x:c r="K250" s="82"/>
      <x:c r="L250" s="82" t="n">
        <x:v>39.1</x:v>
      </x:c>
      <x:c r="M250" s="82" t="n">
        <x:v>24.6</x:v>
      </x:c>
      <x:c r="N250" s="86" t="n">
        <x:v>830</x:v>
      </x:c>
      <x:c r="O250" s="90" t="n">
        <x:v>6.37</x:v>
      </x:c>
      <x:c r="P250" s="150" t="n">
        <x:v>3.938</x:v>
      </x:c>
      <x:c r="Q250" s="86" t="n">
        <x:v>24</x:v>
      </x:c>
      <x:c r="R250" s="32" t="str">
        <x:v>ok</x:v>
      </x:c>
      <x:c r="S250" s="32"/>
      <x:c r="T250" s="32" t="str">
        <x:v>ok</x:v>
      </x:c>
      <x:c r="U250" s="32" t="str">
        <x:v>ok</x:v>
      </x:c>
      <x:c r="V250" s="32" t="str">
        <x:v>ok</x:v>
      </x:c>
      <x:c r="W250" s="154" t="str">
        <x:v>{"schema_version":1,"imei":"862323089930707","timestamp":1786017953,"report_sequence":11,"task_version":"rice_w0_water_soil_demo","sensor_mode":"water_soil","soil_moisture_percent":39.1,"soil_temperature_c":24.6,"soil_ec_us_cm":830,"soil_ph":6.37,"battery_mv":3938,"csq":24,"soil_rs485_status":"ok","cycle_status":"ok","water_level_mm":32.2,"water_4_20ma_status":"ok"}</x:v>
      </x:c>
    </x:row>
    <x:row r="251">
      <x:c r="A251" s="72" t="n">
        <x:v>46240.83741898148</x:v>
      </x:c>
      <x:c r="B251" s="72" t="n">
        <x:v>46240.83743287037</x:v>
      </x:c>
      <x:c r="C251" s="32" t="str">
        <x:v>P08</x:v>
      </x:c>
      <x:c r="D251" s="32" t="str">
        <x:v>B2-W0-V2</x:v>
      </x:c>
      <x:c r="E251" s="32" t="str">
        <x:v>B2</x:v>
      </x:c>
      <x:c r="F251" s="32" t="str">
        <x:v>W0</x:v>
      </x:c>
      <x:c r="G251" s="32" t="str">
        <x:v>V2</x:v>
      </x:c>
      <x:c r="H251" s="32" t="str">
        <x:v>water_soil</x:v>
      </x:c>
      <x:c r="I251" s="32" t="str">
        <x:v>862323089930708</x:v>
      </x:c>
      <x:c r="J251" s="82" t="n">
        <x:v>23.6</x:v>
      </x:c>
      <x:c r="K251" s="82"/>
      <x:c r="L251" s="82" t="n">
        <x:v>32.2</x:v>
      </x:c>
      <x:c r="M251" s="82" t="n">
        <x:v>24.7</x:v>
      </x:c>
      <x:c r="N251" s="86" t="n">
        <x:v>845</x:v>
      </x:c>
      <x:c r="O251" s="90" t="n">
        <x:v>6.42</x:v>
      </x:c>
      <x:c r="P251" s="150" t="n">
        <x:v>3.956</x:v>
      </x:c>
      <x:c r="Q251" s="86" t="n">
        <x:v>17</x:v>
      </x:c>
      <x:c r="R251" s="32" t="str">
        <x:v>ok</x:v>
      </x:c>
      <x:c r="S251" s="32"/>
      <x:c r="T251" s="32" t="str">
        <x:v>ok</x:v>
      </x:c>
      <x:c r="U251" s="32" t="str">
        <x:v>ok</x:v>
      </x:c>
      <x:c r="V251" s="32" t="str">
        <x:v>ok</x:v>
      </x:c>
      <x:c r="W251" s="154" t="str">
        <x:v>{"schema_version":1,"imei":"862323089930708","timestamp":1786017953,"report_sequence":11,"task_version":"rice_w0_water_soil_demo","sensor_mode":"water_soil","soil_moisture_percent":32.2,"soil_temperature_c":24.7,"soil_ec_us_cm":845,"soil_ph":6.42,"battery_mv":3956,"csq":17,"soil_rs485_status":"ok","cycle_status":"ok","water_level_mm":23.6,"water_4_20ma_status":"ok"}</x:v>
      </x:c>
    </x:row>
    <x:row r="252">
      <x:c r="A252" s="72" t="n">
        <x:v>46240.83741898148</x:v>
      </x:c>
      <x:c r="B252" s="72" t="n">
        <x:v>46240.83743287037</x:v>
      </x:c>
      <x:c r="C252" s="32" t="str">
        <x:v>P09</x:v>
      </x:c>
      <x:c r="D252" s="32" t="str">
        <x:v>B2-W1-V1</x:v>
      </x:c>
      <x:c r="E252" s="32" t="str">
        <x:v>B2</x:v>
      </x:c>
      <x:c r="F252" s="32" t="str">
        <x:v>W1</x:v>
      </x:c>
      <x:c r="G252" s="32" t="str">
        <x:v>V1</x:v>
      </x:c>
      <x:c r="H252" s="32" t="str">
        <x:v>tension_soil</x:v>
      </x:c>
      <x:c r="I252" s="32" t="str">
        <x:v>862323089930709</x:v>
      </x:c>
      <x:c r="J252" s="82"/>
      <x:c r="K252" s="82" t="n">
        <x:v>-25.5</x:v>
      </x:c>
      <x:c r="L252" s="82" t="n">
        <x:v>33.5</x:v>
      </x:c>
      <x:c r="M252" s="82" t="n">
        <x:v>24.7</x:v>
      </x:c>
      <x:c r="N252" s="86" t="n">
        <x:v>862</x:v>
      </x:c>
      <x:c r="O252" s="90" t="n">
        <x:v>6.48</x:v>
      </x:c>
      <x:c r="P252" s="150" t="n">
        <x:v>3.974</x:v>
      </x:c>
      <x:c r="Q252" s="86" t="n">
        <x:v>18</x:v>
      </x:c>
      <x:c r="R252" s="32"/>
      <x:c r="S252" s="32" t="str">
        <x:v>ok</x:v>
      </x:c>
      <x:c r="T252" s="32" t="str">
        <x:v>ok</x:v>
      </x:c>
      <x:c r="U252" s="32" t="str">
        <x:v>ok</x:v>
      </x:c>
      <x:c r="V252" s="32" t="str">
        <x:v>ok</x:v>
      </x:c>
      <x:c r="W252" s="154" t="str">
        <x:v>{"schema_version":1,"imei":"862323089930709","timestamp":1786017953,"report_sequence":11,"task_version":"rice_tension_soil_demo","sensor_mode":"tension_soil","soil_moisture_percent":33.5,"soil_temperature_c":24.7,"soil_ec_us_cm":862,"soil_ph":6.48,"battery_mv":3974,"csq":18,"soil_rs485_status":"ok","cycle_status":"ok","soil_tension_kpa":-25.5,"soil_tension_rs485_status":"ok"}</x:v>
      </x:c>
    </x:row>
    <x:row r="253">
      <x:c r="A253" s="72" t="n">
        <x:v>46240.83741898148</x:v>
      </x:c>
      <x:c r="B253" s="72" t="n">
        <x:v>46240.83743287037</x:v>
      </x:c>
      <x:c r="C253" s="32" t="str">
        <x:v>P10</x:v>
      </x:c>
      <x:c r="D253" s="32" t="str">
        <x:v>B2-W1-V2</x:v>
      </x:c>
      <x:c r="E253" s="32" t="str">
        <x:v>B2</x:v>
      </x:c>
      <x:c r="F253" s="32" t="str">
        <x:v>W1</x:v>
      </x:c>
      <x:c r="G253" s="32" t="str">
        <x:v>V2</x:v>
      </x:c>
      <x:c r="H253" s="32" t="str">
        <x:v>tension_soil</x:v>
      </x:c>
      <x:c r="I253" s="32" t="str">
        <x:v>862323089930710</x:v>
      </x:c>
      <x:c r="J253" s="82"/>
      <x:c r="K253" s="82" t="n">
        <x:v>-21.9</x:v>
      </x:c>
      <x:c r="L253" s="82" t="n">
        <x:v>34.9</x:v>
      </x:c>
      <x:c r="M253" s="82" t="n">
        <x:v>24.8</x:v>
      </x:c>
      <x:c r="N253" s="86" t="n">
        <x:v>881</x:v>
      </x:c>
      <x:c r="O253" s="90" t="n">
        <x:v>6.28</x:v>
      </x:c>
      <x:c r="P253" s="150" t="n">
        <x:v>3.992</x:v>
      </x:c>
      <x:c r="Q253" s="86" t="n">
        <x:v>19</x:v>
      </x:c>
      <x:c r="R253" s="32"/>
      <x:c r="S253" s="32" t="str">
        <x:v>ok</x:v>
      </x:c>
      <x:c r="T253" s="32" t="str">
        <x:v>ok</x:v>
      </x:c>
      <x:c r="U253" s="32" t="str">
        <x:v>ok</x:v>
      </x:c>
      <x:c r="V253" s="32" t="str">
        <x:v>ok</x:v>
      </x:c>
      <x:c r="W253" s="154" t="str">
        <x:v>{"schema_version":1,"imei":"862323089930710","timestamp":1786017953,"report_sequence":11,"task_version":"rice_tension_soil_demo","sensor_mode":"tension_soil","soil_moisture_percent":34.9,"soil_temperature_c":24.8,"soil_ec_us_cm":881,"soil_ph":6.28,"battery_mv":3992,"csq":19,"soil_rs485_status":"ok","cycle_status":"ok","soil_tension_kpa":-21.9,"soil_tension_rs485_status":"ok"}</x:v>
      </x:c>
    </x:row>
    <x:row r="254">
      <x:c r="A254" s="72" t="n">
        <x:v>46240.83741898148</x:v>
      </x:c>
      <x:c r="B254" s="72" t="n">
        <x:v>46240.83743287037</x:v>
      </x:c>
      <x:c r="C254" s="32" t="str">
        <x:v>P11</x:v>
      </x:c>
      <x:c r="D254" s="32" t="str">
        <x:v>B2-W2-V1</x:v>
      </x:c>
      <x:c r="E254" s="32" t="str">
        <x:v>B2</x:v>
      </x:c>
      <x:c r="F254" s="32" t="str">
        <x:v>W2</x:v>
      </x:c>
      <x:c r="G254" s="32" t="str">
        <x:v>V1</x:v>
      </x:c>
      <x:c r="H254" s="32" t="str">
        <x:v>tension_soil</x:v>
      </x:c>
      <x:c r="I254" s="32" t="str">
        <x:v>862323089930711</x:v>
      </x:c>
      <x:c r="J254" s="82"/>
      <x:c r="K254" s="82" t="n">
        <x:v>-34.4</x:v>
      </x:c>
      <x:c r="L254" s="82" t="n">
        <x:v>36.4</x:v>
      </x:c>
      <x:c r="M254" s="82" t="n">
        <x:v>24.9</x:v>
      </x:c>
      <x:c r="N254" s="86" t="n">
        <x:v>901</x:v>
      </x:c>
      <x:c r="O254" s="90" t="n">
        <x:v>6.34</x:v>
      </x:c>
      <x:c r="P254" s="150" t="n">
        <x:v>4.01</x:v>
      </x:c>
      <x:c r="Q254" s="86" t="n">
        <x:v>20</x:v>
      </x:c>
      <x:c r="R254" s="32"/>
      <x:c r="S254" s="32" t="str">
        <x:v>ok</x:v>
      </x:c>
      <x:c r="T254" s="32" t="str">
        <x:v>ok</x:v>
      </x:c>
      <x:c r="U254" s="32" t="str">
        <x:v>ok</x:v>
      </x:c>
      <x:c r="V254" s="32" t="str">
        <x:v>ok</x:v>
      </x:c>
      <x:c r="W254" s="154" t="str">
        <x:v>{"schema_version":1,"imei":"862323089930711","timestamp":1786017953,"report_sequence":11,"task_version":"rice_tension_soil_demo","sensor_mode":"tension_soil","soil_moisture_percent":36.4,"soil_temperature_c":24.9,"soil_ec_us_cm":901,"soil_ph":6.34,"battery_mv":4010,"csq":20,"soil_rs485_status":"ok","cycle_status":"ok","soil_tension_kpa":-34.4,"soil_tension_rs485_status":"ok"}</x:v>
      </x:c>
    </x:row>
    <x:row r="255">
      <x:c r="A255" s="72" t="n">
        <x:v>46240.83741898148</x:v>
      </x:c>
      <x:c r="B255" s="72" t="n">
        <x:v>46240.83743287037</x:v>
      </x:c>
      <x:c r="C255" s="32" t="str">
        <x:v>P12</x:v>
      </x:c>
      <x:c r="D255" s="32" t="str">
        <x:v>B2-W2-V2</x:v>
      </x:c>
      <x:c r="E255" s="32" t="str">
        <x:v>B2</x:v>
      </x:c>
      <x:c r="F255" s="32" t="str">
        <x:v>W2</x:v>
      </x:c>
      <x:c r="G255" s="32" t="str">
        <x:v>V2</x:v>
      </x:c>
      <x:c r="H255" s="32" t="str">
        <x:v>tension_soil</x:v>
      </x:c>
      <x:c r="I255" s="32" t="str">
        <x:v>862323089930712</x:v>
      </x:c>
      <x:c r="J255" s="82"/>
      <x:c r="K255" s="82" t="n">
        <x:v>-35.9</x:v>
      </x:c>
      <x:c r="L255" s="82" t="n">
        <x:v>37.9</x:v>
      </x:c>
      <x:c r="M255" s="82" t="n">
        <x:v>25.1</x:v>
      </x:c>
      <x:c r="N255" s="86" t="n">
        <x:v>922</x:v>
      </x:c>
      <x:c r="O255" s="90" t="n">
        <x:v>6.4</x:v>
      </x:c>
      <x:c r="P255" s="150" t="n">
        <x:v>3.92</x:v>
      </x:c>
      <x:c r="Q255" s="86" t="n">
        <x:v>21</x:v>
      </x:c>
      <x:c r="R255" s="32"/>
      <x:c r="S255" s="32" t="str">
        <x:v>ok</x:v>
      </x:c>
      <x:c r="T255" s="32" t="str">
        <x:v>ok</x:v>
      </x:c>
      <x:c r="U255" s="32" t="str">
        <x:v>ok</x:v>
      </x:c>
      <x:c r="V255" s="32" t="str">
        <x:v>ok</x:v>
      </x:c>
      <x:c r="W255" s="154" t="str">
        <x:v>{"schema_version":1,"imei":"862323089930712","timestamp":1786017953,"report_sequence":11,"task_version":"rice_tension_soil_demo","sensor_mode":"tension_soil","soil_moisture_percent":37.9,"soil_temperature_c":25.1,"soil_ec_us_cm":922,"soil_ph":6.4,"battery_mv":3920,"csq":21,"soil_rs485_status":"ok","cycle_status":"ok","soil_tension_kpa":-35.9,"soil_tension_rs485_status":"ok"}</x:v>
      </x:c>
    </x:row>
    <x:row r="256">
      <x:c r="A256" s="72" t="n">
        <x:v>46240.83741898148</x:v>
      </x:c>
      <x:c r="B256" s="72" t="n">
        <x:v>46240.83743287037</x:v>
      </x:c>
      <x:c r="C256" s="32" t="str">
        <x:v>P13</x:v>
      </x:c>
      <x:c r="D256" s="32" t="str">
        <x:v>B3-W0-V1</x:v>
      </x:c>
      <x:c r="E256" s="32" t="str">
        <x:v>B3</x:v>
      </x:c>
      <x:c r="F256" s="32" t="str">
        <x:v>W0</x:v>
      </x:c>
      <x:c r="G256" s="32" t="str">
        <x:v>V1</x:v>
      </x:c>
      <x:c r="H256" s="32" t="str">
        <x:v>water_soil</x:v>
      </x:c>
      <x:c r="I256" s="32" t="str">
        <x:v>862323089930713</x:v>
      </x:c>
      <x:c r="J256" s="82" t="n">
        <x:v>31.9</x:v>
      </x:c>
      <x:c r="K256" s="82"/>
      <x:c r="L256" s="82" t="n">
        <x:v>39.4</x:v>
      </x:c>
      <x:c r="M256" s="82" t="n">
        <x:v>25.2</x:v>
      </x:c>
      <x:c r="N256" s="86" t="n">
        <x:v>942</x:v>
      </x:c>
      <x:c r="O256" s="90" t="n">
        <x:v>6.46</x:v>
      </x:c>
      <x:c r="P256" s="150" t="n">
        <x:v>3.938</x:v>
      </x:c>
      <x:c r="Q256" s="86" t="n">
        <x:v>22</x:v>
      </x:c>
      <x:c r="R256" s="32" t="str">
        <x:v>ok</x:v>
      </x:c>
      <x:c r="S256" s="32"/>
      <x:c r="T256" s="32" t="str">
        <x:v>ok</x:v>
      </x:c>
      <x:c r="U256" s="32" t="str">
        <x:v>ok</x:v>
      </x:c>
      <x:c r="V256" s="32" t="str">
        <x:v>ok</x:v>
      </x:c>
      <x:c r="W256" s="154" t="str">
        <x:v>{"schema_version":1,"imei":"862323089930713","timestamp":1786017953,"report_sequence":11,"task_version":"rice_w0_water_soil_demo","sensor_mode":"water_soil","soil_moisture_percent":39.4,"soil_temperature_c":25.2,"soil_ec_us_cm":942,"soil_ph":6.46,"battery_mv":3938,"csq":22,"soil_rs485_status":"ok","cycle_status":"ok","water_level_mm":31.9,"water_4_20ma_status":"ok"}</x:v>
      </x:c>
    </x:row>
    <x:row r="257">
      <x:c r="A257" s="72" t="n">
        <x:v>46240.83741898148</x:v>
      </x:c>
      <x:c r="B257" s="72" t="n">
        <x:v>46240.83743287037</x:v>
      </x:c>
      <x:c r="C257" s="32" t="str">
        <x:v>P14</x:v>
      </x:c>
      <x:c r="D257" s="32" t="str">
        <x:v>B3-W0-V2</x:v>
      </x:c>
      <x:c r="E257" s="32" t="str">
        <x:v>B3</x:v>
      </x:c>
      <x:c r="F257" s="32" t="str">
        <x:v>W0</x:v>
      </x:c>
      <x:c r="G257" s="32" t="str">
        <x:v>V2</x:v>
      </x:c>
      <x:c r="H257" s="32" t="str">
        <x:v>water_soil</x:v>
      </x:c>
      <x:c r="I257" s="32" t="str">
        <x:v>862323089930714</x:v>
      </x:c>
      <x:c r="J257" s="82" t="n">
        <x:v>36.1</x:v>
      </x:c>
      <x:c r="K257" s="82"/>
      <x:c r="L257" s="82" t="n">
        <x:v>40.8</x:v>
      </x:c>
      <x:c r="M257" s="82" t="n">
        <x:v>25.3</x:v>
      </x:c>
      <x:c r="N257" s="86" t="n">
        <x:v>963</x:v>
      </x:c>
      <x:c r="O257" s="90" t="n">
        <x:v>6.51</x:v>
      </x:c>
      <x:c r="P257" s="150" t="n">
        <x:v>3.956</x:v>
      </x:c>
      <x:c r="Q257" s="86" t="n">
        <x:v>23</x:v>
      </x:c>
      <x:c r="R257" s="32" t="str">
        <x:v>ok</x:v>
      </x:c>
      <x:c r="S257" s="32"/>
      <x:c r="T257" s="32" t="str">
        <x:v>ok</x:v>
      </x:c>
      <x:c r="U257" s="32" t="str">
        <x:v>ok</x:v>
      </x:c>
      <x:c r="V257" s="32" t="str">
        <x:v>ok</x:v>
      </x:c>
      <x:c r="W257" s="154" t="str">
        <x:v>{"schema_version":1,"imei":"862323089930714","timestamp":1786017953,"report_sequence":11,"task_version":"rice_w0_water_soil_demo","sensor_mode":"water_soil","soil_moisture_percent":40.8,"soil_temperature_c":25.3,"soil_ec_us_cm":963,"soil_ph":6.51,"battery_mv":3956,"csq":23,"soil_rs485_status":"ok","cycle_status":"ok","water_level_mm":36.1,"water_4_20ma_status":"ok"}</x:v>
      </x:c>
    </x:row>
    <x:row r="258">
      <x:c r="A258" s="72" t="n">
        <x:v>46240.83741898148</x:v>
      </x:c>
      <x:c r="B258" s="72" t="n">
        <x:v>46240.83743287037</x:v>
      </x:c>
      <x:c r="C258" s="32" t="str">
        <x:v>P15</x:v>
      </x:c>
      <x:c r="D258" s="32" t="str">
        <x:v>B3-W1-V1</x:v>
      </x:c>
      <x:c r="E258" s="32" t="str">
        <x:v>B3</x:v>
      </x:c>
      <x:c r="F258" s="32" t="str">
        <x:v>W1</x:v>
      </x:c>
      <x:c r="G258" s="32" t="str">
        <x:v>V1</x:v>
      </x:c>
      <x:c r="H258" s="32" t="str">
        <x:v>tension_soil</x:v>
      </x:c>
      <x:c r="I258" s="32" t="str">
        <x:v>862323089930715</x:v>
      </x:c>
      <x:c r="J258" s="82"/>
      <x:c r="K258" s="82" t="n">
        <x:v>-24.3</x:v>
      </x:c>
      <x:c r="L258" s="82" t="n">
        <x:v>42.3</x:v>
      </x:c>
      <x:c r="M258" s="82" t="n">
        <x:v>25.4</x:v>
      </x:c>
      <x:c r="N258" s="86" t="n">
        <x:v>982</x:v>
      </x:c>
      <x:c r="O258" s="90" t="n">
        <x:v>6.32</x:v>
      </x:c>
      <x:c r="P258" s="150" t="n">
        <x:v>3.974</x:v>
      </x:c>
      <x:c r="Q258" s="86" t="n">
        <x:v>24</x:v>
      </x:c>
      <x:c r="R258" s="32"/>
      <x:c r="S258" s="32" t="str">
        <x:v>ok</x:v>
      </x:c>
      <x:c r="T258" s="32" t="str">
        <x:v>ok</x:v>
      </x:c>
      <x:c r="U258" s="32" t="str">
        <x:v>ok</x:v>
      </x:c>
      <x:c r="V258" s="32" t="str">
        <x:v>ok</x:v>
      </x:c>
      <x:c r="W258" s="154" t="str">
        <x:v>{"schema_version":1,"imei":"862323089930715","timestamp":1786017953,"report_sequence":11,"task_version":"rice_tension_soil_demo","sensor_mode":"tension_soil","soil_moisture_percent":42.3,"soil_temperature_c":25.4,"soil_ec_us_cm":982,"soil_ph":6.32,"battery_mv":3974,"csq":24,"soil_rs485_status":"ok","cycle_status":"ok","soil_tension_kpa":-24.3,"soil_tension_rs485_status":"ok"}</x:v>
      </x:c>
    </x:row>
    <x:row r="259">
      <x:c r="A259" s="72" t="n">
        <x:v>46240.83741898148</x:v>
      </x:c>
      <x:c r="B259" s="72" t="n">
        <x:v>46240.83743287037</x:v>
      </x:c>
      <x:c r="C259" s="32" t="str">
        <x:v>P16</x:v>
      </x:c>
      <x:c r="D259" s="32" t="str">
        <x:v>B3-W1-V2</x:v>
      </x:c>
      <x:c r="E259" s="32" t="str">
        <x:v>B3</x:v>
      </x:c>
      <x:c r="F259" s="32" t="str">
        <x:v>W1</x:v>
      </x:c>
      <x:c r="G259" s="32" t="str">
        <x:v>V2</x:v>
      </x:c>
      <x:c r="H259" s="32" t="str">
        <x:v>tension_soil</x:v>
      </x:c>
      <x:c r="I259" s="32" t="str">
        <x:v>862323089930716</x:v>
      </x:c>
      <x:c r="J259" s="82"/>
      <x:c r="K259" s="82" t="n">
        <x:v>-25.6</x:v>
      </x:c>
      <x:c r="L259" s="82" t="n">
        <x:v>35.6</x:v>
      </x:c>
      <x:c r="M259" s="82" t="n">
        <x:v>25.5</x:v>
      </x:c>
      <x:c r="N259" s="86" t="n">
        <x:v>1000</x:v>
      </x:c>
      <x:c r="O259" s="90" t="n">
        <x:v>6.37</x:v>
      </x:c>
      <x:c r="P259" s="150" t="n">
        <x:v>3.992</x:v>
      </x:c>
      <x:c r="Q259" s="86" t="n">
        <x:v>17</x:v>
      </x:c>
      <x:c r="R259" s="32"/>
      <x:c r="S259" s="32" t="str">
        <x:v>ok</x:v>
      </x:c>
      <x:c r="T259" s="32" t="str">
        <x:v>ok</x:v>
      </x:c>
      <x:c r="U259" s="32" t="str">
        <x:v>ok</x:v>
      </x:c>
      <x:c r="V259" s="32" t="str">
        <x:v>ok</x:v>
      </x:c>
      <x:c r="W259" s="154" t="str">
        <x:v>{"schema_version":1,"imei":"862323089930716","timestamp":1786017953,"report_sequence":11,"task_version":"rice_tension_soil_demo","sensor_mode":"tension_soil","soil_moisture_percent":35.6,"soil_temperature_c":25.5,"soil_ec_us_cm":1000,"soil_ph":6.37,"battery_mv":3992,"csq":17,"soil_rs485_status":"ok","cycle_status":"ok","soil_tension_kpa":-25.6,"soil_tension_rs485_status":"ok"}</x:v>
      </x:c>
    </x:row>
    <x:row r="260">
      <x:c r="A260" s="72" t="n">
        <x:v>46240.83741898148</x:v>
      </x:c>
      <x:c r="B260" s="72" t="n">
        <x:v>46240.83743287037</x:v>
      </x:c>
      <x:c r="C260" s="32" t="str">
        <x:v>P17</x:v>
      </x:c>
      <x:c r="D260" s="32" t="str">
        <x:v>B3-W2-V1</x:v>
      </x:c>
      <x:c r="E260" s="32" t="str">
        <x:v>B3</x:v>
      </x:c>
      <x:c r="F260" s="32" t="str">
        <x:v>W2</x:v>
      </x:c>
      <x:c r="G260" s="32" t="str">
        <x:v>V1</x:v>
      </x:c>
      <x:c r="H260" s="32" t="str">
        <x:v>tension_soil</x:v>
      </x:c>
      <x:c r="I260" s="32" t="str">
        <x:v>862323089930717</x:v>
      </x:c>
      <x:c r="J260" s="82"/>
      <x:c r="K260" s="82" t="n">
        <x:v>-37.9</x:v>
      </x:c>
      <x:c r="L260" s="82" t="n">
        <x:v>36.9</x:v>
      </x:c>
      <x:c r="M260" s="82" t="n">
        <x:v>25.6</x:v>
      </x:c>
      <x:c r="N260" s="86" t="n">
        <x:v>1016</x:v>
      </x:c>
      <x:c r="O260" s="90" t="n">
        <x:v>6.43</x:v>
      </x:c>
      <x:c r="P260" s="150" t="n">
        <x:v>4.01</x:v>
      </x:c>
      <x:c r="Q260" s="86" t="n">
        <x:v>18</x:v>
      </x:c>
      <x:c r="R260" s="32"/>
      <x:c r="S260" s="32" t="str">
        <x:v>ok</x:v>
      </x:c>
      <x:c r="T260" s="32" t="str">
        <x:v>ok</x:v>
      </x:c>
      <x:c r="U260" s="32" t="str">
        <x:v>ok</x:v>
      </x:c>
      <x:c r="V260" s="32" t="str">
        <x:v>ok</x:v>
      </x:c>
      <x:c r="W260" s="154" t="str">
        <x:v>{"schema_version":1,"imei":"862323089930717","timestamp":1786017953,"report_sequence":11,"task_version":"rice_tension_soil_demo","sensor_mode":"tension_soil","soil_moisture_percent":36.9,"soil_temperature_c":25.6,"soil_ec_us_cm":1016,"soil_ph":6.43,"battery_mv":4010,"csq":18,"soil_rs485_status":"ok","cycle_status":"ok","soil_tension_kpa":-37.9,"soil_tension_rs485_status":"ok"}</x:v>
      </x:c>
    </x:row>
    <x:row r="261">
      <x:c r="A261" s="72" t="n">
        <x:v>46240.83741898148</x:v>
      </x:c>
      <x:c r="B261" s="72" t="n">
        <x:v>46240.83743287037</x:v>
      </x:c>
      <x:c r="C261" s="32" t="str">
        <x:v>P18</x:v>
      </x:c>
      <x:c r="D261" s="32" t="str">
        <x:v>B3-W2-V2</x:v>
      </x:c>
      <x:c r="E261" s="32" t="str">
        <x:v>B3</x:v>
      </x:c>
      <x:c r="F261" s="32" t="str">
        <x:v>W2</x:v>
      </x:c>
      <x:c r="G261" s="32" t="str">
        <x:v>V2</x:v>
      </x:c>
      <x:c r="H261" s="32" t="str">
        <x:v>tension_soil</x:v>
      </x:c>
      <x:c r="I261" s="32" t="str">
        <x:v>862323089930718</x:v>
      </x:c>
      <x:c r="J261" s="82"/>
      <x:c r="K261" s="82" t="n">
        <x:v>-39</x:v>
      </x:c>
      <x:c r="L261" s="82" t="n">
        <x:v>38</x:v>
      </x:c>
      <x:c r="M261" s="82" t="n">
        <x:v>25.6</x:v>
      </x:c>
      <x:c r="N261" s="86" t="n">
        <x:v>1031</x:v>
      </x:c>
      <x:c r="O261" s="90" t="n">
        <x:v>6.48</x:v>
      </x:c>
      <x:c r="P261" s="150" t="n">
        <x:v>3.92</x:v>
      </x:c>
      <x:c r="Q261" s="86" t="n">
        <x:v>19</x:v>
      </x:c>
      <x:c r="R261" s="32"/>
      <x:c r="S261" s="32" t="str">
        <x:v>ok</x:v>
      </x:c>
      <x:c r="T261" s="32" t="str">
        <x:v>ok</x:v>
      </x:c>
      <x:c r="U261" s="32" t="str">
        <x:v>ok</x:v>
      </x:c>
      <x:c r="V261" s="32" t="str">
        <x:v>ok</x:v>
      </x:c>
      <x:c r="W261" s="154" t="str">
        <x:v>{"schema_version":1,"imei":"862323089930718","timestamp":1786017953,"report_sequence":11,"task_version":"rice_tension_soil_demo","sensor_mode":"tension_soil","soil_moisture_percent":38,"soil_temperature_c":25.6,"soil_ec_us_cm":1031,"soil_ph":6.48,"battery_mv":3920,"csq":19,"soil_rs485_status":"ok","cycle_status":"ok","soil_tension_kpa":-39,"soil_tension_rs485_status":"ok"}</x:v>
      </x:c>
    </x:row>
    <x:row r="262">
      <x:c r="A262" s="72" t="n">
        <x:v>46240.83741898148</x:v>
      </x:c>
      <x:c r="B262" s="72" t="n">
        <x:v>46240.83743287037</x:v>
      </x:c>
      <x:c r="C262" s="32" t="str">
        <x:v>P19</x:v>
      </x:c>
      <x:c r="D262" s="32" t="str">
        <x:v>B4-W0-V1</x:v>
      </x:c>
      <x:c r="E262" s="32" t="str">
        <x:v>B4</x:v>
      </x:c>
      <x:c r="F262" s="32" t="str">
        <x:v>W0</x:v>
      </x:c>
      <x:c r="G262" s="32" t="str">
        <x:v>V1</x:v>
      </x:c>
      <x:c r="H262" s="32" t="str">
        <x:v>water_soil</x:v>
      </x:c>
      <x:c r="I262" s="32" t="str">
        <x:v>862323089930719</x:v>
      </x:c>
      <x:c r="J262" s="82" t="n">
        <x:v>42</x:v>
      </x:c>
      <x:c r="K262" s="82"/>
      <x:c r="L262" s="82" t="n">
        <x:v>39</x:v>
      </x:c>
      <x:c r="M262" s="82" t="n">
        <x:v>25.6</x:v>
      </x:c>
      <x:c r="N262" s="86" t="n">
        <x:v>1043</x:v>
      </x:c>
      <x:c r="O262" s="90" t="n">
        <x:v>6.53</x:v>
      </x:c>
      <x:c r="P262" s="150" t="n">
        <x:v>3.938</x:v>
      </x:c>
      <x:c r="Q262" s="86" t="n">
        <x:v>20</x:v>
      </x:c>
      <x:c r="R262" s="32" t="str">
        <x:v>ok</x:v>
      </x:c>
      <x:c r="S262" s="32"/>
      <x:c r="T262" s="32" t="str">
        <x:v>ok</x:v>
      </x:c>
      <x:c r="U262" s="32" t="str">
        <x:v>ok</x:v>
      </x:c>
      <x:c r="V262" s="32" t="str">
        <x:v>ok</x:v>
      </x:c>
      <x:c r="W262" s="154" t="str">
        <x:v>{"schema_version":1,"imei":"862323089930719","timestamp":1786017953,"report_sequence":11,"task_version":"rice_w0_water_soil_demo","sensor_mode":"water_soil","soil_moisture_percent":39,"soil_temperature_c":25.6,"soil_ec_us_cm":1043,"soil_ph":6.53,"battery_mv":3938,"csq":20,"soil_rs485_status":"ok","cycle_status":"ok","water_level_mm":42,"water_4_20ma_status":"ok"}</x:v>
      </x:c>
    </x:row>
    <x:row r="263">
      <x:c r="A263" s="72" t="n">
        <x:v>46240.83741898148</x:v>
      </x:c>
      <x:c r="B263" s="72" t="n">
        <x:v>46240.83743287037</x:v>
      </x:c>
      <x:c r="C263" s="32" t="str">
        <x:v>P20</x:v>
      </x:c>
      <x:c r="D263" s="32" t="str">
        <x:v>B4-W0-V2</x:v>
      </x:c>
      <x:c r="E263" s="32" t="str">
        <x:v>B4</x:v>
      </x:c>
      <x:c r="F263" s="32" t="str">
        <x:v>W0</x:v>
      </x:c>
      <x:c r="G263" s="32" t="str">
        <x:v>V2</x:v>
      </x:c>
      <x:c r="H263" s="32" t="str">
        <x:v>water_soil</x:v>
      </x:c>
      <x:c r="I263" s="32" t="str">
        <x:v>862323089930720</x:v>
      </x:c>
      <x:c r="J263" s="82" t="n">
        <x:v>32.7</x:v>
      </x:c>
      <x:c r="K263" s="82"/>
      <x:c r="L263" s="82" t="n">
        <x:v>39.9</x:v>
      </x:c>
      <x:c r="M263" s="82" t="n">
        <x:v>25.6</x:v>
      </x:c>
      <x:c r="N263" s="86" t="n">
        <x:v>1053</x:v>
      </x:c>
      <x:c r="O263" s="90" t="n">
        <x:v>6.33</x:v>
      </x:c>
      <x:c r="P263" s="150" t="n">
        <x:v>3.956</x:v>
      </x:c>
      <x:c r="Q263" s="86" t="n">
        <x:v>21</x:v>
      </x:c>
      <x:c r="R263" s="32" t="str">
        <x:v>ok</x:v>
      </x:c>
      <x:c r="S263" s="32"/>
      <x:c r="T263" s="32" t="str">
        <x:v>ok</x:v>
      </x:c>
      <x:c r="U263" s="32" t="str">
        <x:v>ok</x:v>
      </x:c>
      <x:c r="V263" s="32" t="str">
        <x:v>ok</x:v>
      </x:c>
      <x:c r="W263" s="154" t="str">
        <x:v>{"schema_version":1,"imei":"862323089930720","timestamp":1786017953,"report_sequence":11,"task_version":"rice_w0_water_soil_demo","sensor_mode":"water_soil","soil_moisture_percent":39.9,"soil_temperature_c":25.6,"soil_ec_us_cm":1053,"soil_ph":6.33,"battery_mv":3956,"csq":21,"soil_rs485_status":"ok","cycle_status":"ok","water_level_mm":32.7,"water_4_20ma_status":"ok"}</x:v>
      </x:c>
    </x:row>
    <x:row r="264">
      <x:c r="A264" s="72" t="n">
        <x:v>46240.83741898148</x:v>
      </x:c>
      <x:c r="B264" s="72" t="n">
        <x:v>46240.83743287037</x:v>
      </x:c>
      <x:c r="C264" s="32" t="str">
        <x:v>P21</x:v>
      </x:c>
      <x:c r="D264" s="32" t="str">
        <x:v>B4-W1-V1</x:v>
      </x:c>
      <x:c r="E264" s="32" t="str">
        <x:v>B4</x:v>
      </x:c>
      <x:c r="F264" s="32" t="str">
        <x:v>W1</x:v>
      </x:c>
      <x:c r="G264" s="32" t="str">
        <x:v>V1</x:v>
      </x:c>
      <x:c r="H264" s="32" t="str">
        <x:v>tension_soil</x:v>
      </x:c>
      <x:c r="I264" s="32" t="str">
        <x:v>862323089930721</x:v>
      </x:c>
      <x:c r="J264" s="82"/>
      <x:c r="K264" s="82" t="n">
        <x:v>-25.6</x:v>
      </x:c>
      <x:c r="L264" s="82" t="n">
        <x:v>40.6</x:v>
      </x:c>
      <x:c r="M264" s="82" t="n">
        <x:v>25.5</x:v>
      </x:c>
      <x:c r="N264" s="86" t="n">
        <x:v>1061</x:v>
      </x:c>
      <x:c r="O264" s="90" t="n">
        <x:v>6.37</x:v>
      </x:c>
      <x:c r="P264" s="150" t="n">
        <x:v>3.974</x:v>
      </x:c>
      <x:c r="Q264" s="86" t="n">
        <x:v>22</x:v>
      </x:c>
      <x:c r="R264" s="32"/>
      <x:c r="S264" s="32" t="str">
        <x:v>ok</x:v>
      </x:c>
      <x:c r="T264" s="32" t="str">
        <x:v>ok</x:v>
      </x:c>
      <x:c r="U264" s="32" t="str">
        <x:v>ok</x:v>
      </x:c>
      <x:c r="V264" s="32" t="str">
        <x:v>ok</x:v>
      </x:c>
      <x:c r="W264" s="154" t="str">
        <x:v>{"schema_version":1,"imei":"862323089930721","timestamp":1786017953,"report_sequence":11,"task_version":"rice_tension_soil_demo","sensor_mode":"tension_soil","soil_moisture_percent":40.6,"soil_temperature_c":25.5,"soil_ec_us_cm":1061,"soil_ph":6.37,"battery_mv":3974,"csq":22,"soil_rs485_status":"ok","cycle_status":"ok","soil_tension_kpa":-25.6,"soil_tension_rs485_status":"ok"}</x:v>
      </x:c>
    </x:row>
    <x:row r="265">
      <x:c r="A265" s="72" t="n">
        <x:v>46240.83741898148</x:v>
      </x:c>
      <x:c r="B265" s="72" t="n">
        <x:v>46240.83743287037</x:v>
      </x:c>
      <x:c r="C265" s="32" t="str">
        <x:v>P22</x:v>
      </x:c>
      <x:c r="D265" s="32" t="str">
        <x:v>B4-W1-V2</x:v>
      </x:c>
      <x:c r="E265" s="32" t="str">
        <x:v>B4</x:v>
      </x:c>
      <x:c r="F265" s="32" t="str">
        <x:v>W1</x:v>
      </x:c>
      <x:c r="G265" s="32" t="str">
        <x:v>V2</x:v>
      </x:c>
      <x:c r="H265" s="32" t="str">
        <x:v>tension_soil</x:v>
      </x:c>
      <x:c r="I265" s="32" t="str">
        <x:v>862323089930722</x:v>
      </x:c>
      <x:c r="J265" s="82"/>
      <x:c r="K265" s="82" t="n">
        <x:v>-26.3</x:v>
      </x:c>
      <x:c r="L265" s="82" t="n">
        <x:v>41.3</x:v>
      </x:c>
      <x:c r="M265" s="82" t="n">
        <x:v>25.4</x:v>
      </x:c>
      <x:c r="N265" s="86" t="n">
        <x:v>1067</x:v>
      </x:c>
      <x:c r="O265" s="90" t="n">
        <x:v>6.42</x:v>
      </x:c>
      <x:c r="P265" s="150" t="n">
        <x:v>3.992</x:v>
      </x:c>
      <x:c r="Q265" s="86" t="n">
        <x:v>23</x:v>
      </x:c>
      <x:c r="R265" s="32"/>
      <x:c r="S265" s="32" t="str">
        <x:v>ok</x:v>
      </x:c>
      <x:c r="T265" s="32" t="str">
        <x:v>ok</x:v>
      </x:c>
      <x:c r="U265" s="32" t="str">
        <x:v>ok</x:v>
      </x:c>
      <x:c r="V265" s="32" t="str">
        <x:v>ok</x:v>
      </x:c>
      <x:c r="W265" s="154" t="str">
        <x:v>{"schema_version":1,"imei":"862323089930722","timestamp":1786017953,"report_sequence":11,"task_version":"rice_tension_soil_demo","sensor_mode":"tension_soil","soil_moisture_percent":41.3,"soil_temperature_c":25.4,"soil_ec_us_cm":1067,"soil_ph":6.42,"battery_mv":3992,"csq":23,"soil_rs485_status":"ok","cycle_status":"ok","soil_tension_kpa":-26.3,"soil_tension_rs485_status":"ok"}</x:v>
      </x:c>
    </x:row>
    <x:row r="266">
      <x:c r="A266" s="72" t="n">
        <x:v>46240.83741898148</x:v>
      </x:c>
      <x:c r="B266" s="72" t="n">
        <x:v>46240.83743287037</x:v>
      </x:c>
      <x:c r="C266" s="32" t="str">
        <x:v>P23</x:v>
      </x:c>
      <x:c r="D266" s="32" t="str">
        <x:v>B4-W2-V1</x:v>
      </x:c>
      <x:c r="E266" s="32" t="str">
        <x:v>B4</x:v>
      </x:c>
      <x:c r="F266" s="32" t="str">
        <x:v>W2</x:v>
      </x:c>
      <x:c r="G266" s="32" t="str">
        <x:v>V1</x:v>
      </x:c>
      <x:c r="H266" s="32" t="str">
        <x:v>tension_soil</x:v>
      </x:c>
      <x:c r="I266" s="32" t="str">
        <x:v>862323089930723</x:v>
      </x:c>
      <x:c r="J266" s="82"/>
      <x:c r="K266" s="82" t="n">
        <x:v>-37.9</x:v>
      </x:c>
      <x:c r="L266" s="82" t="n">
        <x:v>41.9</x:v>
      </x:c>
      <x:c r="M266" s="82" t="n">
        <x:v>25.3</x:v>
      </x:c>
      <x:c r="N266" s="86" t="n">
        <x:v>1071</x:v>
      </x:c>
      <x:c r="O266" s="90" t="n">
        <x:v>6.46</x:v>
      </x:c>
      <x:c r="P266" s="150" t="n">
        <x:v>4.01</x:v>
      </x:c>
      <x:c r="Q266" s="86" t="n">
        <x:v>24</x:v>
      </x:c>
      <x:c r="R266" s="32"/>
      <x:c r="S266" s="32" t="str">
        <x:v>ok</x:v>
      </x:c>
      <x:c r="T266" s="32" t="str">
        <x:v>ok</x:v>
      </x:c>
      <x:c r="U266" s="32" t="str">
        <x:v>ok</x:v>
      </x:c>
      <x:c r="V266" s="32" t="str">
        <x:v>ok</x:v>
      </x:c>
      <x:c r="W266" s="154" t="str">
        <x:v>{"schema_version":1,"imei":"862323089930723","timestamp":1786017953,"report_sequence":11,"task_version":"rice_tension_soil_demo","sensor_mode":"tension_soil","soil_moisture_percent":41.9,"soil_temperature_c":25.3,"soil_ec_us_cm":1071,"soil_ph":6.46,"battery_mv":4010,"csq":24,"soil_rs485_status":"ok","cycle_status":"ok","soil_tension_kpa":-37.9,"soil_tension_rs485_status":"ok"}</x:v>
      </x:c>
    </x:row>
    <x:row r="267">
      <x:c r="A267" s="72" t="n">
        <x:v>46240.83741898148</x:v>
      </x:c>
      <x:c r="B267" s="72" t="n">
        <x:v>46240.83743287037</x:v>
      </x:c>
      <x:c r="C267" s="32" t="str">
        <x:v>P24</x:v>
      </x:c>
      <x:c r="D267" s="32" t="str">
        <x:v>B4-W2-V2</x:v>
      </x:c>
      <x:c r="E267" s="32" t="str">
        <x:v>B4</x:v>
      </x:c>
      <x:c r="F267" s="32" t="str">
        <x:v>W2</x:v>
      </x:c>
      <x:c r="G267" s="32" t="str">
        <x:v>V2</x:v>
      </x:c>
      <x:c r="H267" s="32" t="str">
        <x:v>tension_soil</x:v>
      </x:c>
      <x:c r="I267" s="32" t="str">
        <x:v>862323089930724</x:v>
      </x:c>
      <x:c r="J267" s="82"/>
      <x:c r="K267" s="82" t="n">
        <x:v>-38.4</x:v>
      </x:c>
      <x:c r="L267" s="82" t="n">
        <x:v>34.4</x:v>
      </x:c>
      <x:c r="M267" s="82" t="n">
        <x:v>25.2</x:v>
      </x:c>
      <x:c r="N267" s="86" t="n">
        <x:v>1075</x:v>
      </x:c>
      <x:c r="O267" s="90" t="n">
        <x:v>6.51</x:v>
      </x:c>
      <x:c r="P267" s="150" t="n">
        <x:v>3.92</x:v>
      </x:c>
      <x:c r="Q267" s="86" t="n">
        <x:v>17</x:v>
      </x:c>
      <x:c r="R267" s="32"/>
      <x:c r="S267" s="32" t="str">
        <x:v>ok</x:v>
      </x:c>
      <x:c r="T267" s="32" t="str">
        <x:v>ok</x:v>
      </x:c>
      <x:c r="U267" s="32" t="str">
        <x:v>ok</x:v>
      </x:c>
      <x:c r="V267" s="32" t="str">
        <x:v>ok</x:v>
      </x:c>
      <x:c r="W267" s="154" t="str">
        <x:v>{"schema_version":1,"imei":"862323089930724","timestamp":1786017953,"report_sequence":11,"task_version":"rice_tension_soil_demo","sensor_mode":"tension_soil","soil_moisture_percent":34.4,"soil_temperature_c":25.2,"soil_ec_us_cm":1075,"soil_ph":6.51,"battery_mv":3920,"csq":17,"soil_rs485_status":"ok","cycle_status":"ok","soil_tension_kpa":-38.4,"soil_tension_rs485_status":"ok"}</x:v>
      </x:c>
    </x:row>
    <x:row r="268">
      <x:c r="A268" s="72" t="n">
        <x:v>46240.840891203705</x:v>
      </x:c>
      <x:c r="B268" s="72" t="n">
        <x:v>46240.84090509259</x:v>
      </x:c>
      <x:c r="C268" s="32" t="str">
        <x:v>P01</x:v>
      </x:c>
      <x:c r="D268" s="32" t="str">
        <x:v>B1-W0-V1</x:v>
      </x:c>
      <x:c r="E268" s="32" t="str">
        <x:v>B1</x:v>
      </x:c>
      <x:c r="F268" s="32" t="str">
        <x:v>W0</x:v>
      </x:c>
      <x:c r="G268" s="32" t="str">
        <x:v>V1</x:v>
      </x:c>
      <x:c r="H268" s="32" t="str">
        <x:v>water_soil</x:v>
      </x:c>
      <x:c r="I268" s="32" t="str">
        <x:v>862323089930701</x:v>
      </x:c>
      <x:c r="J268" s="82" t="n">
        <x:v>30.6</x:v>
      </x:c>
      <x:c r="K268" s="82"/>
      <x:c r="L268" s="82" t="n">
        <x:v>34.8</x:v>
      </x:c>
      <x:c r="M268" s="82" t="n">
        <x:v>25.1</x:v>
      </x:c>
      <x:c r="N268" s="86" t="n">
        <x:v>789</x:v>
      </x:c>
      <x:c r="O268" s="90" t="n">
        <x:v>6.35</x:v>
      </x:c>
      <x:c r="P268" s="150" t="n">
        <x:v>3.938</x:v>
      </x:c>
      <x:c r="Q268" s="86" t="n">
        <x:v>18</x:v>
      </x:c>
      <x:c r="R268" s="32" t="str">
        <x:v>ok</x:v>
      </x:c>
      <x:c r="S268" s="32"/>
      <x:c r="T268" s="32" t="str">
        <x:v>ok</x:v>
      </x:c>
      <x:c r="U268" s="32" t="str">
        <x:v>ok</x:v>
      </x:c>
      <x:c r="V268" s="32" t="str">
        <x:v>ok</x:v>
      </x:c>
      <x:c r="W268" s="154" t="str">
        <x:v>{"schema_version":1,"imei":"862323089930701","timestamp":1786018253,"report_sequence":12,"task_version":"rice_w0_water_soil_demo","sensor_mode":"water_soil","soil_moisture_percent":34.8,"soil_temperature_c":25.1,"soil_ec_us_cm":789,"soil_ph":6.35,"battery_mv":3938,"csq":18,"soil_rs485_status":"ok","cycle_status":"ok","water_level_mm":30.6,"water_4_20ma_status":"ok"}</x:v>
      </x:c>
    </x:row>
    <x:row r="269">
      <x:c r="A269" s="72" t="n">
        <x:v>46240.840891203705</x:v>
      </x:c>
      <x:c r="B269" s="72" t="n">
        <x:v>46240.84090509259</x:v>
      </x:c>
      <x:c r="C269" s="32" t="str">
        <x:v>P02</x:v>
      </x:c>
      <x:c r="D269" s="32" t="str">
        <x:v>B1-W0-V2</x:v>
      </x:c>
      <x:c r="E269" s="32" t="str">
        <x:v>B1</x:v>
      </x:c>
      <x:c r="F269" s="32" t="str">
        <x:v>W0</x:v>
      </x:c>
      <x:c r="G269" s="32" t="str">
        <x:v>V2</x:v>
      </x:c>
      <x:c r="H269" s="32" t="str">
        <x:v>water_soil</x:v>
      </x:c>
      <x:c r="I269" s="32" t="str">
        <x:v>862323089930702</x:v>
      </x:c>
      <x:c r="J269" s="82" t="n">
        <x:v>32.4</x:v>
      </x:c>
      <x:c r="K269" s="82"/>
      <x:c r="L269" s="82" t="n">
        <x:v>35.4</x:v>
      </x:c>
      <x:c r="M269" s="82" t="n">
        <x:v>24.9</x:v>
      </x:c>
      <x:c r="N269" s="86" t="n">
        <x:v>793</x:v>
      </x:c>
      <x:c r="O269" s="90" t="n">
        <x:v>6.39</x:v>
      </x:c>
      <x:c r="P269" s="150" t="n">
        <x:v>3.956</x:v>
      </x:c>
      <x:c r="Q269" s="86" t="n">
        <x:v>19</x:v>
      </x:c>
      <x:c r="R269" s="32" t="str">
        <x:v>ok</x:v>
      </x:c>
      <x:c r="S269" s="32"/>
      <x:c r="T269" s="32" t="str">
        <x:v>ok</x:v>
      </x:c>
      <x:c r="U269" s="32" t="str">
        <x:v>ok</x:v>
      </x:c>
      <x:c r="V269" s="32" t="str">
        <x:v>ok</x:v>
      </x:c>
      <x:c r="W269" s="154" t="str">
        <x:v>{"schema_version":1,"imei":"862323089930702","timestamp":1786018253,"report_sequence":12,"task_version":"rice_w0_water_soil_demo","sensor_mode":"water_soil","soil_moisture_percent":35.4,"soil_temperature_c":24.9,"soil_ec_us_cm":793,"soil_ph":6.39,"battery_mv":3956,"csq":19,"soil_rs485_status":"ok","cycle_status":"ok","water_level_mm":32.4,"water_4_20ma_status":"ok"}</x:v>
      </x:c>
    </x:row>
    <x:row r="270">
      <x:c r="A270" s="72" t="n">
        <x:v>46240.840891203705</x:v>
      </x:c>
      <x:c r="B270" s="72" t="n">
        <x:v>46240.84090509259</x:v>
      </x:c>
      <x:c r="C270" s="32" t="str">
        <x:v>P03</x:v>
      </x:c>
      <x:c r="D270" s="32" t="str">
        <x:v>B1-W1-V1</x:v>
      </x:c>
      <x:c r="E270" s="32" t="str">
        <x:v>B1</x:v>
      </x:c>
      <x:c r="F270" s="32" t="str">
        <x:v>W1</x:v>
      </x:c>
      <x:c r="G270" s="32" t="str">
        <x:v>V1</x:v>
      </x:c>
      <x:c r="H270" s="32" t="str">
        <x:v>tension_soil</x:v>
      </x:c>
      <x:c r="I270" s="32" t="str">
        <x:v>862323089930703</x:v>
      </x:c>
      <x:c r="J270" s="82"/>
      <x:c r="K270" s="82" t="n">
        <x:v>-24.9</x:v>
      </x:c>
      <x:c r="L270" s="82" t="n">
        <x:v>35.9</x:v>
      </x:c>
      <x:c r="M270" s="82" t="n">
        <x:v>24.8</x:v>
      </x:c>
      <x:c r="N270" s="86" t="n">
        <x:v>797</x:v>
      </x:c>
      <x:c r="O270" s="90" t="n">
        <x:v>6.43</x:v>
      </x:c>
      <x:c r="P270" s="150" t="n">
        <x:v>3.974</x:v>
      </x:c>
      <x:c r="Q270" s="86" t="n">
        <x:v>20</x:v>
      </x:c>
      <x:c r="R270" s="32"/>
      <x:c r="S270" s="32" t="str">
        <x:v>ok</x:v>
      </x:c>
      <x:c r="T270" s="32" t="str">
        <x:v>ok</x:v>
      </x:c>
      <x:c r="U270" s="32" t="str">
        <x:v>ok</x:v>
      </x:c>
      <x:c r="V270" s="32" t="str">
        <x:v>ok</x:v>
      </x:c>
      <x:c r="W270" s="154" t="str">
        <x:v>{"schema_version":1,"imei":"862323089930703","timestamp":1786018253,"report_sequence":12,"task_version":"rice_tension_soil_demo","sensor_mode":"tension_soil","soil_moisture_percent":35.9,"soil_temperature_c":24.8,"soil_ec_us_cm":797,"soil_ph":6.43,"battery_mv":3974,"csq":20,"soil_rs485_status":"ok","cycle_status":"ok","soil_tension_kpa":-24.9,"soil_tension_rs485_status":"ok"}</x:v>
      </x:c>
    </x:row>
    <x:row r="271">
      <x:c r="A271" s="72" t="n">
        <x:v>46240.840891203705</x:v>
      </x:c>
      <x:c r="B271" s="72" t="n">
        <x:v>46240.84090509259</x:v>
      </x:c>
      <x:c r="C271" s="32" t="str">
        <x:v>P04</x:v>
      </x:c>
      <x:c r="D271" s="32" t="str">
        <x:v>B1-W1-V2</x:v>
      </x:c>
      <x:c r="E271" s="32" t="str">
        <x:v>B1</x:v>
      </x:c>
      <x:c r="F271" s="32" t="str">
        <x:v>W1</x:v>
      </x:c>
      <x:c r="G271" s="32" t="str">
        <x:v>V2</x:v>
      </x:c>
      <x:c r="H271" s="32" t="str">
        <x:v>tension_soil</x:v>
      </x:c>
      <x:c r="I271" s="32" t="str">
        <x:v>862323089930704</x:v>
      </x:c>
      <x:c r="J271" s="82"/>
      <x:c r="K271" s="82" t="n">
        <x:v>-25.5</x:v>
      </x:c>
      <x:c r="L271" s="82" t="n">
        <x:v>36.5</x:v>
      </x:c>
      <x:c r="M271" s="82" t="n">
        <x:v>24.7</x:v>
      </x:c>
      <x:c r="N271" s="86" t="n">
        <x:v>802</x:v>
      </x:c>
      <x:c r="O271" s="90" t="n">
        <x:v>6.48</x:v>
      </x:c>
      <x:c r="P271" s="150" t="n">
        <x:v>3.992</x:v>
      </x:c>
      <x:c r="Q271" s="86" t="n">
        <x:v>21</x:v>
      </x:c>
      <x:c r="R271" s="32"/>
      <x:c r="S271" s="32" t="str">
        <x:v>ok</x:v>
      </x:c>
      <x:c r="T271" s="32" t="str">
        <x:v>ok</x:v>
      </x:c>
      <x:c r="U271" s="32" t="str">
        <x:v>ok</x:v>
      </x:c>
      <x:c r="V271" s="32" t="str">
        <x:v>ok</x:v>
      </x:c>
      <x:c r="W271" s="154" t="str">
        <x:v>{"schema_version":1,"imei":"862323089930704","timestamp":1786018253,"report_sequence":12,"task_version":"rice_tension_soil_demo","sensor_mode":"tension_soil","soil_moisture_percent":36.5,"soil_temperature_c":24.7,"soil_ec_us_cm":802,"soil_ph":6.48,"battery_mv":3992,"csq":21,"soil_rs485_status":"ok","cycle_status":"ok","soil_tension_kpa":-25.5,"soil_tension_rs485_status":"ok"}</x:v>
      </x:c>
    </x:row>
    <x:row r="272">
      <x:c r="A272" s="72" t="n">
        <x:v>46240.840891203705</x:v>
      </x:c>
      <x:c r="B272" s="72" t="n">
        <x:v>46240.84090509259</x:v>
      </x:c>
      <x:c r="C272" s="32" t="str">
        <x:v>P05</x:v>
      </x:c>
      <x:c r="D272" s="32" t="str">
        <x:v>B1-W2-V1</x:v>
      </x:c>
      <x:c r="E272" s="32" t="str">
        <x:v>B1</x:v>
      </x:c>
      <x:c r="F272" s="32" t="str">
        <x:v>W2</x:v>
      </x:c>
      <x:c r="G272" s="32" t="str">
        <x:v>V1</x:v>
      </x:c>
      <x:c r="H272" s="32" t="str">
        <x:v>tension_soil</x:v>
      </x:c>
      <x:c r="I272" s="32" t="str">
        <x:v>862323089930705</x:v>
      </x:c>
      <x:c r="J272" s="82"/>
      <x:c r="K272" s="82" t="n">
        <x:v>-32.2</x:v>
      </x:c>
      <x:c r="L272" s="82" t="n">
        <x:v>37.2</x:v>
      </x:c>
      <x:c r="M272" s="82" t="n">
        <x:v>24.7</x:v>
      </x:c>
      <x:c r="N272" s="86" t="n">
        <x:v>809</x:v>
      </x:c>
      <x:c r="O272" s="90" t="n">
        <x:v>6.27</x:v>
      </x:c>
      <x:c r="P272" s="150" t="n">
        <x:v>4.01</x:v>
      </x:c>
      <x:c r="Q272" s="86" t="n">
        <x:v>22</x:v>
      </x:c>
      <x:c r="R272" s="32"/>
      <x:c r="S272" s="32" t="str">
        <x:v>ok</x:v>
      </x:c>
      <x:c r="T272" s="32" t="str">
        <x:v>ok</x:v>
      </x:c>
      <x:c r="U272" s="32" t="str">
        <x:v>ok</x:v>
      </x:c>
      <x:c r="V272" s="32" t="str">
        <x:v>ok</x:v>
      </x:c>
      <x:c r="W272" s="154" t="str">
        <x:v>{"schema_version":1,"imei":"862323089930705","timestamp":1786018253,"report_sequence":12,"task_version":"rice_tension_soil_demo","sensor_mode":"tension_soil","soil_moisture_percent":37.2,"soil_temperature_c":24.7,"soil_ec_us_cm":809,"soil_ph":6.27,"battery_mv":4010,"csq":22,"soil_rs485_status":"ok","cycle_status":"ok","soil_tension_kpa":-32.2,"soil_tension_rs485_status":"ok"}</x:v>
      </x:c>
    </x:row>
    <x:row r="273">
      <x:c r="A273" s="72" t="n">
        <x:v>46240.840891203705</x:v>
      </x:c>
      <x:c r="B273" s="72" t="n">
        <x:v>46240.84090509259</x:v>
      </x:c>
      <x:c r="C273" s="32" t="str">
        <x:v>P06</x:v>
      </x:c>
      <x:c r="D273" s="32" t="str">
        <x:v>B1-W2-V2</x:v>
      </x:c>
      <x:c r="E273" s="32" t="str">
        <x:v>B1</x:v>
      </x:c>
      <x:c r="F273" s="32" t="str">
        <x:v>W2</x:v>
      </x:c>
      <x:c r="G273" s="32" t="str">
        <x:v>V2</x:v>
      </x:c>
      <x:c r="H273" s="32" t="str">
        <x:v>tension_soil</x:v>
      </x:c>
      <x:c r="I273" s="32" t="str">
        <x:v>862323089930706</x:v>
      </x:c>
      <x:c r="J273" s="82"/>
      <x:c r="K273" s="82" t="n">
        <x:v>-33.1</x:v>
      </x:c>
      <x:c r="L273" s="82" t="n">
        <x:v>38.1</x:v>
      </x:c>
      <x:c r="M273" s="82" t="n">
        <x:v>24.6</x:v>
      </x:c>
      <x:c r="N273" s="86" t="n">
        <x:v>818</x:v>
      </x:c>
      <x:c r="O273" s="90" t="n">
        <x:v>6.32</x:v>
      </x:c>
      <x:c r="P273" s="150" t="n">
        <x:v>3.92</x:v>
      </x:c>
      <x:c r="Q273" s="86" t="n">
        <x:v>23</x:v>
      </x:c>
      <x:c r="R273" s="32"/>
      <x:c r="S273" s="32" t="str">
        <x:v>ok</x:v>
      </x:c>
      <x:c r="T273" s="32" t="str">
        <x:v>ok</x:v>
      </x:c>
      <x:c r="U273" s="32" t="str">
        <x:v>ok</x:v>
      </x:c>
      <x:c r="V273" s="32" t="str">
        <x:v>ok</x:v>
      </x:c>
      <x:c r="W273" s="154" t="str">
        <x:v>{"schema_version":1,"imei":"862323089930706","timestamp":1786018253,"report_sequence":12,"task_version":"rice_tension_soil_demo","sensor_mode":"tension_soil","soil_moisture_percent":38.1,"soil_temperature_c":24.6,"soil_ec_us_cm":818,"soil_ph":6.32,"battery_mv":3920,"csq":23,"soil_rs485_status":"ok","cycle_status":"ok","soil_tension_kpa":-33.1,"soil_tension_rs485_status":"ok"}</x:v>
      </x:c>
    </x:row>
    <x:row r="274">
      <x:c r="A274" s="72" t="n">
        <x:v>46240.840891203705</x:v>
      </x:c>
      <x:c r="B274" s="72" t="n">
        <x:v>46240.84090509259</x:v>
      </x:c>
      <x:c r="C274" s="32" t="str">
        <x:v>P07</x:v>
      </x:c>
      <x:c r="D274" s="32" t="str">
        <x:v>B2-W0-V1</x:v>
      </x:c>
      <x:c r="E274" s="32" t="str">
        <x:v>B2</x:v>
      </x:c>
      <x:c r="F274" s="32" t="str">
        <x:v>W0</x:v>
      </x:c>
      <x:c r="G274" s="32" t="str">
        <x:v>V1</x:v>
      </x:c>
      <x:c r="H274" s="32" t="str">
        <x:v>water_soil</x:v>
      </x:c>
      <x:c r="I274" s="32" t="str">
        <x:v>862323089930707</x:v>
      </x:c>
      <x:c r="J274" s="82" t="n">
        <x:v>32</x:v>
      </x:c>
      <x:c r="K274" s="82"/>
      <x:c r="L274" s="82" t="n">
        <x:v>39</x:v>
      </x:c>
      <x:c r="M274" s="82" t="n">
        <x:v>24.6</x:v>
      </x:c>
      <x:c r="N274" s="86" t="n">
        <x:v>829</x:v>
      </x:c>
      <x:c r="O274" s="90" t="n">
        <x:v>6.37</x:v>
      </x:c>
      <x:c r="P274" s="150" t="n">
        <x:v>3.938</x:v>
      </x:c>
      <x:c r="Q274" s="86" t="n">
        <x:v>24</x:v>
      </x:c>
      <x:c r="R274" s="32" t="str">
        <x:v>ok</x:v>
      </x:c>
      <x:c r="S274" s="32"/>
      <x:c r="T274" s="32" t="str">
        <x:v>ok</x:v>
      </x:c>
      <x:c r="U274" s="32" t="str">
        <x:v>ok</x:v>
      </x:c>
      <x:c r="V274" s="32" t="str">
        <x:v>ok</x:v>
      </x:c>
      <x:c r="W274" s="154" t="str">
        <x:v>{"schema_version":1,"imei":"862323089930707","timestamp":1786018253,"report_sequence":12,"task_version":"rice_w0_water_soil_demo","sensor_mode":"water_soil","soil_moisture_percent":39,"soil_temperature_c":24.6,"soil_ec_us_cm":829,"soil_ph":6.37,"battery_mv":3938,"csq":24,"soil_rs485_status":"ok","cycle_status":"ok","water_level_mm":32,"water_4_20ma_status":"ok"}</x:v>
      </x:c>
    </x:row>
    <x:row r="275">
      <x:c r="A275" s="72" t="n">
        <x:v>46240.840891203705</x:v>
      </x:c>
      <x:c r="B275" s="72" t="n">
        <x:v>46240.84090509259</x:v>
      </x:c>
      <x:c r="C275" s="32" t="str">
        <x:v>P08</x:v>
      </x:c>
      <x:c r="D275" s="32" t="str">
        <x:v>B2-W0-V2</x:v>
      </x:c>
      <x:c r="E275" s="32" t="str">
        <x:v>B2</x:v>
      </x:c>
      <x:c r="F275" s="32" t="str">
        <x:v>W0</x:v>
      </x:c>
      <x:c r="G275" s="32" t="str">
        <x:v>V2</x:v>
      </x:c>
      <x:c r="H275" s="32" t="str">
        <x:v>water_soil</x:v>
      </x:c>
      <x:c r="I275" s="32" t="str">
        <x:v>862323089930708</x:v>
      </x:c>
      <x:c r="J275" s="82" t="n">
        <x:v>23.2</x:v>
      </x:c>
      <x:c r="K275" s="82"/>
      <x:c r="L275" s="82" t="n">
        <x:v>32.1</x:v>
      </x:c>
      <x:c r="M275" s="82" t="n">
        <x:v>24.6</x:v>
      </x:c>
      <x:c r="N275" s="86" t="n">
        <x:v>842</x:v>
      </x:c>
      <x:c r="O275" s="90" t="n">
        <x:v>6.42</x:v>
      </x:c>
      <x:c r="P275" s="150" t="n">
        <x:v>3.956</x:v>
      </x:c>
      <x:c r="Q275" s="86" t="n">
        <x:v>17</x:v>
      </x:c>
      <x:c r="R275" s="32" t="str">
        <x:v>ok</x:v>
      </x:c>
      <x:c r="S275" s="32"/>
      <x:c r="T275" s="32" t="str">
        <x:v>ok</x:v>
      </x:c>
      <x:c r="U275" s="32" t="str">
        <x:v>ok</x:v>
      </x:c>
      <x:c r="V275" s="32" t="str">
        <x:v>ok</x:v>
      </x:c>
      <x:c r="W275" s="154" t="str">
        <x:v>{"schema_version":1,"imei":"862323089930708","timestamp":1786018253,"report_sequence":12,"task_version":"rice_w0_water_soil_demo","sensor_mode":"water_soil","soil_moisture_percent":32.1,"soil_temperature_c":24.6,"soil_ec_us_cm":842,"soil_ph":6.42,"battery_mv":3956,"csq":17,"soil_rs485_status":"ok","cycle_status":"ok","water_level_mm":23.2,"water_4_20ma_status":"ok"}</x:v>
      </x:c>
    </x:row>
    <x:row r="276">
      <x:c r="A276" s="72" t="n">
        <x:v>46240.840891203705</x:v>
      </x:c>
      <x:c r="B276" s="72" t="n">
        <x:v>46240.84090509259</x:v>
      </x:c>
      <x:c r="C276" s="32" t="str">
        <x:v>P09</x:v>
      </x:c>
      <x:c r="D276" s="32" t="str">
        <x:v>B2-W1-V1</x:v>
      </x:c>
      <x:c r="E276" s="32" t="str">
        <x:v>B2</x:v>
      </x:c>
      <x:c r="F276" s="32" t="str">
        <x:v>W1</x:v>
      </x:c>
      <x:c r="G276" s="32" t="str">
        <x:v>V1</x:v>
      </x:c>
      <x:c r="H276" s="32" t="str">
        <x:v>tension_soil</x:v>
      </x:c>
      <x:c r="I276" s="32" t="str">
        <x:v>862323089930709</x:v>
      </x:c>
      <x:c r="J276" s="82"/>
      <x:c r="K276" s="82" t="n">
        <x:v>-25.2</x:v>
      </x:c>
      <x:c r="L276" s="82" t="n">
        <x:v>33.2</x:v>
      </x:c>
      <x:c r="M276" s="82" t="n">
        <x:v>24.7</x:v>
      </x:c>
      <x:c r="N276" s="86" t="n">
        <x:v>857</x:v>
      </x:c>
      <x:c r="O276" s="90" t="n">
        <x:v>6.47</x:v>
      </x:c>
      <x:c r="P276" s="150" t="n">
        <x:v>3.974</x:v>
      </x:c>
      <x:c r="Q276" s="86" t="n">
        <x:v>18</x:v>
      </x:c>
      <x:c r="R276" s="32"/>
      <x:c r="S276" s="32" t="str">
        <x:v>ok</x:v>
      </x:c>
      <x:c r="T276" s="32" t="str">
        <x:v>ok</x:v>
      </x:c>
      <x:c r="U276" s="32" t="str">
        <x:v>ok</x:v>
      </x:c>
      <x:c r="V276" s="32" t="str">
        <x:v>ok</x:v>
      </x:c>
      <x:c r="W276" s="154" t="str">
        <x:v>{"schema_version":1,"imei":"862323089930709","timestamp":1786018253,"report_sequence":12,"task_version":"rice_tension_soil_demo","sensor_mode":"tension_soil","soil_moisture_percent":33.2,"soil_temperature_c":24.7,"soil_ec_us_cm":857,"soil_ph":6.47,"battery_mv":3974,"csq":18,"soil_rs485_status":"ok","cycle_status":"ok","soil_tension_kpa":-25.2,"soil_tension_rs485_status":"ok"}</x:v>
      </x:c>
    </x:row>
    <x:row r="277">
      <x:c r="A277" s="72" t="n">
        <x:v>46240.840891203705</x:v>
      </x:c>
      <x:c r="B277" s="72" t="n">
        <x:v>46240.84090509259</x:v>
      </x:c>
      <x:c r="C277" s="32" t="str">
        <x:v>P10</x:v>
      </x:c>
      <x:c r="D277" s="32" t="str">
        <x:v>B2-W1-V2</x:v>
      </x:c>
      <x:c r="E277" s="32" t="str">
        <x:v>B2</x:v>
      </x:c>
      <x:c r="F277" s="32" t="str">
        <x:v>W1</x:v>
      </x:c>
      <x:c r="G277" s="32" t="str">
        <x:v>V2</x:v>
      </x:c>
      <x:c r="H277" s="32" t="str">
        <x:v>tension_soil</x:v>
      </x:c>
      <x:c r="I277" s="32" t="str">
        <x:v>862323089930710</x:v>
      </x:c>
      <x:c r="J277" s="82"/>
      <x:c r="K277" s="82" t="n">
        <x:v>-21.5</x:v>
      </x:c>
      <x:c r="L277" s="82" t="n">
        <x:v>34.5</x:v>
      </x:c>
      <x:c r="M277" s="82" t="n">
        <x:v>24.7</x:v>
      </x:c>
      <x:c r="N277" s="86" t="n">
        <x:v>874</x:v>
      </x:c>
      <x:c r="O277" s="90" t="n">
        <x:v>6.28</x:v>
      </x:c>
      <x:c r="P277" s="150" t="n">
        <x:v>3.992</x:v>
      </x:c>
      <x:c r="Q277" s="86" t="n">
        <x:v>19</x:v>
      </x:c>
      <x:c r="R277" s="32"/>
      <x:c r="S277" s="32" t="str">
        <x:v>ok</x:v>
      </x:c>
      <x:c r="T277" s="32" t="str">
        <x:v>ok</x:v>
      </x:c>
      <x:c r="U277" s="32" t="str">
        <x:v>ok</x:v>
      </x:c>
      <x:c r="V277" s="32" t="str">
        <x:v>ok</x:v>
      </x:c>
      <x:c r="W277" s="154" t="str">
        <x:v>{"schema_version":1,"imei":"862323089930710","timestamp":1786018253,"report_sequence":12,"task_version":"rice_tension_soil_demo","sensor_mode":"tension_soil","soil_moisture_percent":34.5,"soil_temperature_c":24.7,"soil_ec_us_cm":874,"soil_ph":6.28,"battery_mv":3992,"csq":19,"soil_rs485_status":"ok","cycle_status":"ok","soil_tension_kpa":-21.5,"soil_tension_rs485_status":"ok"}</x:v>
      </x:c>
    </x:row>
    <x:row r="278">
      <x:c r="A278" s="72" t="n">
        <x:v>46240.840891203705</x:v>
      </x:c>
      <x:c r="B278" s="72" t="n">
        <x:v>46240.84090509259</x:v>
      </x:c>
      <x:c r="C278" s="32" t="str">
        <x:v>P11</x:v>
      </x:c>
      <x:c r="D278" s="32" t="str">
        <x:v>B2-W2-V1</x:v>
      </x:c>
      <x:c r="E278" s="32" t="str">
        <x:v>B2</x:v>
      </x:c>
      <x:c r="F278" s="32" t="str">
        <x:v>W2</x:v>
      </x:c>
      <x:c r="G278" s="32" t="str">
        <x:v>V1</x:v>
      </x:c>
      <x:c r="H278" s="32" t="str">
        <x:v>tension_soil</x:v>
      </x:c>
      <x:c r="I278" s="32" t="str">
        <x:v>862323089930711</x:v>
      </x:c>
      <x:c r="J278" s="82"/>
      <x:c r="K278" s="82" t="n">
        <x:v>-33.9</x:v>
      </x:c>
      <x:c r="L278" s="82" t="n">
        <x:v>35.9</x:v>
      </x:c>
      <x:c r="M278" s="82" t="n">
        <x:v>24.8</x:v>
      </x:c>
      <x:c r="N278" s="86" t="n">
        <x:v>893</x:v>
      </x:c>
      <x:c r="O278" s="90" t="n">
        <x:v>6.33</x:v>
      </x:c>
      <x:c r="P278" s="150" t="n">
        <x:v>4.01</x:v>
      </x:c>
      <x:c r="Q278" s="86" t="n">
        <x:v>20</x:v>
      </x:c>
      <x:c r="R278" s="32"/>
      <x:c r="S278" s="32" t="str">
        <x:v>ok</x:v>
      </x:c>
      <x:c r="T278" s="32" t="str">
        <x:v>ok</x:v>
      </x:c>
      <x:c r="U278" s="32" t="str">
        <x:v>ok</x:v>
      </x:c>
      <x:c r="V278" s="32" t="str">
        <x:v>ok</x:v>
      </x:c>
      <x:c r="W278" s="154" t="str">
        <x:v>{"schema_version":1,"imei":"862323089930711","timestamp":1786018253,"report_sequence":12,"task_version":"rice_tension_soil_demo","sensor_mode":"tension_soil","soil_moisture_percent":35.9,"soil_temperature_c":24.8,"soil_ec_us_cm":893,"soil_ph":6.33,"battery_mv":4010,"csq":20,"soil_rs485_status":"ok","cycle_status":"ok","soil_tension_kpa":-33.9,"soil_tension_rs485_status":"ok"}</x:v>
      </x:c>
    </x:row>
    <x:row r="279">
      <x:c r="A279" s="72" t="n">
        <x:v>46240.840891203705</x:v>
      </x:c>
      <x:c r="B279" s="72" t="n">
        <x:v>46240.84090509259</x:v>
      </x:c>
      <x:c r="C279" s="32" t="str">
        <x:v>P12</x:v>
      </x:c>
      <x:c r="D279" s="32" t="str">
        <x:v>B2-W2-V2</x:v>
      </x:c>
      <x:c r="E279" s="32" t="str">
        <x:v>B2</x:v>
      </x:c>
      <x:c r="F279" s="32" t="str">
        <x:v>W2</x:v>
      </x:c>
      <x:c r="G279" s="32" t="str">
        <x:v>V2</x:v>
      </x:c>
      <x:c r="H279" s="32" t="str">
        <x:v>tension_soil</x:v>
      </x:c>
      <x:c r="I279" s="32" t="str">
        <x:v>862323089930712</x:v>
      </x:c>
      <x:c r="J279" s="82"/>
      <x:c r="K279" s="82" t="n">
        <x:v>-35.4</x:v>
      </x:c>
      <x:c r="L279" s="82" t="n">
        <x:v>37.4</x:v>
      </x:c>
      <x:c r="M279" s="82" t="n">
        <x:v>24.9</x:v>
      </x:c>
      <x:c r="N279" s="86" t="n">
        <x:v>913</x:v>
      </x:c>
      <x:c r="O279" s="90" t="n">
        <x:v>6.39</x:v>
      </x:c>
      <x:c r="P279" s="150" t="n">
        <x:v>3.92</x:v>
      </x:c>
      <x:c r="Q279" s="86" t="n">
        <x:v>21</x:v>
      </x:c>
      <x:c r="R279" s="32"/>
      <x:c r="S279" s="32" t="str">
        <x:v>ok</x:v>
      </x:c>
      <x:c r="T279" s="32" t="str">
        <x:v>ok</x:v>
      </x:c>
      <x:c r="U279" s="32" t="str">
        <x:v>ok</x:v>
      </x:c>
      <x:c r="V279" s="32" t="str">
        <x:v>ok</x:v>
      </x:c>
      <x:c r="W279" s="154" t="str">
        <x:v>{"schema_version":1,"imei":"862323089930712","timestamp":1786018253,"report_sequence":12,"task_version":"rice_tension_soil_demo","sensor_mode":"tension_soil","soil_moisture_percent":37.4,"soil_temperature_c":24.9,"soil_ec_us_cm":913,"soil_ph":6.39,"battery_mv":3920,"csq":21,"soil_rs485_status":"ok","cycle_status":"ok","soil_tension_kpa":-35.4,"soil_tension_rs485_status":"ok"}</x:v>
      </x:c>
    </x:row>
    <x:row r="280">
      <x:c r="A280" s="72" t="n">
        <x:v>46240.840891203705</x:v>
      </x:c>
      <x:c r="B280" s="72" t="n">
        <x:v>46240.84090509259</x:v>
      </x:c>
      <x:c r="C280" s="32" t="str">
        <x:v>P13</x:v>
      </x:c>
      <x:c r="D280" s="32" t="str">
        <x:v>B3-W0-V1</x:v>
      </x:c>
      <x:c r="E280" s="32" t="str">
        <x:v>B3</x:v>
      </x:c>
      <x:c r="F280" s="32" t="str">
        <x:v>W0</x:v>
      </x:c>
      <x:c r="G280" s="32" t="str">
        <x:v>V1</x:v>
      </x:c>
      <x:c r="H280" s="32" t="str">
        <x:v>water_soil</x:v>
      </x:c>
      <x:c r="I280" s="32" t="str">
        <x:v>862323089930713</x:v>
      </x:c>
      <x:c r="J280" s="82" t="n">
        <x:v>30.7</x:v>
      </x:c>
      <x:c r="K280" s="82"/>
      <x:c r="L280" s="82" t="n">
        <x:v>38.9</x:v>
      </x:c>
      <x:c r="M280" s="82" t="n">
        <x:v>25.1</x:v>
      </x:c>
      <x:c r="N280" s="86" t="n">
        <x:v>934</x:v>
      </x:c>
      <x:c r="O280" s="90" t="n">
        <x:v>6.45</x:v>
      </x:c>
      <x:c r="P280" s="150" t="n">
        <x:v>3.938</x:v>
      </x:c>
      <x:c r="Q280" s="86" t="n">
        <x:v>22</x:v>
      </x:c>
      <x:c r="R280" s="32" t="str">
        <x:v>ok</x:v>
      </x:c>
      <x:c r="S280" s="32"/>
      <x:c r="T280" s="32" t="str">
        <x:v>ok</x:v>
      </x:c>
      <x:c r="U280" s="32" t="str">
        <x:v>ok</x:v>
      </x:c>
      <x:c r="V280" s="32" t="str">
        <x:v>ok</x:v>
      </x:c>
      <x:c r="W280" s="154" t="str">
        <x:v>{"schema_version":1,"imei":"862323089930713","timestamp":1786018253,"report_sequence":12,"task_version":"rice_w0_water_soil_demo","sensor_mode":"water_soil","soil_moisture_percent":38.9,"soil_temperature_c":25.1,"soil_ec_us_cm":934,"soil_ph":6.45,"battery_mv":3938,"csq":22,"soil_rs485_status":"ok","cycle_status":"ok","water_level_mm":30.7,"water_4_20ma_status":"ok"}</x:v>
      </x:c>
    </x:row>
    <x:row r="281">
      <x:c r="A281" s="72" t="n">
        <x:v>46240.840891203705</x:v>
      </x:c>
      <x:c r="B281" s="72" t="n">
        <x:v>46240.84090509259</x:v>
      </x:c>
      <x:c r="C281" s="32" t="str">
        <x:v>P14</x:v>
      </x:c>
      <x:c r="D281" s="32" t="str">
        <x:v>B3-W0-V2</x:v>
      </x:c>
      <x:c r="E281" s="32" t="str">
        <x:v>B3</x:v>
      </x:c>
      <x:c r="F281" s="32" t="str">
        <x:v>W0</x:v>
      </x:c>
      <x:c r="G281" s="32" t="str">
        <x:v>V2</x:v>
      </x:c>
      <x:c r="H281" s="32" t="str">
        <x:v>water_soil</x:v>
      </x:c>
      <x:c r="I281" s="32" t="str">
        <x:v>862323089930714</x:v>
      </x:c>
      <x:c r="J281" s="82" t="n">
        <x:v>34.9</x:v>
      </x:c>
      <x:c r="K281" s="82"/>
      <x:c r="L281" s="82" t="n">
        <x:v>40.4</x:v>
      </x:c>
      <x:c r="M281" s="82" t="n">
        <x:v>25.2</x:v>
      </x:c>
      <x:c r="N281" s="86" t="n">
        <x:v>954</x:v>
      </x:c>
      <x:c r="O281" s="90" t="n">
        <x:v>6.51</x:v>
      </x:c>
      <x:c r="P281" s="150" t="n">
        <x:v>3.956</x:v>
      </x:c>
      <x:c r="Q281" s="86" t="n">
        <x:v>23</x:v>
      </x:c>
      <x:c r="R281" s="32" t="str">
        <x:v>ok</x:v>
      </x:c>
      <x:c r="S281" s="32"/>
      <x:c r="T281" s="32" t="str">
        <x:v>ok</x:v>
      </x:c>
      <x:c r="U281" s="32" t="str">
        <x:v>ok</x:v>
      </x:c>
      <x:c r="V281" s="32" t="str">
        <x:v>ok</x:v>
      </x:c>
      <x:c r="W281" s="154" t="str">
        <x:v>{"schema_version":1,"imei":"862323089930714","timestamp":1786018253,"report_sequence":12,"task_version":"rice_w0_water_soil_demo","sensor_mode":"water_soil","soil_moisture_percent":40.4,"soil_temperature_c":25.2,"soil_ec_us_cm":954,"soil_ph":6.51,"battery_mv":3956,"csq":23,"soil_rs485_status":"ok","cycle_status":"ok","water_level_mm":34.9,"water_4_20ma_status":"ok"}</x:v>
      </x:c>
    </x:row>
    <x:row r="282">
      <x:c r="A282" s="72" t="n">
        <x:v>46240.840891203705</x:v>
      </x:c>
      <x:c r="B282" s="72" t="n">
        <x:v>46240.84090509259</x:v>
      </x:c>
      <x:c r="C282" s="32" t="str">
        <x:v>P15</x:v>
      </x:c>
      <x:c r="D282" s="32" t="str">
        <x:v>B3-W1-V1</x:v>
      </x:c>
      <x:c r="E282" s="32" t="str">
        <x:v>B3</x:v>
      </x:c>
      <x:c r="F282" s="32" t="str">
        <x:v>W1</x:v>
      </x:c>
      <x:c r="G282" s="32" t="str">
        <x:v>V1</x:v>
      </x:c>
      <x:c r="H282" s="32" t="str">
        <x:v>tension_soil</x:v>
      </x:c>
      <x:c r="I282" s="32" t="str">
        <x:v>862323089930715</x:v>
      </x:c>
      <x:c r="J282" s="82"/>
      <x:c r="K282" s="82" t="n">
        <x:v>-23.8</x:v>
      </x:c>
      <x:c r="L282" s="82" t="n">
        <x:v>41.8</x:v>
      </x:c>
      <x:c r="M282" s="82" t="n">
        <x:v>25.3</x:v>
      </x:c>
      <x:c r="N282" s="86" t="n">
        <x:v>975</x:v>
      </x:c>
      <x:c r="O282" s="90" t="n">
        <x:v>6.31</x:v>
      </x:c>
      <x:c r="P282" s="150" t="n">
        <x:v>3.974</x:v>
      </x:c>
      <x:c r="Q282" s="86" t="n">
        <x:v>24</x:v>
      </x:c>
      <x:c r="R282" s="32"/>
      <x:c r="S282" s="32" t="str">
        <x:v>ok</x:v>
      </x:c>
      <x:c r="T282" s="32" t="str">
        <x:v>ok</x:v>
      </x:c>
      <x:c r="U282" s="32" t="str">
        <x:v>ok</x:v>
      </x:c>
      <x:c r="V282" s="32" t="str">
        <x:v>ok</x:v>
      </x:c>
      <x:c r="W282" s="154" t="str">
        <x:v>{"schema_version":1,"imei":"862323089930715","timestamp":1786018253,"report_sequence":12,"task_version":"rice_tension_soil_demo","sensor_mode":"tension_soil","soil_moisture_percent":41.8,"soil_temperature_c":25.3,"soil_ec_us_cm":975,"soil_ph":6.31,"battery_mv":3974,"csq":24,"soil_rs485_status":"ok","cycle_status":"ok","soil_tension_kpa":-23.8,"soil_tension_rs485_status":"ok"}</x:v>
      </x:c>
    </x:row>
    <x:row r="283">
      <x:c r="A283" s="72" t="n">
        <x:v>46240.840891203705</x:v>
      </x:c>
      <x:c r="B283" s="72" t="n">
        <x:v>46240.84090509259</x:v>
      </x:c>
      <x:c r="C283" s="32" t="str">
        <x:v>P16</x:v>
      </x:c>
      <x:c r="D283" s="32" t="str">
        <x:v>B3-W1-V2</x:v>
      </x:c>
      <x:c r="E283" s="32" t="str">
        <x:v>B3</x:v>
      </x:c>
      <x:c r="F283" s="32" t="str">
        <x:v>W1</x:v>
      </x:c>
      <x:c r="G283" s="32" t="str">
        <x:v>V2</x:v>
      </x:c>
      <x:c r="H283" s="32" t="str">
        <x:v>tension_soil</x:v>
      </x:c>
      <x:c r="I283" s="32" t="str">
        <x:v>862323089930716</x:v>
      </x:c>
      <x:c r="J283" s="82"/>
      <x:c r="K283" s="82" t="n">
        <x:v>-25.3</x:v>
      </x:c>
      <x:c r="L283" s="82" t="n">
        <x:v>35.3</x:v>
      </x:c>
      <x:c r="M283" s="82" t="n">
        <x:v>25.4</x:v>
      </x:c>
      <x:c r="N283" s="86" t="n">
        <x:v>994</x:v>
      </x:c>
      <x:c r="O283" s="90" t="n">
        <x:v>6.37</x:v>
      </x:c>
      <x:c r="P283" s="150" t="n">
        <x:v>3.992</x:v>
      </x:c>
      <x:c r="Q283" s="86" t="n">
        <x:v>17</x:v>
      </x:c>
      <x:c r="R283" s="32"/>
      <x:c r="S283" s="32" t="str">
        <x:v>ok</x:v>
      </x:c>
      <x:c r="T283" s="32" t="str">
        <x:v>ok</x:v>
      </x:c>
      <x:c r="U283" s="32" t="str">
        <x:v>ok</x:v>
      </x:c>
      <x:c r="V283" s="32" t="str">
        <x:v>ok</x:v>
      </x:c>
      <x:c r="W283" s="154" t="str">
        <x:v>{"schema_version":1,"imei":"862323089930716","timestamp":1786018253,"report_sequence":12,"task_version":"rice_tension_soil_demo","sensor_mode":"tension_soil","soil_moisture_percent":35.3,"soil_temperature_c":25.4,"soil_ec_us_cm":994,"soil_ph":6.37,"battery_mv":3992,"csq":17,"soil_rs485_status":"ok","cycle_status":"ok","soil_tension_kpa":-25.3,"soil_tension_rs485_status":"ok"}</x:v>
      </x:c>
    </x:row>
    <x:row r="284">
      <x:c r="A284" s="72" t="n">
        <x:v>46240.840891203705</x:v>
      </x:c>
      <x:c r="B284" s="72" t="n">
        <x:v>46240.84090509259</x:v>
      </x:c>
      <x:c r="C284" s="32" t="str">
        <x:v>P17</x:v>
      </x:c>
      <x:c r="D284" s="32" t="str">
        <x:v>B3-W2-V1</x:v>
      </x:c>
      <x:c r="E284" s="32" t="str">
        <x:v>B3</x:v>
      </x:c>
      <x:c r="F284" s="32" t="str">
        <x:v>W2</x:v>
      </x:c>
      <x:c r="G284" s="32" t="str">
        <x:v>V1</x:v>
      </x:c>
      <x:c r="H284" s="32" t="str">
        <x:v>tension_soil</x:v>
      </x:c>
      <x:c r="I284" s="32" t="str">
        <x:v>862323089930717</x:v>
      </x:c>
      <x:c r="J284" s="82"/>
      <x:c r="K284" s="82" t="n">
        <x:v>-37.6</x:v>
      </x:c>
      <x:c r="L284" s="82" t="n">
        <x:v>36.6</x:v>
      </x:c>
      <x:c r="M284" s="82" t="n">
        <x:v>25.5</x:v>
      </x:c>
      <x:c r="N284" s="86" t="n">
        <x:v>1012</x:v>
      </x:c>
      <x:c r="O284" s="90" t="n">
        <x:v>6.42</x:v>
      </x:c>
      <x:c r="P284" s="150" t="n">
        <x:v>4.01</x:v>
      </x:c>
      <x:c r="Q284" s="86" t="n">
        <x:v>18</x:v>
      </x:c>
      <x:c r="R284" s="32"/>
      <x:c r="S284" s="32" t="str">
        <x:v>ok</x:v>
      </x:c>
      <x:c r="T284" s="32" t="str">
        <x:v>ok</x:v>
      </x:c>
      <x:c r="U284" s="32" t="str">
        <x:v>ok</x:v>
      </x:c>
      <x:c r="V284" s="32" t="str">
        <x:v>ok</x:v>
      </x:c>
      <x:c r="W284" s="154" t="str">
        <x:v>{"schema_version":1,"imei":"862323089930717","timestamp":1786018253,"report_sequence":12,"task_version":"rice_tension_soil_demo","sensor_mode":"tension_soil","soil_moisture_percent":36.6,"soil_temperature_c":25.5,"soil_ec_us_cm":1012,"soil_ph":6.42,"battery_mv":4010,"csq":18,"soil_rs485_status":"ok","cycle_status":"ok","soil_tension_kpa":-37.6,"soil_tension_rs485_status":"ok"}</x:v>
      </x:c>
    </x:row>
    <x:row r="285">
      <x:c r="A285" s="72" t="n">
        <x:v>46240.840891203705</x:v>
      </x:c>
      <x:c r="B285" s="72" t="n">
        <x:v>46240.84090509259</x:v>
      </x:c>
      <x:c r="C285" s="32" t="str">
        <x:v>P18</x:v>
      </x:c>
      <x:c r="D285" s="32" t="str">
        <x:v>B3-W2-V2</x:v>
      </x:c>
      <x:c r="E285" s="32" t="str">
        <x:v>B3</x:v>
      </x:c>
      <x:c r="F285" s="32" t="str">
        <x:v>W2</x:v>
      </x:c>
      <x:c r="G285" s="32" t="str">
        <x:v>V2</x:v>
      </x:c>
      <x:c r="H285" s="32" t="str">
        <x:v>tension_soil</x:v>
      </x:c>
      <x:c r="I285" s="32" t="str">
        <x:v>862323089930718</x:v>
      </x:c>
      <x:c r="J285" s="82"/>
      <x:c r="K285" s="82" t="n">
        <x:v>-38.9</x:v>
      </x:c>
      <x:c r="L285" s="82" t="n">
        <x:v>37.9</x:v>
      </x:c>
      <x:c r="M285" s="82" t="n">
        <x:v>25.6</x:v>
      </x:c>
      <x:c r="N285" s="86" t="n">
        <x:v>1028</x:v>
      </x:c>
      <x:c r="O285" s="90" t="n">
        <x:v>6.48</x:v>
      </x:c>
      <x:c r="P285" s="150" t="n">
        <x:v>3.92</x:v>
      </x:c>
      <x:c r="Q285" s="86" t="n">
        <x:v>19</x:v>
      </x:c>
      <x:c r="R285" s="32"/>
      <x:c r="S285" s="32" t="str">
        <x:v>ok</x:v>
      </x:c>
      <x:c r="T285" s="32" t="str">
        <x:v>ok</x:v>
      </x:c>
      <x:c r="U285" s="32" t="str">
        <x:v>ok</x:v>
      </x:c>
      <x:c r="V285" s="32" t="str">
        <x:v>ok</x:v>
      </x:c>
      <x:c r="W285" s="154" t="str">
        <x:v>{"schema_version":1,"imei":"862323089930718","timestamp":1786018253,"report_sequence":12,"task_version":"rice_tension_soil_demo","sensor_mode":"tension_soil","soil_moisture_percent":37.9,"soil_temperature_c":25.6,"soil_ec_us_cm":1028,"soil_ph":6.48,"battery_mv":3920,"csq":19,"soil_rs485_status":"ok","cycle_status":"ok","soil_tension_kpa":-38.9,"soil_tension_rs485_status":"ok"}</x:v>
      </x:c>
    </x:row>
    <x:row r="286">
      <x:c r="A286" s="72" t="n">
        <x:v>46240.840891203705</x:v>
      </x:c>
      <x:c r="B286" s="72" t="n">
        <x:v>46240.84090509259</x:v>
      </x:c>
      <x:c r="C286" s="32" t="str">
        <x:v>P19</x:v>
      </x:c>
      <x:c r="D286" s="32" t="str">
        <x:v>B4-W0-V1</x:v>
      </x:c>
      <x:c r="E286" s="32" t="str">
        <x:v>B4</x:v>
      </x:c>
      <x:c r="F286" s="32" t="str">
        <x:v>W0</x:v>
      </x:c>
      <x:c r="G286" s="32" t="str">
        <x:v>V1</x:v>
      </x:c>
      <x:c r="H286" s="32" t="str">
        <x:v>water_soil</x:v>
      </x:c>
      <x:c r="I286" s="32" t="str">
        <x:v>862323089930719</x:v>
      </x:c>
      <x:c r="J286" s="82" t="n">
        <x:v>42</x:v>
      </x:c>
      <x:c r="K286" s="82"/>
      <x:c r="L286" s="82" t="n">
        <x:v>39</x:v>
      </x:c>
      <x:c r="M286" s="82" t="n">
        <x:v>25.6</x:v>
      </x:c>
      <x:c r="N286" s="86" t="n">
        <x:v>1043</x:v>
      </x:c>
      <x:c r="O286" s="90" t="n">
        <x:v>6.53</x:v>
      </x:c>
      <x:c r="P286" s="150" t="n">
        <x:v>3.938</x:v>
      </x:c>
      <x:c r="Q286" s="86" t="n">
        <x:v>20</x:v>
      </x:c>
      <x:c r="R286" s="32" t="str">
        <x:v>ok</x:v>
      </x:c>
      <x:c r="S286" s="32"/>
      <x:c r="T286" s="32" t="str">
        <x:v>ok</x:v>
      </x:c>
      <x:c r="U286" s="32" t="str">
        <x:v>ok</x:v>
      </x:c>
      <x:c r="V286" s="32" t="str">
        <x:v>ok</x:v>
      </x:c>
      <x:c r="W286" s="154" t="str">
        <x:v>{"schema_version":1,"imei":"862323089930719","timestamp":1786018253,"report_sequence":12,"task_version":"rice_w0_water_soil_demo","sensor_mode":"water_soil","soil_moisture_percent":39,"soil_temperature_c":25.6,"soil_ec_us_cm":1043,"soil_ph":6.53,"battery_mv":3938,"csq":20,"soil_rs485_status":"ok","cycle_status":"ok","water_level_mm":42,"water_4_20ma_status":"ok"}</x:v>
      </x:c>
    </x:row>
    <x:row r="287">
      <x:c r="A287" s="72" t="n">
        <x:v>46240.840891203705</x:v>
      </x:c>
      <x:c r="B287" s="72" t="n">
        <x:v>46240.84090509259</x:v>
      </x:c>
      <x:c r="C287" s="32" t="str">
        <x:v>P20</x:v>
      </x:c>
      <x:c r="D287" s="32" t="str">
        <x:v>B4-W0-V2</x:v>
      </x:c>
      <x:c r="E287" s="32" t="str">
        <x:v>B4</x:v>
      </x:c>
      <x:c r="F287" s="32" t="str">
        <x:v>W0</x:v>
      </x:c>
      <x:c r="G287" s="32" t="str">
        <x:v>V2</x:v>
      </x:c>
      <x:c r="H287" s="32" t="str">
        <x:v>water_soil</x:v>
      </x:c>
      <x:c r="I287" s="32" t="str">
        <x:v>862323089930720</x:v>
      </x:c>
      <x:c r="J287" s="82" t="n">
        <x:v>33</x:v>
      </x:c>
      <x:c r="K287" s="82"/>
      <x:c r="L287" s="82" t="n">
        <x:v>40</x:v>
      </x:c>
      <x:c r="M287" s="82" t="n">
        <x:v>25.6</x:v>
      </x:c>
      <x:c r="N287" s="86" t="n">
        <x:v>1055</x:v>
      </x:c>
      <x:c r="O287" s="90" t="n">
        <x:v>6.33</x:v>
      </x:c>
      <x:c r="P287" s="150" t="n">
        <x:v>3.956</x:v>
      </x:c>
      <x:c r="Q287" s="86" t="n">
        <x:v>21</x:v>
      </x:c>
      <x:c r="R287" s="32" t="str">
        <x:v>ok</x:v>
      </x:c>
      <x:c r="S287" s="32"/>
      <x:c r="T287" s="32" t="str">
        <x:v>ok</x:v>
      </x:c>
      <x:c r="U287" s="32" t="str">
        <x:v>ok</x:v>
      </x:c>
      <x:c r="V287" s="32" t="str">
        <x:v>ok</x:v>
      </x:c>
      <x:c r="W287" s="154" t="str">
        <x:v>{"schema_version":1,"imei":"862323089930720","timestamp":1786018253,"report_sequence":12,"task_version":"rice_w0_water_soil_demo","sensor_mode":"water_soil","soil_moisture_percent":40,"soil_temperature_c":25.6,"soil_ec_us_cm":1055,"soil_ph":6.33,"battery_mv":3956,"csq":21,"soil_rs485_status":"ok","cycle_status":"ok","water_level_mm":33,"water_4_20ma_status":"ok"}</x:v>
      </x:c>
    </x:row>
    <x:row r="288">
      <x:c r="A288" s="72" t="n">
        <x:v>46240.840891203705</x:v>
      </x:c>
      <x:c r="B288" s="72" t="n">
        <x:v>46240.84090509259</x:v>
      </x:c>
      <x:c r="C288" s="32" t="str">
        <x:v>P21</x:v>
      </x:c>
      <x:c r="D288" s="32" t="str">
        <x:v>B4-W1-V1</x:v>
      </x:c>
      <x:c r="E288" s="32" t="str">
        <x:v>B4</x:v>
      </x:c>
      <x:c r="F288" s="32" t="str">
        <x:v>W1</x:v>
      </x:c>
      <x:c r="G288" s="32" t="str">
        <x:v>V1</x:v>
      </x:c>
      <x:c r="H288" s="32" t="str">
        <x:v>tension_soil</x:v>
      </x:c>
      <x:c r="I288" s="32" t="str">
        <x:v>862323089930721</x:v>
      </x:c>
      <x:c r="J288" s="82"/>
      <x:c r="K288" s="82" t="n">
        <x:v>-25.9</x:v>
      </x:c>
      <x:c r="L288" s="82" t="n">
        <x:v>40.9</x:v>
      </x:c>
      <x:c r="M288" s="82" t="n">
        <x:v>25.6</x:v>
      </x:c>
      <x:c r="N288" s="86" t="n">
        <x:v>1065</x:v>
      </x:c>
      <x:c r="O288" s="90" t="n">
        <x:v>6.38</x:v>
      </x:c>
      <x:c r="P288" s="150" t="n">
        <x:v>3.974</x:v>
      </x:c>
      <x:c r="Q288" s="86" t="n">
        <x:v>22</x:v>
      </x:c>
      <x:c r="R288" s="32"/>
      <x:c r="S288" s="32" t="str">
        <x:v>ok</x:v>
      </x:c>
      <x:c r="T288" s="32" t="str">
        <x:v>ok</x:v>
      </x:c>
      <x:c r="U288" s="32" t="str">
        <x:v>ok</x:v>
      </x:c>
      <x:c r="V288" s="32" t="str">
        <x:v>ok</x:v>
      </x:c>
      <x:c r="W288" s="154" t="str">
        <x:v>{"schema_version":1,"imei":"862323089930721","timestamp":1786018253,"report_sequence":12,"task_version":"rice_tension_soil_demo","sensor_mode":"tension_soil","soil_moisture_percent":40.9,"soil_temperature_c":25.6,"soil_ec_us_cm":1065,"soil_ph":6.38,"battery_mv":3974,"csq":22,"soil_rs485_status":"ok","cycle_status":"ok","soil_tension_kpa":-25.9,"soil_tension_rs485_status":"ok"}</x:v>
      </x:c>
    </x:row>
    <x:row r="289">
      <x:c r="A289" s="72" t="n">
        <x:v>46240.840891203705</x:v>
      </x:c>
      <x:c r="B289" s="72" t="n">
        <x:v>46240.84090509259</x:v>
      </x:c>
      <x:c r="C289" s="32" t="str">
        <x:v>P22</x:v>
      </x:c>
      <x:c r="D289" s="32" t="str">
        <x:v>B4-W1-V2</x:v>
      </x:c>
      <x:c r="E289" s="32" t="str">
        <x:v>B4</x:v>
      </x:c>
      <x:c r="F289" s="32" t="str">
        <x:v>W1</x:v>
      </x:c>
      <x:c r="G289" s="32" t="str">
        <x:v>V2</x:v>
      </x:c>
      <x:c r="H289" s="32" t="str">
        <x:v>tension_soil</x:v>
      </x:c>
      <x:c r="I289" s="32" t="str">
        <x:v>862323089930722</x:v>
      </x:c>
      <x:c r="J289" s="82"/>
      <x:c r="K289" s="82" t="n">
        <x:v>-26.6</x:v>
      </x:c>
      <x:c r="L289" s="82" t="n">
        <x:v>41.6</x:v>
      </x:c>
      <x:c r="M289" s="82" t="n">
        <x:v>25.5</x:v>
      </x:c>
      <x:c r="N289" s="86" t="n">
        <x:v>1073</x:v>
      </x:c>
      <x:c r="O289" s="90" t="n">
        <x:v>6.42</x:v>
      </x:c>
      <x:c r="P289" s="150" t="n">
        <x:v>3.992</x:v>
      </x:c>
      <x:c r="Q289" s="86" t="n">
        <x:v>23</x:v>
      </x:c>
      <x:c r="R289" s="32"/>
      <x:c r="S289" s="32" t="str">
        <x:v>ok</x:v>
      </x:c>
      <x:c r="T289" s="32" t="str">
        <x:v>ok</x:v>
      </x:c>
      <x:c r="U289" s="32" t="str">
        <x:v>ok</x:v>
      </x:c>
      <x:c r="V289" s="32" t="str">
        <x:v>ok</x:v>
      </x:c>
      <x:c r="W289" s="154" t="str">
        <x:v>{"schema_version":1,"imei":"862323089930722","timestamp":1786018253,"report_sequence":12,"task_version":"rice_tension_soil_demo","sensor_mode":"tension_soil","soil_moisture_percent":41.6,"soil_temperature_c":25.5,"soil_ec_us_cm":1073,"soil_ph":6.42,"battery_mv":3992,"csq":23,"soil_rs485_status":"ok","cycle_status":"ok","soil_tension_kpa":-26.6,"soil_tension_rs485_status":"ok"}</x:v>
      </x:c>
    </x:row>
    <x:row r="290">
      <x:c r="A290" s="72" t="n">
        <x:v>46240.840891203705</x:v>
      </x:c>
      <x:c r="B290" s="72" t="n">
        <x:v>46240.84090509259</x:v>
      </x:c>
      <x:c r="C290" s="32" t="str">
        <x:v>P23</x:v>
      </x:c>
      <x:c r="D290" s="32" t="str">
        <x:v>B4-W2-V1</x:v>
      </x:c>
      <x:c r="E290" s="32" t="str">
        <x:v>B4</x:v>
      </x:c>
      <x:c r="F290" s="32" t="str">
        <x:v>W2</x:v>
      </x:c>
      <x:c r="G290" s="32" t="str">
        <x:v>V1</x:v>
      </x:c>
      <x:c r="H290" s="32" t="str">
        <x:v>tension_soil</x:v>
      </x:c>
      <x:c r="I290" s="32" t="str">
        <x:v>862323089930723</x:v>
      </x:c>
      <x:c r="J290" s="82"/>
      <x:c r="K290" s="82" t="n">
        <x:v>-38.3</x:v>
      </x:c>
      <x:c r="L290" s="82" t="n">
        <x:v>42.3</x:v>
      </x:c>
      <x:c r="M290" s="82" t="n">
        <x:v>25.4</x:v>
      </x:c>
      <x:c r="N290" s="86" t="n">
        <x:v>1079</x:v>
      </x:c>
      <x:c r="O290" s="90" t="n">
        <x:v>6.47</x:v>
      </x:c>
      <x:c r="P290" s="150" t="n">
        <x:v>4.01</x:v>
      </x:c>
      <x:c r="Q290" s="86" t="n">
        <x:v>24</x:v>
      </x:c>
      <x:c r="R290" s="32"/>
      <x:c r="S290" s="32" t="str">
        <x:v>ok</x:v>
      </x:c>
      <x:c r="T290" s="32" t="str">
        <x:v>ok</x:v>
      </x:c>
      <x:c r="U290" s="32" t="str">
        <x:v>ok</x:v>
      </x:c>
      <x:c r="V290" s="32" t="str">
        <x:v>ok</x:v>
      </x:c>
      <x:c r="W290" s="154" t="str">
        <x:v>{"schema_version":1,"imei":"862323089930723","timestamp":1786018253,"report_sequence":12,"task_version":"rice_tension_soil_demo","sensor_mode":"tension_soil","soil_moisture_percent":42.3,"soil_temperature_c":25.4,"soil_ec_us_cm":1079,"soil_ph":6.47,"battery_mv":4010,"csq":24,"soil_rs485_status":"ok","cycle_status":"ok","soil_tension_kpa":-38.3,"soil_tension_rs485_status":"ok"}</x:v>
      </x:c>
    </x:row>
    <x:row r="291">
      <x:c r="A291" s="72" t="n">
        <x:v>46240.840891203705</x:v>
      </x:c>
      <x:c r="B291" s="72" t="n">
        <x:v>46240.84090509259</x:v>
      </x:c>
      <x:c r="C291" s="32" t="str">
        <x:v>P24</x:v>
      </x:c>
      <x:c r="D291" s="32" t="str">
        <x:v>B4-W2-V2</x:v>
      </x:c>
      <x:c r="E291" s="32" t="str">
        <x:v>B4</x:v>
      </x:c>
      <x:c r="F291" s="32" t="str">
        <x:v>W2</x:v>
      </x:c>
      <x:c r="G291" s="32" t="str">
        <x:v>V2</x:v>
      </x:c>
      <x:c r="H291" s="32" t="str">
        <x:v>tension_soil</x:v>
      </x:c>
      <x:c r="I291" s="32" t="str">
        <x:v>862323089930724</x:v>
      </x:c>
      <x:c r="J291" s="82"/>
      <x:c r="K291" s="82" t="n">
        <x:v>-38.9</x:v>
      </x:c>
      <x:c r="L291" s="82" t="n">
        <x:v>34.9</x:v>
      </x:c>
      <x:c r="M291" s="82" t="n">
        <x:v>25.3</x:v>
      </x:c>
      <x:c r="N291" s="86" t="n">
        <x:v>1083</x:v>
      </x:c>
      <x:c r="O291" s="90" t="n">
        <x:v>6.51</x:v>
      </x:c>
      <x:c r="P291" s="150" t="n">
        <x:v>3.92</x:v>
      </x:c>
      <x:c r="Q291" s="86" t="n">
        <x:v>17</x:v>
      </x:c>
      <x:c r="R291" s="32"/>
      <x:c r="S291" s="32" t="str">
        <x:v>ok</x:v>
      </x:c>
      <x:c r="T291" s="32" t="str">
        <x:v>ok</x:v>
      </x:c>
      <x:c r="U291" s="32" t="str">
        <x:v>ok</x:v>
      </x:c>
      <x:c r="V291" s="32" t="str">
        <x:v>ok</x:v>
      </x:c>
      <x:c r="W291" s="154" t="str">
        <x:v>{"schema_version":1,"imei":"862323089930724","timestamp":1786018253,"report_sequence":12,"task_version":"rice_tension_soil_demo","sensor_mode":"tension_soil","soil_moisture_percent":34.9,"soil_temperature_c":25.3,"soil_ec_us_cm":1083,"soil_ph":6.51,"battery_mv":3920,"csq":17,"soil_rs485_status":"ok","cycle_status":"ok","soil_tension_kpa":-38.9,"soil_tension_rs485_status":"ok"}</x:v>
      </x:c>
    </x:row>
    <x:row r="292">
      <x:c r="A292" s="72" t="n">
        <x:v>46240.844363425924</x:v>
      </x:c>
      <x:c r="B292" s="72" t="n">
        <x:v>46240.84437731482</x:v>
      </x:c>
      <x:c r="C292" s="32" t="str">
        <x:v>P01</x:v>
      </x:c>
      <x:c r="D292" s="32" t="str">
        <x:v>B1-W0-V1</x:v>
      </x:c>
      <x:c r="E292" s="32" t="str">
        <x:v>B1</x:v>
      </x:c>
      <x:c r="F292" s="32" t="str">
        <x:v>W0</x:v>
      </x:c>
      <x:c r="G292" s="32" t="str">
        <x:v>V1</x:v>
      </x:c>
      <x:c r="H292" s="32" t="str">
        <x:v>water_soil</x:v>
      </x:c>
      <x:c r="I292" s="32" t="str">
        <x:v>862323089930701</x:v>
      </x:c>
      <x:c r="J292" s="82" t="n">
        <x:v>31.9</x:v>
      </x:c>
      <x:c r="K292" s="82"/>
      <x:c r="L292" s="82" t="n">
        <x:v>35.3</x:v>
      </x:c>
      <x:c r="M292" s="82" t="n">
        <x:v>25.2</x:v>
      </x:c>
      <x:c r="N292" s="86" t="n">
        <x:v>798</x:v>
      </x:c>
      <x:c r="O292" s="90" t="n">
        <x:v>6.36</x:v>
      </x:c>
      <x:c r="P292" s="150" t="n">
        <x:v>3.938</x:v>
      </x:c>
      <x:c r="Q292" s="86" t="n">
        <x:v>18</x:v>
      </x:c>
      <x:c r="R292" s="32" t="str">
        <x:v>ok</x:v>
      </x:c>
      <x:c r="S292" s="32"/>
      <x:c r="T292" s="32" t="str">
        <x:v>ok</x:v>
      </x:c>
      <x:c r="U292" s="32" t="str">
        <x:v>ok</x:v>
      </x:c>
      <x:c r="V292" s="32" t="str">
        <x:v>ok</x:v>
      </x:c>
      <x:c r="W292" s="154" t="str">
        <x:v>{"schema_version":1,"imei":"862323089930701","timestamp":1786018553,"report_sequence":13,"task_version":"rice_w0_water_soil_demo","sensor_mode":"water_soil","soil_moisture_percent":35.3,"soil_temperature_c":25.2,"soil_ec_us_cm":798,"soil_ph":6.36,"battery_mv":3938,"csq":18,"soil_rs485_status":"ok","cycle_status":"ok","water_level_mm":31.9,"water_4_20ma_status":"ok"}</x:v>
      </x:c>
    </x:row>
    <x:row r="293">
      <x:c r="A293" s="72" t="n">
        <x:v>46240.844363425924</x:v>
      </x:c>
      <x:c r="B293" s="72" t="n">
        <x:v>46240.84437731482</x:v>
      </x:c>
      <x:c r="C293" s="32" t="str">
        <x:v>P02</x:v>
      </x:c>
      <x:c r="D293" s="32" t="str">
        <x:v>B1-W0-V2</x:v>
      </x:c>
      <x:c r="E293" s="32" t="str">
        <x:v>B1</x:v>
      </x:c>
      <x:c r="F293" s="32" t="str">
        <x:v>W0</x:v>
      </x:c>
      <x:c r="G293" s="32" t="str">
        <x:v>V2</x:v>
      </x:c>
      <x:c r="H293" s="32" t="str">
        <x:v>water_soil</x:v>
      </x:c>
      <x:c r="I293" s="32" t="str">
        <x:v>862323089930702</x:v>
      </x:c>
      <x:c r="J293" s="82" t="n">
        <x:v>33.6</x:v>
      </x:c>
      <x:c r="K293" s="82"/>
      <x:c r="L293" s="82" t="n">
        <x:v>35.8</x:v>
      </x:c>
      <x:c r="M293" s="82" t="n">
        <x:v>25.1</x:v>
      </x:c>
      <x:c r="N293" s="86" t="n">
        <x:v>801</x:v>
      </x:c>
      <x:c r="O293" s="90" t="n">
        <x:v>6.4</x:v>
      </x:c>
      <x:c r="P293" s="150" t="n">
        <x:v>3.956</x:v>
      </x:c>
      <x:c r="Q293" s="86" t="n">
        <x:v>19</x:v>
      </x:c>
      <x:c r="R293" s="32" t="str">
        <x:v>ok</x:v>
      </x:c>
      <x:c r="S293" s="32"/>
      <x:c r="T293" s="32" t="str">
        <x:v>ok</x:v>
      </x:c>
      <x:c r="U293" s="32" t="str">
        <x:v>ok</x:v>
      </x:c>
      <x:c r="V293" s="32" t="str">
        <x:v>ok</x:v>
      </x:c>
      <x:c r="W293" s="154" t="str">
        <x:v>{"schema_version":1,"imei":"862323089930702","timestamp":1786018553,"report_sequence":13,"task_version":"rice_w0_water_soil_demo","sensor_mode":"water_soil","soil_moisture_percent":35.8,"soil_temperature_c":25.1,"soil_ec_us_cm":801,"soil_ph":6.4,"battery_mv":3956,"csq":19,"soil_rs485_status":"ok","cycle_status":"ok","water_level_mm":33.6,"water_4_20ma_status":"ok"}</x:v>
      </x:c>
    </x:row>
    <x:row r="294">
      <x:c r="A294" s="72" t="n">
        <x:v>46240.844363425924</x:v>
      </x:c>
      <x:c r="B294" s="72" t="n">
        <x:v>46240.84437731482</x:v>
      </x:c>
      <x:c r="C294" s="32" t="str">
        <x:v>P03</x:v>
      </x:c>
      <x:c r="D294" s="32" t="str">
        <x:v>B1-W1-V1</x:v>
      </x:c>
      <x:c r="E294" s="32" t="str">
        <x:v>B1</x:v>
      </x:c>
      <x:c r="F294" s="32" t="str">
        <x:v>W1</x:v>
      </x:c>
      <x:c r="G294" s="32" t="str">
        <x:v>V1</x:v>
      </x:c>
      <x:c r="H294" s="32" t="str">
        <x:v>tension_soil</x:v>
      </x:c>
      <x:c r="I294" s="32" t="str">
        <x:v>862323089930703</x:v>
      </x:c>
      <x:c r="J294" s="82"/>
      <x:c r="K294" s="82" t="n">
        <x:v>-25.4</x:v>
      </x:c>
      <x:c r="L294" s="82" t="n">
        <x:v>36.4</x:v>
      </x:c>
      <x:c r="M294" s="82" t="n">
        <x:v>24.9</x:v>
      </x:c>
      <x:c r="N294" s="86" t="n">
        <x:v>805</x:v>
      </x:c>
      <x:c r="O294" s="90" t="n">
        <x:v>6.44</x:v>
      </x:c>
      <x:c r="P294" s="150" t="n">
        <x:v>3.974</x:v>
      </x:c>
      <x:c r="Q294" s="86" t="n">
        <x:v>20</x:v>
      </x:c>
      <x:c r="R294" s="32"/>
      <x:c r="S294" s="32" t="str">
        <x:v>ok</x:v>
      </x:c>
      <x:c r="T294" s="32" t="str">
        <x:v>ok</x:v>
      </x:c>
      <x:c r="U294" s="32" t="str">
        <x:v>ok</x:v>
      </x:c>
      <x:c r="V294" s="32" t="str">
        <x:v>ok</x:v>
      </x:c>
      <x:c r="W294" s="154" t="str">
        <x:v>{"schema_version":1,"imei":"862323089930703","timestamp":1786018553,"report_sequence":13,"task_version":"rice_tension_soil_demo","sensor_mode":"tension_soil","soil_moisture_percent":36.4,"soil_temperature_c":24.9,"soil_ec_us_cm":805,"soil_ph":6.44,"battery_mv":3974,"csq":20,"soil_rs485_status":"ok","cycle_status":"ok","soil_tension_kpa":-25.4,"soil_tension_rs485_status":"ok"}</x:v>
      </x:c>
    </x:row>
    <x:row r="295">
      <x:c r="A295" s="72" t="n">
        <x:v>46240.844363425924</x:v>
      </x:c>
      <x:c r="B295" s="72" t="n">
        <x:v>46240.84437731482</x:v>
      </x:c>
      <x:c r="C295" s="32" t="str">
        <x:v>P04</x:v>
      </x:c>
      <x:c r="D295" s="32" t="str">
        <x:v>B1-W1-V2</x:v>
      </x:c>
      <x:c r="E295" s="32" t="str">
        <x:v>B1</x:v>
      </x:c>
      <x:c r="F295" s="32" t="str">
        <x:v>W1</x:v>
      </x:c>
      <x:c r="G295" s="32" t="str">
        <x:v>V2</x:v>
      </x:c>
      <x:c r="H295" s="32" t="str">
        <x:v>tension_soil</x:v>
      </x:c>
      <x:c r="I295" s="32" t="str">
        <x:v>862323089930704</x:v>
      </x:c>
      <x:c r="J295" s="82"/>
      <x:c r="K295" s="82" t="n">
        <x:v>-25.9</x:v>
      </x:c>
      <x:c r="L295" s="82" t="n">
        <x:v>36.9</x:v>
      </x:c>
      <x:c r="M295" s="82" t="n">
        <x:v>24.8</x:v>
      </x:c>
      <x:c r="N295" s="86" t="n">
        <x:v>809</x:v>
      </x:c>
      <x:c r="O295" s="90" t="n">
        <x:v>6.48</x:v>
      </x:c>
      <x:c r="P295" s="150" t="n">
        <x:v>3.992</x:v>
      </x:c>
      <x:c r="Q295" s="86" t="n">
        <x:v>21</x:v>
      </x:c>
      <x:c r="R295" s="32"/>
      <x:c r="S295" s="32" t="str">
        <x:v>ok</x:v>
      </x:c>
      <x:c r="T295" s="32" t="str">
        <x:v>ok</x:v>
      </x:c>
      <x:c r="U295" s="32" t="str">
        <x:v>ok</x:v>
      </x:c>
      <x:c r="V295" s="32" t="str">
        <x:v>ok</x:v>
      </x:c>
      <x:c r="W295" s="154" t="str">
        <x:v>{"schema_version":1,"imei":"862323089930704","timestamp":1786018553,"report_sequence":13,"task_version":"rice_tension_soil_demo","sensor_mode":"tension_soil","soil_moisture_percent":36.9,"soil_temperature_c":24.8,"soil_ec_us_cm":809,"soil_ph":6.48,"battery_mv":3992,"csq":21,"soil_rs485_status":"ok","cycle_status":"ok","soil_tension_kpa":-25.9,"soil_tension_rs485_status":"ok"}</x:v>
      </x:c>
    </x:row>
    <x:row r="296">
      <x:c r="A296" s="72" t="n">
        <x:v>46240.844363425924</x:v>
      </x:c>
      <x:c r="B296" s="72" t="n">
        <x:v>46240.84437731482</x:v>
      </x:c>
      <x:c r="C296" s="32" t="str">
        <x:v>P05</x:v>
      </x:c>
      <x:c r="D296" s="32" t="str">
        <x:v>B1-W2-V1</x:v>
      </x:c>
      <x:c r="E296" s="32" t="str">
        <x:v>B1</x:v>
      </x:c>
      <x:c r="F296" s="32" t="str">
        <x:v>W2</x:v>
      </x:c>
      <x:c r="G296" s="32" t="str">
        <x:v>V1</x:v>
      </x:c>
      <x:c r="H296" s="32" t="str">
        <x:v>tension_soil</x:v>
      </x:c>
      <x:c r="I296" s="32" t="str">
        <x:v>862323089930705</x:v>
      </x:c>
      <x:c r="J296" s="82"/>
      <x:c r="K296" s="82" t="n">
        <x:v>-32.5</x:v>
      </x:c>
      <x:c r="L296" s="82" t="n">
        <x:v>37.5</x:v>
      </x:c>
      <x:c r="M296" s="82" t="n">
        <x:v>24.7</x:v>
      </x:c>
      <x:c r="N296" s="86" t="n">
        <x:v>814</x:v>
      </x:c>
      <x:c r="O296" s="90" t="n">
        <x:v>6.28</x:v>
      </x:c>
      <x:c r="P296" s="150" t="n">
        <x:v>4.01</x:v>
      </x:c>
      <x:c r="Q296" s="86" t="n">
        <x:v>22</x:v>
      </x:c>
      <x:c r="R296" s="32"/>
      <x:c r="S296" s="32" t="str">
        <x:v>ok</x:v>
      </x:c>
      <x:c r="T296" s="32" t="str">
        <x:v>ok</x:v>
      </x:c>
      <x:c r="U296" s="32" t="str">
        <x:v>ok</x:v>
      </x:c>
      <x:c r="V296" s="32" t="str">
        <x:v>ok</x:v>
      </x:c>
      <x:c r="W296" s="154" t="str">
        <x:v>{"schema_version":1,"imei":"862323089930705","timestamp":1786018553,"report_sequence":13,"task_version":"rice_tension_soil_demo","sensor_mode":"tension_soil","soil_moisture_percent":37.5,"soil_temperature_c":24.7,"soil_ec_us_cm":814,"soil_ph":6.28,"battery_mv":4010,"csq":22,"soil_rs485_status":"ok","cycle_status":"ok","soil_tension_kpa":-32.5,"soil_tension_rs485_status":"ok"}</x:v>
      </x:c>
    </x:row>
    <x:row r="297">
      <x:c r="A297" s="72" t="n">
        <x:v>46240.844363425924</x:v>
      </x:c>
      <x:c r="B297" s="72" t="n">
        <x:v>46240.84437731482</x:v>
      </x:c>
      <x:c r="C297" s="32" t="str">
        <x:v>P06</x:v>
      </x:c>
      <x:c r="D297" s="32" t="str">
        <x:v>B1-W2-V2</x:v>
      </x:c>
      <x:c r="E297" s="32" t="str">
        <x:v>B1</x:v>
      </x:c>
      <x:c r="F297" s="32" t="str">
        <x:v>W2</x:v>
      </x:c>
      <x:c r="G297" s="32" t="str">
        <x:v>V2</x:v>
      </x:c>
      <x:c r="H297" s="32" t="str">
        <x:v>tension_soil</x:v>
      </x:c>
      <x:c r="I297" s="32" t="str">
        <x:v>862323089930706</x:v>
      </x:c>
      <x:c r="J297" s="82"/>
      <x:c r="K297" s="82" t="n">
        <x:v>-33.2</x:v>
      </x:c>
      <x:c r="L297" s="82" t="n">
        <x:v>38.2</x:v>
      </x:c>
      <x:c r="M297" s="82" t="n">
        <x:v>24.7</x:v>
      </x:c>
      <x:c r="N297" s="86" t="n">
        <x:v>821</x:v>
      </x:c>
      <x:c r="O297" s="90" t="n">
        <x:v>6.32</x:v>
      </x:c>
      <x:c r="P297" s="150" t="n">
        <x:v>3.92</x:v>
      </x:c>
      <x:c r="Q297" s="86" t="n">
        <x:v>23</x:v>
      </x:c>
      <x:c r="R297" s="32"/>
      <x:c r="S297" s="32" t="str">
        <x:v>ok</x:v>
      </x:c>
      <x:c r="T297" s="32" t="str">
        <x:v>ok</x:v>
      </x:c>
      <x:c r="U297" s="32" t="str">
        <x:v>ok</x:v>
      </x:c>
      <x:c r="V297" s="32" t="str">
        <x:v>ok</x:v>
      </x:c>
      <x:c r="W297" s="154" t="str">
        <x:v>{"schema_version":1,"imei":"862323089930706","timestamp":1786018553,"report_sequence":13,"task_version":"rice_tension_soil_demo","sensor_mode":"tension_soil","soil_moisture_percent":38.2,"soil_temperature_c":24.7,"soil_ec_us_cm":821,"soil_ph":6.32,"battery_mv":3920,"csq":23,"soil_rs485_status":"ok","cycle_status":"ok","soil_tension_kpa":-33.2,"soil_tension_rs485_status":"ok"}</x:v>
      </x:c>
    </x:row>
    <x:row r="298">
      <x:c r="A298" s="72" t="n">
        <x:v>46240.844363425924</x:v>
      </x:c>
      <x:c r="B298" s="72" t="n">
        <x:v>46240.84437731482</x:v>
      </x:c>
      <x:c r="C298" s="32" t="str">
        <x:v>P07</x:v>
      </x:c>
      <x:c r="D298" s="32" t="str">
        <x:v>B2-W0-V1</x:v>
      </x:c>
      <x:c r="E298" s="32" t="str">
        <x:v>B2</x:v>
      </x:c>
      <x:c r="F298" s="32" t="str">
        <x:v>W0</x:v>
      </x:c>
      <x:c r="G298" s="32" t="str">
        <x:v>V1</x:v>
      </x:c>
      <x:c r="H298" s="32" t="str">
        <x:v>water_soil</x:v>
      </x:c>
      <x:c r="I298" s="32" t="str">
        <x:v>862323089930707</x:v>
      </x:c>
      <x:c r="J298" s="82" t="n">
        <x:v>32.2</x:v>
      </x:c>
      <x:c r="K298" s="82"/>
      <x:c r="L298" s="82" t="n">
        <x:v>39.1</x:v>
      </x:c>
      <x:c r="M298" s="82" t="n">
        <x:v>24.6</x:v>
      </x:c>
      <x:c r="N298" s="86" t="n">
        <x:v>830</x:v>
      </x:c>
      <x:c r="O298" s="90" t="n">
        <x:v>6.37</x:v>
      </x:c>
      <x:c r="P298" s="150" t="n">
        <x:v>3.938</x:v>
      </x:c>
      <x:c r="Q298" s="86" t="n">
        <x:v>24</x:v>
      </x:c>
      <x:c r="R298" s="32" t="str">
        <x:v>ok</x:v>
      </x:c>
      <x:c r="S298" s="32"/>
      <x:c r="T298" s="32" t="str">
        <x:v>ok</x:v>
      </x:c>
      <x:c r="U298" s="32" t="str">
        <x:v>ok</x:v>
      </x:c>
      <x:c r="V298" s="32" t="str">
        <x:v>ok</x:v>
      </x:c>
      <x:c r="W298" s="154" t="str">
        <x:v>{"schema_version":1,"imei":"862323089930707","timestamp":1786018553,"report_sequence":13,"task_version":"rice_w0_water_soil_demo","sensor_mode":"water_soil","soil_moisture_percent":39.1,"soil_temperature_c":24.6,"soil_ec_us_cm":830,"soil_ph":6.37,"battery_mv":3938,"csq":24,"soil_rs485_status":"ok","cycle_status":"ok","water_level_mm":32.2,"water_4_20ma_status":"ok"}</x:v>
      </x:c>
    </x:row>
    <x:row r="299">
      <x:c r="A299" s="72" t="n">
        <x:v>46240.844363425924</x:v>
      </x:c>
      <x:c r="B299" s="72" t="n">
        <x:v>46240.84437731482</x:v>
      </x:c>
      <x:c r="C299" s="32" t="str">
        <x:v>P08</x:v>
      </x:c>
      <x:c r="D299" s="32" t="str">
        <x:v>B2-W0-V2</x:v>
      </x:c>
      <x:c r="E299" s="32" t="str">
        <x:v>B2</x:v>
      </x:c>
      <x:c r="F299" s="32" t="str">
        <x:v>W0</x:v>
      </x:c>
      <x:c r="G299" s="32" t="str">
        <x:v>V2</x:v>
      </x:c>
      <x:c r="H299" s="32" t="str">
        <x:v>water_soil</x:v>
      </x:c>
      <x:c r="I299" s="32" t="str">
        <x:v>862323089930708</x:v>
      </x:c>
      <x:c r="J299" s="82" t="n">
        <x:v>23</x:v>
      </x:c>
      <x:c r="K299" s="82"/>
      <x:c r="L299" s="82" t="n">
        <x:v>32</x:v>
      </x:c>
      <x:c r="M299" s="82" t="n">
        <x:v>24.6</x:v>
      </x:c>
      <x:c r="N299" s="86" t="n">
        <x:v>841</x:v>
      </x:c>
      <x:c r="O299" s="90" t="n">
        <x:v>6.42</x:v>
      </x:c>
      <x:c r="P299" s="150" t="n">
        <x:v>3.956</x:v>
      </x:c>
      <x:c r="Q299" s="86" t="n">
        <x:v>17</x:v>
      </x:c>
      <x:c r="R299" s="32" t="str">
        <x:v>ok</x:v>
      </x:c>
      <x:c r="S299" s="32"/>
      <x:c r="T299" s="32" t="str">
        <x:v>ok</x:v>
      </x:c>
      <x:c r="U299" s="32" t="str">
        <x:v>ok</x:v>
      </x:c>
      <x:c r="V299" s="32" t="str">
        <x:v>ok</x:v>
      </x:c>
      <x:c r="W299" s="154" t="str">
        <x:v>{"schema_version":1,"imei":"862323089930708","timestamp":1786018553,"report_sequence":13,"task_version":"rice_w0_water_soil_demo","sensor_mode":"water_soil","soil_moisture_percent":32,"soil_temperature_c":24.6,"soil_ec_us_cm":841,"soil_ph":6.42,"battery_mv":3956,"csq":17,"soil_rs485_status":"ok","cycle_status":"ok","water_level_mm":23,"water_4_20ma_status":"ok"}</x:v>
      </x:c>
    </x:row>
    <x:row r="300">
      <x:c r="A300" s="72" t="n">
        <x:v>46240.844363425924</x:v>
      </x:c>
      <x:c r="B300" s="72" t="n">
        <x:v>46240.84437731482</x:v>
      </x:c>
      <x:c r="C300" s="32" t="str">
        <x:v>P09</x:v>
      </x:c>
      <x:c r="D300" s="32" t="str">
        <x:v>B2-W1-V1</x:v>
      </x:c>
      <x:c r="E300" s="32" t="str">
        <x:v>B2</x:v>
      </x:c>
      <x:c r="F300" s="32" t="str">
        <x:v>W1</x:v>
      </x:c>
      <x:c r="G300" s="32" t="str">
        <x:v>V1</x:v>
      </x:c>
      <x:c r="H300" s="32" t="str">
        <x:v>tension_soil</x:v>
      </x:c>
      <x:c r="I300" s="32" t="str">
        <x:v>862323089930709</x:v>
      </x:c>
      <x:c r="J300" s="82"/>
      <x:c r="K300" s="82" t="n">
        <x:v>-25.1</x:v>
      </x:c>
      <x:c r="L300" s="82" t="n">
        <x:v>33.1</x:v>
      </x:c>
      <x:c r="M300" s="82" t="n">
        <x:v>24.6</x:v>
      </x:c>
      <x:c r="N300" s="86" t="n">
        <x:v>854</x:v>
      </x:c>
      <x:c r="O300" s="90" t="n">
        <x:v>6.47</x:v>
      </x:c>
      <x:c r="P300" s="150" t="n">
        <x:v>3.974</x:v>
      </x:c>
      <x:c r="Q300" s="86" t="n">
        <x:v>18</x:v>
      </x:c>
      <x:c r="R300" s="32"/>
      <x:c r="S300" s="32" t="str">
        <x:v>ok</x:v>
      </x:c>
      <x:c r="T300" s="32" t="str">
        <x:v>ok</x:v>
      </x:c>
      <x:c r="U300" s="32" t="str">
        <x:v>ok</x:v>
      </x:c>
      <x:c r="V300" s="32" t="str">
        <x:v>ok</x:v>
      </x:c>
      <x:c r="W300" s="154" t="str">
        <x:v>{"schema_version":1,"imei":"862323089930709","timestamp":1786018553,"report_sequence":13,"task_version":"rice_tension_soil_demo","sensor_mode":"tension_soil","soil_moisture_percent":33.1,"soil_temperature_c":24.6,"soil_ec_us_cm":854,"soil_ph":6.47,"battery_mv":3974,"csq":18,"soil_rs485_status":"ok","cycle_status":"ok","soil_tension_kpa":-25.1,"soil_tension_rs485_status":"ok"}</x:v>
      </x:c>
    </x:row>
    <x:row r="301">
      <x:c r="A301" s="72" t="n">
        <x:v>46240.844363425924</x:v>
      </x:c>
      <x:c r="B301" s="72" t="n">
        <x:v>46240.84437731482</x:v>
      </x:c>
      <x:c r="C301" s="32" t="str">
        <x:v>P10</x:v>
      </x:c>
      <x:c r="D301" s="32" t="str">
        <x:v>B2-W1-V2</x:v>
      </x:c>
      <x:c r="E301" s="32" t="str">
        <x:v>B2</x:v>
      </x:c>
      <x:c r="F301" s="32" t="str">
        <x:v>W1</x:v>
      </x:c>
      <x:c r="G301" s="32" t="str">
        <x:v>V2</x:v>
      </x:c>
      <x:c r="H301" s="32" t="str">
        <x:v>tension_soil</x:v>
      </x:c>
      <x:c r="I301" s="32" t="str">
        <x:v>862323089930710</x:v>
      </x:c>
      <x:c r="J301" s="82"/>
      <x:c r="K301" s="82" t="n">
        <x:v>-21.2</x:v>
      </x:c>
      <x:c r="L301" s="82" t="n">
        <x:v>34.2</x:v>
      </x:c>
      <x:c r="M301" s="82" t="n">
        <x:v>24.7</x:v>
      </x:c>
      <x:c r="N301" s="86" t="n">
        <x:v>869</x:v>
      </x:c>
      <x:c r="O301" s="90" t="n">
        <x:v>6.27</x:v>
      </x:c>
      <x:c r="P301" s="150" t="n">
        <x:v>3.992</x:v>
      </x:c>
      <x:c r="Q301" s="86" t="n">
        <x:v>19</x:v>
      </x:c>
      <x:c r="R301" s="32"/>
      <x:c r="S301" s="32" t="str">
        <x:v>ok</x:v>
      </x:c>
      <x:c r="T301" s="32" t="str">
        <x:v>ok</x:v>
      </x:c>
      <x:c r="U301" s="32" t="str">
        <x:v>ok</x:v>
      </x:c>
      <x:c r="V301" s="32" t="str">
        <x:v>ok</x:v>
      </x:c>
      <x:c r="W301" s="154" t="str">
        <x:v>{"schema_version":1,"imei":"862323089930710","timestamp":1786018553,"report_sequence":13,"task_version":"rice_tension_soil_demo","sensor_mode":"tension_soil","soil_moisture_percent":34.2,"soil_temperature_c":24.7,"soil_ec_us_cm":869,"soil_ph":6.27,"battery_mv":3992,"csq":19,"soil_rs485_status":"ok","cycle_status":"ok","soil_tension_kpa":-21.2,"soil_tension_rs485_status":"ok"}</x:v>
      </x:c>
    </x:row>
    <x:row r="302">
      <x:c r="A302" s="72" t="n">
        <x:v>46240.844363425924</x:v>
      </x:c>
      <x:c r="B302" s="72" t="n">
        <x:v>46240.84437731482</x:v>
      </x:c>
      <x:c r="C302" s="32" t="str">
        <x:v>P11</x:v>
      </x:c>
      <x:c r="D302" s="32" t="str">
        <x:v>B2-W2-V1</x:v>
      </x:c>
      <x:c r="E302" s="32" t="str">
        <x:v>B2</x:v>
      </x:c>
      <x:c r="F302" s="32" t="str">
        <x:v>W2</x:v>
      </x:c>
      <x:c r="G302" s="32" t="str">
        <x:v>V1</x:v>
      </x:c>
      <x:c r="H302" s="32" t="str">
        <x:v>tension_soil</x:v>
      </x:c>
      <x:c r="I302" s="32" t="str">
        <x:v>862323089930711</x:v>
      </x:c>
      <x:c r="J302" s="82"/>
      <x:c r="K302" s="82" t="n">
        <x:v>-33.5</x:v>
      </x:c>
      <x:c r="L302" s="82" t="n">
        <x:v>35.5</x:v>
      </x:c>
      <x:c r="M302" s="82" t="n">
        <x:v>24.7</x:v>
      </x:c>
      <x:c r="N302" s="86" t="n">
        <x:v>886</x:v>
      </x:c>
      <x:c r="O302" s="90" t="n">
        <x:v>6.33</x:v>
      </x:c>
      <x:c r="P302" s="150" t="n">
        <x:v>4.01</x:v>
      </x:c>
      <x:c r="Q302" s="86" t="n">
        <x:v>20</x:v>
      </x:c>
      <x:c r="R302" s="32"/>
      <x:c r="S302" s="32" t="str">
        <x:v>ok</x:v>
      </x:c>
      <x:c r="T302" s="32" t="str">
        <x:v>ok</x:v>
      </x:c>
      <x:c r="U302" s="32" t="str">
        <x:v>ok</x:v>
      </x:c>
      <x:c r="V302" s="32" t="str">
        <x:v>ok</x:v>
      </x:c>
      <x:c r="W302" s="154" t="str">
        <x:v>{"schema_version":1,"imei":"862323089930711","timestamp":1786018553,"report_sequence":13,"task_version":"rice_tension_soil_demo","sensor_mode":"tension_soil","soil_moisture_percent":35.5,"soil_temperature_c":24.7,"soil_ec_us_cm":886,"soil_ph":6.33,"battery_mv":4010,"csq":20,"soil_rs485_status":"ok","cycle_status":"ok","soil_tension_kpa":-33.5,"soil_tension_rs485_status":"ok"}</x:v>
      </x:c>
    </x:row>
    <x:row r="303">
      <x:c r="A303" s="72" t="n">
        <x:v>46240.844363425924</x:v>
      </x:c>
      <x:c r="B303" s="72" t="n">
        <x:v>46240.84437731482</x:v>
      </x:c>
      <x:c r="C303" s="32" t="str">
        <x:v>P12</x:v>
      </x:c>
      <x:c r="D303" s="32" t="str">
        <x:v>B2-W2-V2</x:v>
      </x:c>
      <x:c r="E303" s="32" t="str">
        <x:v>B2</x:v>
      </x:c>
      <x:c r="F303" s="32" t="str">
        <x:v>W2</x:v>
      </x:c>
      <x:c r="G303" s="32" t="str">
        <x:v>V2</x:v>
      </x:c>
      <x:c r="H303" s="32" t="str">
        <x:v>tension_soil</x:v>
      </x:c>
      <x:c r="I303" s="32" t="str">
        <x:v>862323089930712</x:v>
      </x:c>
      <x:c r="J303" s="82"/>
      <x:c r="K303" s="82" t="n">
        <x:v>-34.9</x:v>
      </x:c>
      <x:c r="L303" s="82" t="n">
        <x:v>36.9</x:v>
      </x:c>
      <x:c r="M303" s="82" t="n">
        <x:v>24.8</x:v>
      </x:c>
      <x:c r="N303" s="86" t="n">
        <x:v>905</x:v>
      </x:c>
      <x:c r="O303" s="90" t="n">
        <x:v>6.38</x:v>
      </x:c>
      <x:c r="P303" s="150" t="n">
        <x:v>3.92</x:v>
      </x:c>
      <x:c r="Q303" s="86" t="n">
        <x:v>21</x:v>
      </x:c>
      <x:c r="R303" s="32"/>
      <x:c r="S303" s="32" t="str">
        <x:v>ok</x:v>
      </x:c>
      <x:c r="T303" s="32" t="str">
        <x:v>ok</x:v>
      </x:c>
      <x:c r="U303" s="32" t="str">
        <x:v>ok</x:v>
      </x:c>
      <x:c r="V303" s="32" t="str">
        <x:v>ok</x:v>
      </x:c>
      <x:c r="W303" s="154" t="str">
        <x:v>{"schema_version":1,"imei":"862323089930712","timestamp":1786018553,"report_sequence":13,"task_version":"rice_tension_soil_demo","sensor_mode":"tension_soil","soil_moisture_percent":36.9,"soil_temperature_c":24.8,"soil_ec_us_cm":905,"soil_ph":6.38,"battery_mv":3920,"csq":21,"soil_rs485_status":"ok","cycle_status":"ok","soil_tension_kpa":-34.9,"soil_tension_rs485_status":"ok"}</x:v>
      </x:c>
    </x:row>
    <x:row r="304">
      <x:c r="A304" s="72" t="n">
        <x:v>46240.844363425924</x:v>
      </x:c>
      <x:c r="B304" s="72" t="n">
        <x:v>46240.84437731482</x:v>
      </x:c>
      <x:c r="C304" s="32" t="str">
        <x:v>P13</x:v>
      </x:c>
      <x:c r="D304" s="32" t="str">
        <x:v>B3-W0-V1</x:v>
      </x:c>
      <x:c r="E304" s="32" t="str">
        <x:v>B3</x:v>
      </x:c>
      <x:c r="F304" s="32" t="str">
        <x:v>W0</x:v>
      </x:c>
      <x:c r="G304" s="32" t="str">
        <x:v>V1</x:v>
      </x:c>
      <x:c r="H304" s="32" t="str">
        <x:v>water_soil</x:v>
      </x:c>
      <x:c r="I304" s="32" t="str">
        <x:v>862323089930713</x:v>
      </x:c>
      <x:c r="J304" s="82" t="n">
        <x:v>29.4</x:v>
      </x:c>
      <x:c r="K304" s="82"/>
      <x:c r="L304" s="82" t="n">
        <x:v>38.4</x:v>
      </x:c>
      <x:c r="M304" s="82" t="n">
        <x:v>24.9</x:v>
      </x:c>
      <x:c r="N304" s="86" t="n">
        <x:v>925</x:v>
      </x:c>
      <x:c r="O304" s="90" t="n">
        <x:v>6.44</x:v>
      </x:c>
      <x:c r="P304" s="150" t="n">
        <x:v>3.938</x:v>
      </x:c>
      <x:c r="Q304" s="86" t="n">
        <x:v>22</x:v>
      </x:c>
      <x:c r="R304" s="32" t="str">
        <x:v>ok</x:v>
      </x:c>
      <x:c r="S304" s="32"/>
      <x:c r="T304" s="32" t="str">
        <x:v>ok</x:v>
      </x:c>
      <x:c r="U304" s="32" t="str">
        <x:v>ok</x:v>
      </x:c>
      <x:c r="V304" s="32" t="str">
        <x:v>ok</x:v>
      </x:c>
      <x:c r="W304" s="154" t="str">
        <x:v>{"schema_version":1,"imei":"862323089930713","timestamp":1786018553,"report_sequence":13,"task_version":"rice_w0_water_soil_demo","sensor_mode":"water_soil","soil_moisture_percent":38.4,"soil_temperature_c":24.9,"soil_ec_us_cm":925,"soil_ph":6.44,"battery_mv":3938,"csq":22,"soil_rs485_status":"ok","cycle_status":"ok","water_level_mm":29.4,"water_4_20ma_status":"ok"}</x:v>
      </x:c>
    </x:row>
    <x:row r="305">
      <x:c r="A305" s="72" t="n">
        <x:v>46240.844363425924</x:v>
      </x:c>
      <x:c r="B305" s="72" t="n">
        <x:v>46240.84437731482</x:v>
      </x:c>
      <x:c r="C305" s="32" t="str">
        <x:v>P14</x:v>
      </x:c>
      <x:c r="D305" s="32" t="str">
        <x:v>B3-W0-V2</x:v>
      </x:c>
      <x:c r="E305" s="32" t="str">
        <x:v>B3</x:v>
      </x:c>
      <x:c r="F305" s="32" t="str">
        <x:v>W0</x:v>
      </x:c>
      <x:c r="G305" s="32" t="str">
        <x:v>V2</x:v>
      </x:c>
      <x:c r="H305" s="32" t="str">
        <x:v>water_soil</x:v>
      </x:c>
      <x:c r="I305" s="32" t="str">
        <x:v>862323089930714</x:v>
      </x:c>
      <x:c r="J305" s="82" t="n">
        <x:v>33.7</x:v>
      </x:c>
      <x:c r="K305" s="82"/>
      <x:c r="L305" s="82" t="n">
        <x:v>39.9</x:v>
      </x:c>
      <x:c r="M305" s="82" t="n">
        <x:v>25.1</x:v>
      </x:c>
      <x:c r="N305" s="86" t="n">
        <x:v>946</x:v>
      </x:c>
      <x:c r="O305" s="90" t="n">
        <x:v>6.5</x:v>
      </x:c>
      <x:c r="P305" s="150" t="n">
        <x:v>3.956</x:v>
      </x:c>
      <x:c r="Q305" s="86" t="n">
        <x:v>23</x:v>
      </x:c>
      <x:c r="R305" s="32" t="str">
        <x:v>ok</x:v>
      </x:c>
      <x:c r="S305" s="32"/>
      <x:c r="T305" s="32" t="str">
        <x:v>ok</x:v>
      </x:c>
      <x:c r="U305" s="32" t="str">
        <x:v>ok</x:v>
      </x:c>
      <x:c r="V305" s="32" t="str">
        <x:v>ok</x:v>
      </x:c>
      <x:c r="W305" s="154" t="str">
        <x:v>{"schema_version":1,"imei":"862323089930714","timestamp":1786018553,"report_sequence":13,"task_version":"rice_w0_water_soil_demo","sensor_mode":"water_soil","soil_moisture_percent":39.9,"soil_temperature_c":25.1,"soil_ec_us_cm":946,"soil_ph":6.5,"battery_mv":3956,"csq":23,"soil_rs485_status":"ok","cycle_status":"ok","water_level_mm":33.7,"water_4_20ma_status":"ok"}</x:v>
      </x:c>
    </x:row>
    <x:row r="306">
      <x:c r="A306" s="72" t="n">
        <x:v>46240.844363425924</x:v>
      </x:c>
      <x:c r="B306" s="72" t="n">
        <x:v>46240.84437731482</x:v>
      </x:c>
      <x:c r="C306" s="32" t="str">
        <x:v>P15</x:v>
      </x:c>
      <x:c r="D306" s="32" t="str">
        <x:v>B3-W1-V1</x:v>
      </x:c>
      <x:c r="E306" s="32" t="str">
        <x:v>B3</x:v>
      </x:c>
      <x:c r="F306" s="32" t="str">
        <x:v>W1</x:v>
      </x:c>
      <x:c r="G306" s="32" t="str">
        <x:v>V1</x:v>
      </x:c>
      <x:c r="H306" s="32" t="str">
        <x:v>tension_soil</x:v>
      </x:c>
      <x:c r="I306" s="32" t="str">
        <x:v>862323089930715</x:v>
      </x:c>
      <x:c r="J306" s="82"/>
      <x:c r="K306" s="82" t="n">
        <x:v>-23.4</x:v>
      </x:c>
      <x:c r="L306" s="82" t="n">
        <x:v>41.4</x:v>
      </x:c>
      <x:c r="M306" s="82" t="n">
        <x:v>25.2</x:v>
      </x:c>
      <x:c r="N306" s="86" t="n">
        <x:v>966</x:v>
      </x:c>
      <x:c r="O306" s="90" t="n">
        <x:v>6.31</x:v>
      </x:c>
      <x:c r="P306" s="150" t="n">
        <x:v>3.974</x:v>
      </x:c>
      <x:c r="Q306" s="86" t="n">
        <x:v>24</x:v>
      </x:c>
      <x:c r="R306" s="32"/>
      <x:c r="S306" s="32" t="str">
        <x:v>ok</x:v>
      </x:c>
      <x:c r="T306" s="32" t="str">
        <x:v>ok</x:v>
      </x:c>
      <x:c r="U306" s="32" t="str">
        <x:v>ok</x:v>
      </x:c>
      <x:c r="V306" s="32" t="str">
        <x:v>ok</x:v>
      </x:c>
      <x:c r="W306" s="154" t="str">
        <x:v>{"schema_version":1,"imei":"862323089930715","timestamp":1786018553,"report_sequence":13,"task_version":"rice_tension_soil_demo","sensor_mode":"tension_soil","soil_moisture_percent":41.4,"soil_temperature_c":25.2,"soil_ec_us_cm":966,"soil_ph":6.31,"battery_mv":3974,"csq":24,"soil_rs485_status":"ok","cycle_status":"ok","soil_tension_kpa":-23.4,"soil_tension_rs485_status":"ok"}</x:v>
      </x:c>
    </x:row>
    <x:row r="307">
      <x:c r="A307" s="72" t="n">
        <x:v>46240.844363425924</x:v>
      </x:c>
      <x:c r="B307" s="72" t="n">
        <x:v>46240.84437731482</x:v>
      </x:c>
      <x:c r="C307" s="32" t="str">
        <x:v>P16</x:v>
      </x:c>
      <x:c r="D307" s="32" t="str">
        <x:v>B3-W1-V2</x:v>
      </x:c>
      <x:c r="E307" s="32" t="str">
        <x:v>B3</x:v>
      </x:c>
      <x:c r="F307" s="32" t="str">
        <x:v>W1</x:v>
      </x:c>
      <x:c r="G307" s="32" t="str">
        <x:v>V2</x:v>
      </x:c>
      <x:c r="H307" s="32" t="str">
        <x:v>tension_soil</x:v>
      </x:c>
      <x:c r="I307" s="32" t="str">
        <x:v>862323089930716</x:v>
      </x:c>
      <x:c r="J307" s="82"/>
      <x:c r="K307" s="82" t="n">
        <x:v>-24.8</x:v>
      </x:c>
      <x:c r="L307" s="82" t="n">
        <x:v>34.8</x:v>
      </x:c>
      <x:c r="M307" s="82" t="n">
        <x:v>25.3</x:v>
      </x:c>
      <x:c r="N307" s="86" t="n">
        <x:v>987</x:v>
      </x:c>
      <x:c r="O307" s="90" t="n">
        <x:v>6.36</x:v>
      </x:c>
      <x:c r="P307" s="150" t="n">
        <x:v>3.992</x:v>
      </x:c>
      <x:c r="Q307" s="86" t="n">
        <x:v>17</x:v>
      </x:c>
      <x:c r="R307" s="32"/>
      <x:c r="S307" s="32" t="str">
        <x:v>ok</x:v>
      </x:c>
      <x:c r="T307" s="32" t="str">
        <x:v>ok</x:v>
      </x:c>
      <x:c r="U307" s="32" t="str">
        <x:v>ok</x:v>
      </x:c>
      <x:c r="V307" s="32" t="str">
        <x:v>ok</x:v>
      </x:c>
      <x:c r="W307" s="154" t="str">
        <x:v>{"schema_version":1,"imei":"862323089930716","timestamp":1786018553,"report_sequence":13,"task_version":"rice_tension_soil_demo","sensor_mode":"tension_soil","soil_moisture_percent":34.8,"soil_temperature_c":25.3,"soil_ec_us_cm":987,"soil_ph":6.36,"battery_mv":3992,"csq":17,"soil_rs485_status":"ok","cycle_status":"ok","soil_tension_kpa":-24.8,"soil_tension_rs485_status":"ok"}</x:v>
      </x:c>
    </x:row>
    <x:row r="308">
      <x:c r="A308" s="72" t="n">
        <x:v>46240.844363425924</x:v>
      </x:c>
      <x:c r="B308" s="72" t="n">
        <x:v>46240.84437731482</x:v>
      </x:c>
      <x:c r="C308" s="32" t="str">
        <x:v>P17</x:v>
      </x:c>
      <x:c r="D308" s="32" t="str">
        <x:v>B3-W2-V1</x:v>
      </x:c>
      <x:c r="E308" s="32" t="str">
        <x:v>B3</x:v>
      </x:c>
      <x:c r="F308" s="32" t="str">
        <x:v>W2</x:v>
      </x:c>
      <x:c r="G308" s="32" t="str">
        <x:v>V1</x:v>
      </x:c>
      <x:c r="H308" s="32" t="str">
        <x:v>tension_soil</x:v>
      </x:c>
      <x:c r="I308" s="32" t="str">
        <x:v>862323089930717</x:v>
      </x:c>
      <x:c r="J308" s="82"/>
      <x:c r="K308" s="82" t="n">
        <x:v>-37.3</x:v>
      </x:c>
      <x:c r="L308" s="82" t="n">
        <x:v>36.3</x:v>
      </x:c>
      <x:c r="M308" s="82" t="n">
        <x:v>25.4</x:v>
      </x:c>
      <x:c r="N308" s="86" t="n">
        <x:v>1006</x:v>
      </x:c>
      <x:c r="O308" s="90" t="n">
        <x:v>6.42</x:v>
      </x:c>
      <x:c r="P308" s="150" t="n">
        <x:v>4.01</x:v>
      </x:c>
      <x:c r="Q308" s="86" t="n">
        <x:v>18</x:v>
      </x:c>
      <x:c r="R308" s="32"/>
      <x:c r="S308" s="32" t="str">
        <x:v>ok</x:v>
      </x:c>
      <x:c r="T308" s="32" t="str">
        <x:v>ok</x:v>
      </x:c>
      <x:c r="U308" s="32" t="str">
        <x:v>ok</x:v>
      </x:c>
      <x:c r="V308" s="32" t="str">
        <x:v>ok</x:v>
      </x:c>
      <x:c r="W308" s="154" t="str">
        <x:v>{"schema_version":1,"imei":"862323089930717","timestamp":1786018553,"report_sequence":13,"task_version":"rice_tension_soil_demo","sensor_mode":"tension_soil","soil_moisture_percent":36.3,"soil_temperature_c":25.4,"soil_ec_us_cm":1006,"soil_ph":6.42,"battery_mv":4010,"csq":18,"soil_rs485_status":"ok","cycle_status":"ok","soil_tension_kpa":-37.3,"soil_tension_rs485_status":"ok"}</x:v>
      </x:c>
    </x:row>
    <x:row r="309">
      <x:c r="A309" s="72" t="n">
        <x:v>46240.844363425924</x:v>
      </x:c>
      <x:c r="B309" s="72" t="n">
        <x:v>46240.84437731482</x:v>
      </x:c>
      <x:c r="C309" s="32" t="str">
        <x:v>P18</x:v>
      </x:c>
      <x:c r="D309" s="32" t="str">
        <x:v>B3-W2-V2</x:v>
      </x:c>
      <x:c r="E309" s="32" t="str">
        <x:v>B3</x:v>
      </x:c>
      <x:c r="F309" s="32" t="str">
        <x:v>W2</x:v>
      </x:c>
      <x:c r="G309" s="32" t="str">
        <x:v>V2</x:v>
      </x:c>
      <x:c r="H309" s="32" t="str">
        <x:v>tension_soil</x:v>
      </x:c>
      <x:c r="I309" s="32" t="str">
        <x:v>862323089930718</x:v>
      </x:c>
      <x:c r="J309" s="82"/>
      <x:c r="K309" s="82" t="n">
        <x:v>-38.6</x:v>
      </x:c>
      <x:c r="L309" s="82" t="n">
        <x:v>37.6</x:v>
      </x:c>
      <x:c r="M309" s="82" t="n">
        <x:v>25.5</x:v>
      </x:c>
      <x:c r="N309" s="86" t="n">
        <x:v>1024</x:v>
      </x:c>
      <x:c r="O309" s="90" t="n">
        <x:v>6.47</x:v>
      </x:c>
      <x:c r="P309" s="150" t="n">
        <x:v>3.92</x:v>
      </x:c>
      <x:c r="Q309" s="86" t="n">
        <x:v>19</x:v>
      </x:c>
      <x:c r="R309" s="32"/>
      <x:c r="S309" s="32" t="str">
        <x:v>ok</x:v>
      </x:c>
      <x:c r="T309" s="32" t="str">
        <x:v>ok</x:v>
      </x:c>
      <x:c r="U309" s="32" t="str">
        <x:v>ok</x:v>
      </x:c>
      <x:c r="V309" s="32" t="str">
        <x:v>ok</x:v>
      </x:c>
      <x:c r="W309" s="154" t="str">
        <x:v>{"schema_version":1,"imei":"862323089930718","timestamp":1786018553,"report_sequence":13,"task_version":"rice_tension_soil_demo","sensor_mode":"tension_soil","soil_moisture_percent":37.6,"soil_temperature_c":25.5,"soil_ec_us_cm":1024,"soil_ph":6.47,"battery_mv":3920,"csq":19,"soil_rs485_status":"ok","cycle_status":"ok","soil_tension_kpa":-38.6,"soil_tension_rs485_status":"ok"}</x:v>
      </x:c>
    </x:row>
    <x:row r="310">
      <x:c r="A310" s="72" t="n">
        <x:v>46240.844363425924</x:v>
      </x:c>
      <x:c r="B310" s="72" t="n">
        <x:v>46240.84437731482</x:v>
      </x:c>
      <x:c r="C310" s="32" t="str">
        <x:v>P19</x:v>
      </x:c>
      <x:c r="D310" s="32" t="str">
        <x:v>B4-W0-V1</x:v>
      </x:c>
      <x:c r="E310" s="32" t="str">
        <x:v>B4</x:v>
      </x:c>
      <x:c r="F310" s="32" t="str">
        <x:v>W0</x:v>
      </x:c>
      <x:c r="G310" s="32" t="str">
        <x:v>V1</x:v>
      </x:c>
      <x:c r="H310" s="32" t="str">
        <x:v>water_soil</x:v>
      </x:c>
      <x:c r="I310" s="32" t="str">
        <x:v>862323089930719</x:v>
      </x:c>
      <x:c r="J310" s="82" t="n">
        <x:v>41.6</x:v>
      </x:c>
      <x:c r="K310" s="82"/>
      <x:c r="L310" s="82" t="n">
        <x:v>38.9</x:v>
      </x:c>
      <x:c r="M310" s="82" t="n">
        <x:v>25.6</x:v>
      </x:c>
      <x:c r="N310" s="86" t="n">
        <x:v>1040</x:v>
      </x:c>
      <x:c r="O310" s="90" t="n">
        <x:v>6.53</x:v>
      </x:c>
      <x:c r="P310" s="150" t="n">
        <x:v>3.938</x:v>
      </x:c>
      <x:c r="Q310" s="86" t="n">
        <x:v>20</x:v>
      </x:c>
      <x:c r="R310" s="32" t="str">
        <x:v>ok</x:v>
      </x:c>
      <x:c r="S310" s="32"/>
      <x:c r="T310" s="32" t="str">
        <x:v>ok</x:v>
      </x:c>
      <x:c r="U310" s="32" t="str">
        <x:v>ok</x:v>
      </x:c>
      <x:c r="V310" s="32" t="str">
        <x:v>ok</x:v>
      </x:c>
      <x:c r="W310" s="154" t="str">
        <x:v>{"schema_version":1,"imei":"862323089930719","timestamp":1786018553,"report_sequence":13,"task_version":"rice_w0_water_soil_demo","sensor_mode":"water_soil","soil_moisture_percent":38.9,"soil_temperature_c":25.6,"soil_ec_us_cm":1040,"soil_ph":6.53,"battery_mv":3938,"csq":20,"soil_rs485_status":"ok","cycle_status":"ok","water_level_mm":41.6,"water_4_20ma_status":"ok"}</x:v>
      </x:c>
    </x:row>
    <x:row r="311">
      <x:c r="A311" s="72" t="n">
        <x:v>46240.844363425924</x:v>
      </x:c>
      <x:c r="B311" s="72" t="n">
        <x:v>46240.84437731482</x:v>
      </x:c>
      <x:c r="C311" s="32" t="str">
        <x:v>P20</x:v>
      </x:c>
      <x:c r="D311" s="32" t="str">
        <x:v>B4-W0-V2</x:v>
      </x:c>
      <x:c r="E311" s="32" t="str">
        <x:v>B4</x:v>
      </x:c>
      <x:c r="F311" s="32" t="str">
        <x:v>W0</x:v>
      </x:c>
      <x:c r="G311" s="32" t="str">
        <x:v>V2</x:v>
      </x:c>
      <x:c r="H311" s="32" t="str">
        <x:v>water_soil</x:v>
      </x:c>
      <x:c r="I311" s="32" t="str">
        <x:v>862323089930720</x:v>
      </x:c>
      <x:c r="J311" s="82" t="n">
        <x:v>33</x:v>
      </x:c>
      <x:c r="K311" s="82"/>
      <x:c r="L311" s="82" t="n">
        <x:v>40</x:v>
      </x:c>
      <x:c r="M311" s="82" t="n">
        <x:v>25.6</x:v>
      </x:c>
      <x:c r="N311" s="86" t="n">
        <x:v>1055</x:v>
      </x:c>
      <x:c r="O311" s="90" t="n">
        <x:v>6.33</x:v>
      </x:c>
      <x:c r="P311" s="150" t="n">
        <x:v>3.956</x:v>
      </x:c>
      <x:c r="Q311" s="86" t="n">
        <x:v>21</x:v>
      </x:c>
      <x:c r="R311" s="32" t="str">
        <x:v>ok</x:v>
      </x:c>
      <x:c r="S311" s="32"/>
      <x:c r="T311" s="32" t="str">
        <x:v>ok</x:v>
      </x:c>
      <x:c r="U311" s="32" t="str">
        <x:v>ok</x:v>
      </x:c>
      <x:c r="V311" s="32" t="str">
        <x:v>ok</x:v>
      </x:c>
      <x:c r="W311" s="154" t="str">
        <x:v>{"schema_version":1,"imei":"862323089930720","timestamp":1786018553,"report_sequence":13,"task_version":"rice_w0_water_soil_demo","sensor_mode":"water_soil","soil_moisture_percent":40,"soil_temperature_c":25.6,"soil_ec_us_cm":1055,"soil_ph":6.33,"battery_mv":3956,"csq":21,"soil_rs485_status":"ok","cycle_status":"ok","water_level_mm":33,"water_4_20ma_status":"ok"}</x:v>
      </x:c>
    </x:row>
    <x:row r="312">
      <x:c r="A312" s="72" t="n">
        <x:v>46240.844363425924</x:v>
      </x:c>
      <x:c r="B312" s="72" t="n">
        <x:v>46240.84437731482</x:v>
      </x:c>
      <x:c r="C312" s="32" t="str">
        <x:v>P21</x:v>
      </x:c>
      <x:c r="D312" s="32" t="str">
        <x:v>B4-W1-V1</x:v>
      </x:c>
      <x:c r="E312" s="32" t="str">
        <x:v>B4</x:v>
      </x:c>
      <x:c r="F312" s="32" t="str">
        <x:v>W1</x:v>
      </x:c>
      <x:c r="G312" s="32" t="str">
        <x:v>V1</x:v>
      </x:c>
      <x:c r="H312" s="32" t="str">
        <x:v>tension_soil</x:v>
      </x:c>
      <x:c r="I312" s="32" t="str">
        <x:v>862323089930721</x:v>
      </x:c>
      <x:c r="J312" s="82"/>
      <x:c r="K312" s="82" t="n">
        <x:v>-26</x:v>
      </x:c>
      <x:c r="L312" s="82" t="n">
        <x:v>41</x:v>
      </x:c>
      <x:c r="M312" s="82" t="n">
        <x:v>25.6</x:v>
      </x:c>
      <x:c r="N312" s="86" t="n">
        <x:v>1067</x:v>
      </x:c>
      <x:c r="O312" s="90" t="n">
        <x:v>6.38</x:v>
      </x:c>
      <x:c r="P312" s="150" t="n">
        <x:v>3.974</x:v>
      </x:c>
      <x:c r="Q312" s="86" t="n">
        <x:v>22</x:v>
      </x:c>
      <x:c r="R312" s="32"/>
      <x:c r="S312" s="32" t="str">
        <x:v>ok</x:v>
      </x:c>
      <x:c r="T312" s="32" t="str">
        <x:v>ok</x:v>
      </x:c>
      <x:c r="U312" s="32" t="str">
        <x:v>ok</x:v>
      </x:c>
      <x:c r="V312" s="32" t="str">
        <x:v>ok</x:v>
      </x:c>
      <x:c r="W312" s="154" t="str">
        <x:v>{"schema_version":1,"imei":"862323089930721","timestamp":1786018553,"report_sequence":13,"task_version":"rice_tension_soil_demo","sensor_mode":"tension_soil","soil_moisture_percent":41,"soil_temperature_c":25.6,"soil_ec_us_cm":1067,"soil_ph":6.38,"battery_mv":3974,"csq":22,"soil_rs485_status":"ok","cycle_status":"ok","soil_tension_kpa":-26,"soil_tension_rs485_status":"ok"}</x:v>
      </x:c>
    </x:row>
    <x:row r="313">
      <x:c r="A313" s="72" t="n">
        <x:v>46240.844363425924</x:v>
      </x:c>
      <x:c r="B313" s="72" t="n">
        <x:v>46240.84437731482</x:v>
      </x:c>
      <x:c r="C313" s="32" t="str">
        <x:v>P22</x:v>
      </x:c>
      <x:c r="D313" s="32" t="str">
        <x:v>B4-W1-V2</x:v>
      </x:c>
      <x:c r="E313" s="32" t="str">
        <x:v>B4</x:v>
      </x:c>
      <x:c r="F313" s="32" t="str">
        <x:v>W1</x:v>
      </x:c>
      <x:c r="G313" s="32" t="str">
        <x:v>V2</x:v>
      </x:c>
      <x:c r="H313" s="32" t="str">
        <x:v>tension_soil</x:v>
      </x:c>
      <x:c r="I313" s="32" t="str">
        <x:v>862323089930722</x:v>
      </x:c>
      <x:c r="J313" s="82"/>
      <x:c r="K313" s="82" t="n">
        <x:v>-26.9</x:v>
      </x:c>
      <x:c r="L313" s="82" t="n">
        <x:v>41.9</x:v>
      </x:c>
      <x:c r="M313" s="82" t="n">
        <x:v>25.6</x:v>
      </x:c>
      <x:c r="N313" s="86" t="n">
        <x:v>1077</x:v>
      </x:c>
      <x:c r="O313" s="90" t="n">
        <x:v>6.43</x:v>
      </x:c>
      <x:c r="P313" s="150" t="n">
        <x:v>3.992</x:v>
      </x:c>
      <x:c r="Q313" s="86" t="n">
        <x:v>23</x:v>
      </x:c>
      <x:c r="R313" s="32"/>
      <x:c r="S313" s="32" t="str">
        <x:v>ok</x:v>
      </x:c>
      <x:c r="T313" s="32" t="str">
        <x:v>ok</x:v>
      </x:c>
      <x:c r="U313" s="32" t="str">
        <x:v>ok</x:v>
      </x:c>
      <x:c r="V313" s="32" t="str">
        <x:v>ok</x:v>
      </x:c>
      <x:c r="W313" s="154" t="str">
        <x:v>{"schema_version":1,"imei":"862323089930722","timestamp":1786018553,"report_sequence":13,"task_version":"rice_tension_soil_demo","sensor_mode":"tension_soil","soil_moisture_percent":41.9,"soil_temperature_c":25.6,"soil_ec_us_cm":1077,"soil_ph":6.43,"battery_mv":3992,"csq":23,"soil_rs485_status":"ok","cycle_status":"ok","soil_tension_kpa":-26.9,"soil_tension_rs485_status":"ok"}</x:v>
      </x:c>
    </x:row>
    <x:row r="314">
      <x:c r="A314" s="72" t="n">
        <x:v>46240.844363425924</x:v>
      </x:c>
      <x:c r="B314" s="72" t="n">
        <x:v>46240.84437731482</x:v>
      </x:c>
      <x:c r="C314" s="32" t="str">
        <x:v>P23</x:v>
      </x:c>
      <x:c r="D314" s="32" t="str">
        <x:v>B4-W2-V1</x:v>
      </x:c>
      <x:c r="E314" s="32" t="str">
        <x:v>B4</x:v>
      </x:c>
      <x:c r="F314" s="32" t="str">
        <x:v>W2</x:v>
      </x:c>
      <x:c r="G314" s="32" t="str">
        <x:v>V1</x:v>
      </x:c>
      <x:c r="H314" s="32" t="str">
        <x:v>tension_soil</x:v>
      </x:c>
      <x:c r="I314" s="32" t="str">
        <x:v>862323089930723</x:v>
      </x:c>
      <x:c r="J314" s="82"/>
      <x:c r="K314" s="82" t="n">
        <x:v>-38.6</x:v>
      </x:c>
      <x:c r="L314" s="82" t="n">
        <x:v>42.6</x:v>
      </x:c>
      <x:c r="M314" s="82" t="n">
        <x:v>25.5</x:v>
      </x:c>
      <x:c r="N314" s="86" t="n">
        <x:v>1085</x:v>
      </x:c>
      <x:c r="O314" s="90" t="n">
        <x:v>6.47</x:v>
      </x:c>
      <x:c r="P314" s="150" t="n">
        <x:v>4.01</x:v>
      </x:c>
      <x:c r="Q314" s="86" t="n">
        <x:v>24</x:v>
      </x:c>
      <x:c r="R314" s="32"/>
      <x:c r="S314" s="32" t="str">
        <x:v>ok</x:v>
      </x:c>
      <x:c r="T314" s="32" t="str">
        <x:v>ok</x:v>
      </x:c>
      <x:c r="U314" s="32" t="str">
        <x:v>ok</x:v>
      </x:c>
      <x:c r="V314" s="32" t="str">
        <x:v>ok</x:v>
      </x:c>
      <x:c r="W314" s="154" t="str">
        <x:v>{"schema_version":1,"imei":"862323089930723","timestamp":1786018553,"report_sequence":13,"task_version":"rice_tension_soil_demo","sensor_mode":"tension_soil","soil_moisture_percent":42.6,"soil_temperature_c":25.5,"soil_ec_us_cm":1085,"soil_ph":6.47,"battery_mv":4010,"csq":24,"soil_rs485_status":"ok","cycle_status":"ok","soil_tension_kpa":-38.6,"soil_tension_rs485_status":"ok"}</x:v>
      </x:c>
    </x:row>
    <x:row r="315">
      <x:c r="A315" s="72" t="n">
        <x:v>46240.844363425924</x:v>
      </x:c>
      <x:c r="B315" s="72" t="n">
        <x:v>46240.84437731482</x:v>
      </x:c>
      <x:c r="C315" s="32" t="str">
        <x:v>P24</x:v>
      </x:c>
      <x:c r="D315" s="32" t="str">
        <x:v>B4-W2-V2</x:v>
      </x:c>
      <x:c r="E315" s="32" t="str">
        <x:v>B4</x:v>
      </x:c>
      <x:c r="F315" s="32" t="str">
        <x:v>W2</x:v>
      </x:c>
      <x:c r="G315" s="32" t="str">
        <x:v>V2</x:v>
      </x:c>
      <x:c r="H315" s="32" t="str">
        <x:v>tension_soil</x:v>
      </x:c>
      <x:c r="I315" s="32" t="str">
        <x:v>862323089930724</x:v>
      </x:c>
      <x:c r="J315" s="82"/>
      <x:c r="K315" s="82" t="n">
        <x:v>-39.3</x:v>
      </x:c>
      <x:c r="L315" s="82" t="n">
        <x:v>35.3</x:v>
      </x:c>
      <x:c r="M315" s="82" t="n">
        <x:v>25.4</x:v>
      </x:c>
      <x:c r="N315" s="86" t="n">
        <x:v>1091</x:v>
      </x:c>
      <x:c r="O315" s="90" t="n">
        <x:v>6.52</x:v>
      </x:c>
      <x:c r="P315" s="150" t="n">
        <x:v>3.92</x:v>
      </x:c>
      <x:c r="Q315" s="86" t="n">
        <x:v>17</x:v>
      </x:c>
      <x:c r="R315" s="32"/>
      <x:c r="S315" s="32" t="str">
        <x:v>ok</x:v>
      </x:c>
      <x:c r="T315" s="32" t="str">
        <x:v>ok</x:v>
      </x:c>
      <x:c r="U315" s="32" t="str">
        <x:v>ok</x:v>
      </x:c>
      <x:c r="V315" s="32" t="str">
        <x:v>ok</x:v>
      </x:c>
      <x:c r="W315" s="154" t="str">
        <x:v>{"schema_version":1,"imei":"862323089930724","timestamp":1786018553,"report_sequence":13,"task_version":"rice_tension_soil_demo","sensor_mode":"tension_soil","soil_moisture_percent":35.3,"soil_temperature_c":25.4,"soil_ec_us_cm":1091,"soil_ph":6.52,"battery_mv":3920,"csq":17,"soil_rs485_status":"ok","cycle_status":"ok","soil_tension_kpa":-39.3,"soil_tension_rs485_status":"ok"}</x:v>
      </x:c>
    </x:row>
    <x:row r="316">
      <x:c r="A316" s="72" t="n">
        <x:v>46240.84783564815</x:v>
      </x:c>
      <x:c r="B316" s="72" t="n">
        <x:v>46240.84784953704</x:v>
      </x:c>
      <x:c r="C316" s="32" t="str">
        <x:v>P01</x:v>
      </x:c>
      <x:c r="D316" s="32" t="str">
        <x:v>B1-W0-V1</x:v>
      </x:c>
      <x:c r="E316" s="32" t="str">
        <x:v>B1</x:v>
      </x:c>
      <x:c r="F316" s="32" t="str">
        <x:v>W0</x:v>
      </x:c>
      <x:c r="G316" s="32" t="str">
        <x:v>V1</x:v>
      </x:c>
      <x:c r="H316" s="32" t="str">
        <x:v>water_soil</x:v>
      </x:c>
      <x:c r="I316" s="32" t="str">
        <x:v>862323089930701</x:v>
      </x:c>
      <x:c r="J316" s="82" t="n">
        <x:v>33.1</x:v>
      </x:c>
      <x:c r="K316" s="82"/>
      <x:c r="L316" s="82" t="n">
        <x:v>35.8</x:v>
      </x:c>
      <x:c r="M316" s="82" t="n">
        <x:v>25.3</x:v>
      </x:c>
      <x:c r="N316" s="86" t="n">
        <x:v>806</x:v>
      </x:c>
      <x:c r="O316" s="90" t="n">
        <x:v>6.36</x:v>
      </x:c>
      <x:c r="P316" s="150" t="n">
        <x:v>3.938</x:v>
      </x:c>
      <x:c r="Q316" s="86" t="n">
        <x:v>18</x:v>
      </x:c>
      <x:c r="R316" s="32" t="str">
        <x:v>ok</x:v>
      </x:c>
      <x:c r="S316" s="32"/>
      <x:c r="T316" s="32" t="str">
        <x:v>ok</x:v>
      </x:c>
      <x:c r="U316" s="32" t="str">
        <x:v>ok</x:v>
      </x:c>
      <x:c r="V316" s="32" t="str">
        <x:v>ok</x:v>
      </x:c>
      <x:c r="W316" s="154" t="str">
        <x:v>{"schema_version":1,"imei":"862323089930701","timestamp":1786018853,"report_sequence":14,"task_version":"rice_w0_water_soil_demo","sensor_mode":"water_soil","soil_moisture_percent":35.8,"soil_temperature_c":25.3,"soil_ec_us_cm":806,"soil_ph":6.36,"battery_mv":3938,"csq":18,"soil_rs485_status":"ok","cycle_status":"ok","water_level_mm":33.1,"water_4_20ma_status":"ok"}</x:v>
      </x:c>
    </x:row>
    <x:row r="317">
      <x:c r="A317" s="72" t="n">
        <x:v>46240.84783564815</x:v>
      </x:c>
      <x:c r="B317" s="72" t="n">
        <x:v>46240.84784953704</x:v>
      </x:c>
      <x:c r="C317" s="32" t="str">
        <x:v>P02</x:v>
      </x:c>
      <x:c r="D317" s="32" t="str">
        <x:v>B1-W0-V2</x:v>
      </x:c>
      <x:c r="E317" s="32" t="str">
        <x:v>B1</x:v>
      </x:c>
      <x:c r="F317" s="32" t="str">
        <x:v>W0</x:v>
      </x:c>
      <x:c r="G317" s="32" t="str">
        <x:v>V2</x:v>
      </x:c>
      <x:c r="H317" s="32" t="str">
        <x:v>water_soil</x:v>
      </x:c>
      <x:c r="I317" s="32" t="str">
        <x:v>862323089930702</x:v>
      </x:c>
      <x:c r="J317" s="82" t="n">
        <x:v>34.9</x:v>
      </x:c>
      <x:c r="K317" s="82"/>
      <x:c r="L317" s="82" t="n">
        <x:v>36.3</x:v>
      </x:c>
      <x:c r="M317" s="82" t="n">
        <x:v>25.2</x:v>
      </x:c>
      <x:c r="N317" s="86" t="n">
        <x:v>810</x:v>
      </x:c>
      <x:c r="O317" s="90" t="n">
        <x:v>6.41</x:v>
      </x:c>
      <x:c r="P317" s="150" t="n">
        <x:v>3.956</x:v>
      </x:c>
      <x:c r="Q317" s="86" t="n">
        <x:v>19</x:v>
      </x:c>
      <x:c r="R317" s="32" t="str">
        <x:v>ok</x:v>
      </x:c>
      <x:c r="S317" s="32"/>
      <x:c r="T317" s="32" t="str">
        <x:v>ok</x:v>
      </x:c>
      <x:c r="U317" s="32" t="str">
        <x:v>ok</x:v>
      </x:c>
      <x:c r="V317" s="32" t="str">
        <x:v>ok</x:v>
      </x:c>
      <x:c r="W317" s="154" t="str">
        <x:v>{"schema_version":1,"imei":"862323089930702","timestamp":1786018853,"report_sequence":14,"task_version":"rice_w0_water_soil_demo","sensor_mode":"water_soil","soil_moisture_percent":36.3,"soil_temperature_c":25.2,"soil_ec_us_cm":810,"soil_ph":6.41,"battery_mv":3956,"csq":19,"soil_rs485_status":"ok","cycle_status":"ok","water_level_mm":34.9,"water_4_20ma_status":"ok"}</x:v>
      </x:c>
    </x:row>
    <x:row r="318">
      <x:c r="A318" s="72" t="n">
        <x:v>46240.84783564815</x:v>
      </x:c>
      <x:c r="B318" s="72" t="n">
        <x:v>46240.84784953704</x:v>
      </x:c>
      <x:c r="C318" s="32" t="str">
        <x:v>P03</x:v>
      </x:c>
      <x:c r="D318" s="32" t="str">
        <x:v>B1-W1-V1</x:v>
      </x:c>
      <x:c r="E318" s="32" t="str">
        <x:v>B1</x:v>
      </x:c>
      <x:c r="F318" s="32" t="str">
        <x:v>W1</x:v>
      </x:c>
      <x:c r="G318" s="32" t="str">
        <x:v>V1</x:v>
      </x:c>
      <x:c r="H318" s="32" t="str">
        <x:v>tension_soil</x:v>
      </x:c>
      <x:c r="I318" s="32" t="str">
        <x:v>862323089930703</x:v>
      </x:c>
      <x:c r="J318" s="82"/>
      <x:c r="K318" s="82" t="n">
        <x:v>-25.8</x:v>
      </x:c>
      <x:c r="L318" s="82" t="n">
        <x:v>36.8</x:v>
      </x:c>
      <x:c r="M318" s="82" t="n">
        <x:v>25.1</x:v>
      </x:c>
      <x:c r="N318" s="86" t="n">
        <x:v>813</x:v>
      </x:c>
      <x:c r="O318" s="90" t="n">
        <x:v>6.45</x:v>
      </x:c>
      <x:c r="P318" s="150" t="n">
        <x:v>3.974</x:v>
      </x:c>
      <x:c r="Q318" s="86" t="n">
        <x:v>20</x:v>
      </x:c>
      <x:c r="R318" s="32"/>
      <x:c r="S318" s="32" t="str">
        <x:v>ok</x:v>
      </x:c>
      <x:c r="T318" s="32" t="str">
        <x:v>ok</x:v>
      </x:c>
      <x:c r="U318" s="32" t="str">
        <x:v>ok</x:v>
      </x:c>
      <x:c r="V318" s="32" t="str">
        <x:v>ok</x:v>
      </x:c>
      <x:c r="W318" s="154" t="str">
        <x:v>{"schema_version":1,"imei":"862323089930703","timestamp":1786018853,"report_sequence":14,"task_version":"rice_tension_soil_demo","sensor_mode":"tension_soil","soil_moisture_percent":36.8,"soil_temperature_c":25.1,"soil_ec_us_cm":813,"soil_ph":6.45,"battery_mv":3974,"csq":20,"soil_rs485_status":"ok","cycle_status":"ok","soil_tension_kpa":-25.8,"soil_tension_rs485_status":"ok"}</x:v>
      </x:c>
    </x:row>
    <x:row r="319">
      <x:c r="A319" s="72" t="n">
        <x:v>46240.84783564815</x:v>
      </x:c>
      <x:c r="B319" s="72" t="n">
        <x:v>46240.84784953704</x:v>
      </x:c>
      <x:c r="C319" s="32" t="str">
        <x:v>P04</x:v>
      </x:c>
      <x:c r="D319" s="32" t="str">
        <x:v>B1-W1-V2</x:v>
      </x:c>
      <x:c r="E319" s="32" t="str">
        <x:v>B1</x:v>
      </x:c>
      <x:c r="F319" s="32" t="str">
        <x:v>W1</x:v>
      </x:c>
      <x:c r="G319" s="32" t="str">
        <x:v>V2</x:v>
      </x:c>
      <x:c r="H319" s="32" t="str">
        <x:v>tension_soil</x:v>
      </x:c>
      <x:c r="I319" s="32" t="str">
        <x:v>862323089930704</x:v>
      </x:c>
      <x:c r="J319" s="82"/>
      <x:c r="K319" s="82" t="n">
        <x:v>-26.4</x:v>
      </x:c>
      <x:c r="L319" s="82" t="n">
        <x:v>37.4</x:v>
      </x:c>
      <x:c r="M319" s="82" t="n">
        <x:v>24.9</x:v>
      </x:c>
      <x:c r="N319" s="86" t="n">
        <x:v>817</x:v>
      </x:c>
      <x:c r="O319" s="90" t="n">
        <x:v>6.49</x:v>
      </x:c>
      <x:c r="P319" s="150" t="n">
        <x:v>3.992</x:v>
      </x:c>
      <x:c r="Q319" s="86" t="n">
        <x:v>21</x:v>
      </x:c>
      <x:c r="R319" s="32"/>
      <x:c r="S319" s="32" t="str">
        <x:v>ok</x:v>
      </x:c>
      <x:c r="T319" s="32" t="str">
        <x:v>ok</x:v>
      </x:c>
      <x:c r="U319" s="32" t="str">
        <x:v>ok</x:v>
      </x:c>
      <x:c r="V319" s="32" t="str">
        <x:v>ok</x:v>
      </x:c>
      <x:c r="W319" s="154" t="str">
        <x:v>{"schema_version":1,"imei":"862323089930704","timestamp":1786018853,"report_sequence":14,"task_version":"rice_tension_soil_demo","sensor_mode":"tension_soil","soil_moisture_percent":37.4,"soil_temperature_c":24.9,"soil_ec_us_cm":817,"soil_ph":6.49,"battery_mv":3992,"csq":21,"soil_rs485_status":"ok","cycle_status":"ok","soil_tension_kpa":-26.4,"soil_tension_rs485_status":"ok"}</x:v>
      </x:c>
    </x:row>
    <x:row r="320">
      <x:c r="A320" s="72" t="n">
        <x:v>46240.84783564815</x:v>
      </x:c>
      <x:c r="B320" s="72" t="n">
        <x:v>46240.84784953704</x:v>
      </x:c>
      <x:c r="C320" s="32" t="str">
        <x:v>P05</x:v>
      </x:c>
      <x:c r="D320" s="32" t="str">
        <x:v>B1-W2-V1</x:v>
      </x:c>
      <x:c r="E320" s="32" t="str">
        <x:v>B1</x:v>
      </x:c>
      <x:c r="F320" s="32" t="str">
        <x:v>W2</x:v>
      </x:c>
      <x:c r="G320" s="32" t="str">
        <x:v>V1</x:v>
      </x:c>
      <x:c r="H320" s="32" t="str">
        <x:v>tension_soil</x:v>
      </x:c>
      <x:c r="I320" s="32" t="str">
        <x:v>862323089930705</x:v>
      </x:c>
      <x:c r="J320" s="82"/>
      <x:c r="K320" s="82" t="n">
        <x:v>-32.9</x:v>
      </x:c>
      <x:c r="L320" s="82" t="n">
        <x:v>37.9</x:v>
      </x:c>
      <x:c r="M320" s="82" t="n">
        <x:v>24.8</x:v>
      </x:c>
      <x:c r="N320" s="86" t="n">
        <x:v>821</x:v>
      </x:c>
      <x:c r="O320" s="90" t="n">
        <x:v>6.28</x:v>
      </x:c>
      <x:c r="P320" s="150" t="n">
        <x:v>4.01</x:v>
      </x:c>
      <x:c r="Q320" s="86" t="n">
        <x:v>22</x:v>
      </x:c>
      <x:c r="R320" s="32"/>
      <x:c r="S320" s="32" t="str">
        <x:v>ok</x:v>
      </x:c>
      <x:c r="T320" s="32" t="str">
        <x:v>ok</x:v>
      </x:c>
      <x:c r="U320" s="32" t="str">
        <x:v>ok</x:v>
      </x:c>
      <x:c r="V320" s="32" t="str">
        <x:v>ok</x:v>
      </x:c>
      <x:c r="W320" s="154" t="str">
        <x:v>{"schema_version":1,"imei":"862323089930705","timestamp":1786018853,"report_sequence":14,"task_version":"rice_tension_soil_demo","sensor_mode":"tension_soil","soil_moisture_percent":37.9,"soil_temperature_c":24.8,"soil_ec_us_cm":821,"soil_ph":6.28,"battery_mv":4010,"csq":22,"soil_rs485_status":"ok","cycle_status":"ok","soil_tension_kpa":-32.9,"soil_tension_rs485_status":"ok"}</x:v>
      </x:c>
    </x:row>
    <x:row r="321">
      <x:c r="A321" s="72" t="n">
        <x:v>46240.84783564815</x:v>
      </x:c>
      <x:c r="B321" s="72" t="n">
        <x:v>46240.84784953704</x:v>
      </x:c>
      <x:c r="C321" s="32" t="str">
        <x:v>P06</x:v>
      </x:c>
      <x:c r="D321" s="32" t="str">
        <x:v>B1-W2-V2</x:v>
      </x:c>
      <x:c r="E321" s="32" t="str">
        <x:v>B1</x:v>
      </x:c>
      <x:c r="F321" s="32" t="str">
        <x:v>W2</x:v>
      </x:c>
      <x:c r="G321" s="32" t="str">
        <x:v>V2</x:v>
      </x:c>
      <x:c r="H321" s="32" t="str">
        <x:v>tension_soil</x:v>
      </x:c>
      <x:c r="I321" s="32" t="str">
        <x:v>862323089930706</x:v>
      </x:c>
      <x:c r="J321" s="82"/>
      <x:c r="K321" s="82" t="n">
        <x:v>-33.5</x:v>
      </x:c>
      <x:c r="L321" s="82" t="n">
        <x:v>38.5</x:v>
      </x:c>
      <x:c r="M321" s="82" t="n">
        <x:v>24.7</x:v>
      </x:c>
      <x:c r="N321" s="86" t="n">
        <x:v>826</x:v>
      </x:c>
      <x:c r="O321" s="90" t="n">
        <x:v>6.33</x:v>
      </x:c>
      <x:c r="P321" s="150" t="n">
        <x:v>3.92</x:v>
      </x:c>
      <x:c r="Q321" s="86" t="n">
        <x:v>23</x:v>
      </x:c>
      <x:c r="R321" s="32"/>
      <x:c r="S321" s="32" t="str">
        <x:v>ok</x:v>
      </x:c>
      <x:c r="T321" s="32" t="str">
        <x:v>ok</x:v>
      </x:c>
      <x:c r="U321" s="32" t="str">
        <x:v>ok</x:v>
      </x:c>
      <x:c r="V321" s="32" t="str">
        <x:v>ok</x:v>
      </x:c>
      <x:c r="W321" s="154" t="str">
        <x:v>{"schema_version":1,"imei":"862323089930706","timestamp":1786018853,"report_sequence":14,"task_version":"rice_tension_soil_demo","sensor_mode":"tension_soil","soil_moisture_percent":38.5,"soil_temperature_c":24.7,"soil_ec_us_cm":826,"soil_ph":6.33,"battery_mv":3920,"csq":23,"soil_rs485_status":"ok","cycle_status":"ok","soil_tension_kpa":-33.5,"soil_tension_rs485_status":"ok"}</x:v>
      </x:c>
    </x:row>
    <x:row r="322">
      <x:c r="A322" s="72" t="n">
        <x:v>46240.84783564815</x:v>
      </x:c>
      <x:c r="B322" s="72" t="n">
        <x:v>46240.84784953704</x:v>
      </x:c>
      <x:c r="C322" s="32" t="str">
        <x:v>P07</x:v>
      </x:c>
      <x:c r="D322" s="32" t="str">
        <x:v>B2-W0-V1</x:v>
      </x:c>
      <x:c r="E322" s="32" t="str">
        <x:v>B2</x:v>
      </x:c>
      <x:c r="F322" s="32" t="str">
        <x:v>W0</x:v>
      </x:c>
      <x:c r="G322" s="32" t="str">
        <x:v>V1</x:v>
      </x:c>
      <x:c r="H322" s="32" t="str">
        <x:v>water_soil</x:v>
      </x:c>
      <x:c r="I322" s="32" t="str">
        <x:v>862323089930707</x:v>
      </x:c>
      <x:c r="J322" s="82" t="n">
        <x:v>32.6</x:v>
      </x:c>
      <x:c r="K322" s="82"/>
      <x:c r="L322" s="82" t="n">
        <x:v>39.2</x:v>
      </x:c>
      <x:c r="M322" s="82" t="n">
        <x:v>24.7</x:v>
      </x:c>
      <x:c r="N322" s="86" t="n">
        <x:v>833</x:v>
      </x:c>
      <x:c r="O322" s="90" t="n">
        <x:v>6.37</x:v>
      </x:c>
      <x:c r="P322" s="150" t="n">
        <x:v>3.938</x:v>
      </x:c>
      <x:c r="Q322" s="86" t="n">
        <x:v>24</x:v>
      </x:c>
      <x:c r="R322" s="32" t="str">
        <x:v>ok</x:v>
      </x:c>
      <x:c r="S322" s="32"/>
      <x:c r="T322" s="32" t="str">
        <x:v>ok</x:v>
      </x:c>
      <x:c r="U322" s="32" t="str">
        <x:v>ok</x:v>
      </x:c>
      <x:c r="V322" s="32" t="str">
        <x:v>ok</x:v>
      </x:c>
      <x:c r="W322" s="154" t="str">
        <x:v>{"schema_version":1,"imei":"862323089930707","timestamp":1786018853,"report_sequence":14,"task_version":"rice_w0_water_soil_demo","sensor_mode":"water_soil","soil_moisture_percent":39.2,"soil_temperature_c":24.7,"soil_ec_us_cm":833,"soil_ph":6.37,"battery_mv":3938,"csq":24,"soil_rs485_status":"ok","cycle_status":"ok","water_level_mm":32.6,"water_4_20ma_status":"ok"}</x:v>
      </x:c>
    </x:row>
    <x:row r="323">
      <x:c r="A323" s="72" t="n">
        <x:v>46240.84783564815</x:v>
      </x:c>
      <x:c r="B323" s="72" t="n">
        <x:v>46240.84784953704</x:v>
      </x:c>
      <x:c r="C323" s="32" t="str">
        <x:v>P08</x:v>
      </x:c>
      <x:c r="D323" s="32" t="str">
        <x:v>B2-W0-V2</x:v>
      </x:c>
      <x:c r="E323" s="32" t="str">
        <x:v>B2</x:v>
      </x:c>
      <x:c r="F323" s="32" t="str">
        <x:v>W0</x:v>
      </x:c>
      <x:c r="G323" s="32" t="str">
        <x:v>V2</x:v>
      </x:c>
      <x:c r="H323" s="32" t="str">
        <x:v>water_soil</x:v>
      </x:c>
      <x:c r="I323" s="32" t="str">
        <x:v>862323089930708</x:v>
      </x:c>
      <x:c r="J323" s="82" t="n">
        <x:v>23.2</x:v>
      </x:c>
      <x:c r="K323" s="82"/>
      <x:c r="L323" s="82" t="n">
        <x:v>32.1</x:v>
      </x:c>
      <x:c r="M323" s="82" t="n">
        <x:v>24.6</x:v>
      </x:c>
      <x:c r="N323" s="86" t="n">
        <x:v>842</x:v>
      </x:c>
      <x:c r="O323" s="90" t="n">
        <x:v>6.42</x:v>
      </x:c>
      <x:c r="P323" s="150" t="n">
        <x:v>3.956</x:v>
      </x:c>
      <x:c r="Q323" s="86" t="n">
        <x:v>17</x:v>
      </x:c>
      <x:c r="R323" s="32" t="str">
        <x:v>ok</x:v>
      </x:c>
      <x:c r="S323" s="32"/>
      <x:c r="T323" s="32" t="str">
        <x:v>ok</x:v>
      </x:c>
      <x:c r="U323" s="32" t="str">
        <x:v>ok</x:v>
      </x:c>
      <x:c r="V323" s="32" t="str">
        <x:v>ok</x:v>
      </x:c>
      <x:c r="W323" s="154" t="str">
        <x:v>{"schema_version":1,"imei":"862323089930708","timestamp":1786018853,"report_sequence":14,"task_version":"rice_w0_water_soil_demo","sensor_mode":"water_soil","soil_moisture_percent":32.1,"soil_temperature_c":24.6,"soil_ec_us_cm":842,"soil_ph":6.42,"battery_mv":3956,"csq":17,"soil_rs485_status":"ok","cycle_status":"ok","water_level_mm":23.2,"water_4_20ma_status":"ok"}</x:v>
      </x:c>
    </x:row>
    <x:row r="324">
      <x:c r="A324" s="72" t="n">
        <x:v>46240.84783564815</x:v>
      </x:c>
      <x:c r="B324" s="72" t="n">
        <x:v>46240.84784953704</x:v>
      </x:c>
      <x:c r="C324" s="32" t="str">
        <x:v>P09</x:v>
      </x:c>
      <x:c r="D324" s="32" t="str">
        <x:v>B2-W1-V1</x:v>
      </x:c>
      <x:c r="E324" s="32" t="str">
        <x:v>B2</x:v>
      </x:c>
      <x:c r="F324" s="32" t="str">
        <x:v>W1</x:v>
      </x:c>
      <x:c r="G324" s="32" t="str">
        <x:v>V1</x:v>
      </x:c>
      <x:c r="H324" s="32" t="str">
        <x:v>tension_soil</x:v>
      </x:c>
      <x:c r="I324" s="32" t="str">
        <x:v>862323089930709</x:v>
      </x:c>
      <x:c r="J324" s="82"/>
      <x:c r="K324" s="82" t="n">
        <x:v>-25</x:v>
      </x:c>
      <x:c r="L324" s="82" t="n">
        <x:v>33</x:v>
      </x:c>
      <x:c r="M324" s="82" t="n">
        <x:v>24.6</x:v>
      </x:c>
      <x:c r="N324" s="86" t="n">
        <x:v>853</x:v>
      </x:c>
      <x:c r="O324" s="90" t="n">
        <x:v>6.47</x:v>
      </x:c>
      <x:c r="P324" s="150" t="n">
        <x:v>3.974</x:v>
      </x:c>
      <x:c r="Q324" s="86" t="n">
        <x:v>18</x:v>
      </x:c>
      <x:c r="R324" s="32"/>
      <x:c r="S324" s="32" t="str">
        <x:v>ok</x:v>
      </x:c>
      <x:c r="T324" s="32" t="str">
        <x:v>ok</x:v>
      </x:c>
      <x:c r="U324" s="32" t="str">
        <x:v>ok</x:v>
      </x:c>
      <x:c r="V324" s="32" t="str">
        <x:v>ok</x:v>
      </x:c>
      <x:c r="W324" s="154" t="str">
        <x:v>{"schema_version":1,"imei":"862323089930709","timestamp":1786018853,"report_sequence":14,"task_version":"rice_tension_soil_demo","sensor_mode":"tension_soil","soil_moisture_percent":33,"soil_temperature_c":24.6,"soil_ec_us_cm":853,"soil_ph":6.47,"battery_mv":3974,"csq":18,"soil_rs485_status":"ok","cycle_status":"ok","soil_tension_kpa":-25,"soil_tension_rs485_status":"ok"}</x:v>
      </x:c>
    </x:row>
    <x:row r="325">
      <x:c r="A325" s="72" t="n">
        <x:v>46240.84783564815</x:v>
      </x:c>
      <x:c r="B325" s="72" t="n">
        <x:v>46240.84784953704</x:v>
      </x:c>
      <x:c r="C325" s="32" t="str">
        <x:v>P10</x:v>
      </x:c>
      <x:c r="D325" s="32" t="str">
        <x:v>B2-W1-V2</x:v>
      </x:c>
      <x:c r="E325" s="32" t="str">
        <x:v>B2</x:v>
      </x:c>
      <x:c r="F325" s="32" t="str">
        <x:v>W1</x:v>
      </x:c>
      <x:c r="G325" s="32" t="str">
        <x:v>V2</x:v>
      </x:c>
      <x:c r="H325" s="32" t="str">
        <x:v>tension_soil</x:v>
      </x:c>
      <x:c r="I325" s="32" t="str">
        <x:v>862323089930710</x:v>
      </x:c>
      <x:c r="J325" s="82"/>
      <x:c r="K325" s="82" t="n">
        <x:v>-21.1</x:v>
      </x:c>
      <x:c r="L325" s="82" t="n">
        <x:v>34.1</x:v>
      </x:c>
      <x:c r="M325" s="82" t="n">
        <x:v>24.6</x:v>
      </x:c>
      <x:c r="N325" s="86" t="n">
        <x:v>866</x:v>
      </x:c>
      <x:c r="O325" s="90" t="n">
        <x:v>6.27</x:v>
      </x:c>
      <x:c r="P325" s="150" t="n">
        <x:v>3.992</x:v>
      </x:c>
      <x:c r="Q325" s="86" t="n">
        <x:v>19</x:v>
      </x:c>
      <x:c r="R325" s="32"/>
      <x:c r="S325" s="32" t="str">
        <x:v>ok</x:v>
      </x:c>
      <x:c r="T325" s="32" t="str">
        <x:v>ok</x:v>
      </x:c>
      <x:c r="U325" s="32" t="str">
        <x:v>ok</x:v>
      </x:c>
      <x:c r="V325" s="32" t="str">
        <x:v>ok</x:v>
      </x:c>
      <x:c r="W325" s="154" t="str">
        <x:v>{"schema_version":1,"imei":"862323089930710","timestamp":1786018853,"report_sequence":14,"task_version":"rice_tension_soil_demo","sensor_mode":"tension_soil","soil_moisture_percent":34.1,"soil_temperature_c":24.6,"soil_ec_us_cm":866,"soil_ph":6.27,"battery_mv":3992,"csq":19,"soil_rs485_status":"ok","cycle_status":"ok","soil_tension_kpa":-21.1,"soil_tension_rs485_status":"ok"}</x:v>
      </x:c>
    </x:row>
    <x:row r="326">
      <x:c r="A326" s="72" t="n">
        <x:v>46240.84783564815</x:v>
      </x:c>
      <x:c r="B326" s="72" t="n">
        <x:v>46240.84784953704</x:v>
      </x:c>
      <x:c r="C326" s="32" t="str">
        <x:v>P11</x:v>
      </x:c>
      <x:c r="D326" s="32" t="str">
        <x:v>B2-W2-V1</x:v>
      </x:c>
      <x:c r="E326" s="32" t="str">
        <x:v>B2</x:v>
      </x:c>
      <x:c r="F326" s="32" t="str">
        <x:v>W2</x:v>
      </x:c>
      <x:c r="G326" s="32" t="str">
        <x:v>V1</x:v>
      </x:c>
      <x:c r="H326" s="32" t="str">
        <x:v>tension_soil</x:v>
      </x:c>
      <x:c r="I326" s="32" t="str">
        <x:v>862323089930711</x:v>
      </x:c>
      <x:c r="J326" s="82"/>
      <x:c r="K326" s="82" t="n">
        <x:v>-33.2</x:v>
      </x:c>
      <x:c r="L326" s="82" t="n">
        <x:v>35.2</x:v>
      </x:c>
      <x:c r="M326" s="82" t="n">
        <x:v>24.7</x:v>
      </x:c>
      <x:c r="N326" s="86" t="n">
        <x:v>881</x:v>
      </x:c>
      <x:c r="O326" s="90" t="n">
        <x:v>6.32</x:v>
      </x:c>
      <x:c r="P326" s="150" t="n">
        <x:v>4.01</x:v>
      </x:c>
      <x:c r="Q326" s="86" t="n">
        <x:v>20</x:v>
      </x:c>
      <x:c r="R326" s="32"/>
      <x:c r="S326" s="32" t="str">
        <x:v>ok</x:v>
      </x:c>
      <x:c r="T326" s="32" t="str">
        <x:v>ok</x:v>
      </x:c>
      <x:c r="U326" s="32" t="str">
        <x:v>ok</x:v>
      </x:c>
      <x:c r="V326" s="32" t="str">
        <x:v>ok</x:v>
      </x:c>
      <x:c r="W326" s="154" t="str">
        <x:v>{"schema_version":1,"imei":"862323089930711","timestamp":1786018853,"report_sequence":14,"task_version":"rice_tension_soil_demo","sensor_mode":"tension_soil","soil_moisture_percent":35.2,"soil_temperature_c":24.7,"soil_ec_us_cm":881,"soil_ph":6.32,"battery_mv":4010,"csq":20,"soil_rs485_status":"ok","cycle_status":"ok","soil_tension_kpa":-33.2,"soil_tension_rs485_status":"ok"}</x:v>
      </x:c>
    </x:row>
    <x:row r="327">
      <x:c r="A327" s="72" t="n">
        <x:v>46240.84783564815</x:v>
      </x:c>
      <x:c r="B327" s="72" t="n">
        <x:v>46240.84784953704</x:v>
      </x:c>
      <x:c r="C327" s="32" t="str">
        <x:v>P12</x:v>
      </x:c>
      <x:c r="D327" s="32" t="str">
        <x:v>B2-W2-V2</x:v>
      </x:c>
      <x:c r="E327" s="32" t="str">
        <x:v>B2</x:v>
      </x:c>
      <x:c r="F327" s="32" t="str">
        <x:v>W2</x:v>
      </x:c>
      <x:c r="G327" s="32" t="str">
        <x:v>V2</x:v>
      </x:c>
      <x:c r="H327" s="32" t="str">
        <x:v>tension_soil</x:v>
      </x:c>
      <x:c r="I327" s="32" t="str">
        <x:v>862323089930712</x:v>
      </x:c>
      <x:c r="J327" s="82"/>
      <x:c r="K327" s="82" t="n">
        <x:v>-34.5</x:v>
      </x:c>
      <x:c r="L327" s="82" t="n">
        <x:v>36.5</x:v>
      </x:c>
      <x:c r="M327" s="82" t="n">
        <x:v>24.7</x:v>
      </x:c>
      <x:c r="N327" s="86" t="n">
        <x:v>898</x:v>
      </x:c>
      <x:c r="O327" s="90" t="n">
        <x:v>6.38</x:v>
      </x:c>
      <x:c r="P327" s="150" t="n">
        <x:v>3.92</x:v>
      </x:c>
      <x:c r="Q327" s="86" t="n">
        <x:v>21</x:v>
      </x:c>
      <x:c r="R327" s="32"/>
      <x:c r="S327" s="32" t="str">
        <x:v>ok</x:v>
      </x:c>
      <x:c r="T327" s="32" t="str">
        <x:v>ok</x:v>
      </x:c>
      <x:c r="U327" s="32" t="str">
        <x:v>ok</x:v>
      </x:c>
      <x:c r="V327" s="32" t="str">
        <x:v>ok</x:v>
      </x:c>
      <x:c r="W327" s="154" t="str">
        <x:v>{"schema_version":1,"imei":"862323089930712","timestamp":1786018853,"report_sequence":14,"task_version":"rice_tension_soil_demo","sensor_mode":"tension_soil","soil_moisture_percent":36.5,"soil_temperature_c":24.7,"soil_ec_us_cm":898,"soil_ph":6.38,"battery_mv":3920,"csq":21,"soil_rs485_status":"ok","cycle_status":"ok","soil_tension_kpa":-34.5,"soil_tension_rs485_status":"ok"}</x:v>
      </x:c>
    </x:row>
    <x:row r="328">
      <x:c r="A328" s="72" t="n">
        <x:v>46240.84783564815</x:v>
      </x:c>
      <x:c r="B328" s="72" t="n">
        <x:v>46240.84784953704</x:v>
      </x:c>
      <x:c r="C328" s="32" t="str">
        <x:v>P13</x:v>
      </x:c>
      <x:c r="D328" s="32" t="str">
        <x:v>B3-W0-V1</x:v>
      </x:c>
      <x:c r="E328" s="32" t="str">
        <x:v>B3</x:v>
      </x:c>
      <x:c r="F328" s="32" t="str">
        <x:v>W0</x:v>
      </x:c>
      <x:c r="G328" s="32" t="str">
        <x:v>V1</x:v>
      </x:c>
      <x:c r="H328" s="32" t="str">
        <x:v>water_soil</x:v>
      </x:c>
      <x:c r="I328" s="32" t="str">
        <x:v>862323089930713</x:v>
      </x:c>
      <x:c r="J328" s="82" t="n">
        <x:v>28.3</x:v>
      </x:c>
      <x:c r="K328" s="82"/>
      <x:c r="L328" s="82" t="n">
        <x:v>37.9</x:v>
      </x:c>
      <x:c r="M328" s="82" t="n">
        <x:v>24.8</x:v>
      </x:c>
      <x:c r="N328" s="86" t="n">
        <x:v>917</x:v>
      </x:c>
      <x:c r="O328" s="90" t="n">
        <x:v>6.43</x:v>
      </x:c>
      <x:c r="P328" s="150" t="n">
        <x:v>3.938</x:v>
      </x:c>
      <x:c r="Q328" s="86" t="n">
        <x:v>22</x:v>
      </x:c>
      <x:c r="R328" s="32" t="str">
        <x:v>ok</x:v>
      </x:c>
      <x:c r="S328" s="32"/>
      <x:c r="T328" s="32" t="str">
        <x:v>ok</x:v>
      </x:c>
      <x:c r="U328" s="32" t="str">
        <x:v>ok</x:v>
      </x:c>
      <x:c r="V328" s="32" t="str">
        <x:v>ok</x:v>
      </x:c>
      <x:c r="W328" s="154" t="str">
        <x:v>{"schema_version":1,"imei":"862323089930713","timestamp":1786018853,"report_sequence":14,"task_version":"rice_w0_water_soil_demo","sensor_mode":"water_soil","soil_moisture_percent":37.9,"soil_temperature_c":24.8,"soil_ec_us_cm":917,"soil_ph":6.43,"battery_mv":3938,"csq":22,"soil_rs485_status":"ok","cycle_status":"ok","water_level_mm":28.3,"water_4_20ma_status":"ok"}</x:v>
      </x:c>
    </x:row>
    <x:row r="329">
      <x:c r="A329" s="72" t="n">
        <x:v>46240.84783564815</x:v>
      </x:c>
      <x:c r="B329" s="72" t="n">
        <x:v>46240.84784953704</x:v>
      </x:c>
      <x:c r="C329" s="32" t="str">
        <x:v>P14</x:v>
      </x:c>
      <x:c r="D329" s="32" t="str">
        <x:v>B3-W0-V2</x:v>
      </x:c>
      <x:c r="E329" s="32" t="str">
        <x:v>B3</x:v>
      </x:c>
      <x:c r="F329" s="32" t="str">
        <x:v>W0</x:v>
      </x:c>
      <x:c r="G329" s="32" t="str">
        <x:v>V2</x:v>
      </x:c>
      <x:c r="H329" s="32" t="str">
        <x:v>water_soil</x:v>
      </x:c>
      <x:c r="I329" s="32" t="str">
        <x:v>862323089930714</x:v>
      </x:c>
      <x:c r="J329" s="82" t="n">
        <x:v>32.4</x:v>
      </x:c>
      <x:c r="K329" s="82"/>
      <x:c r="L329" s="82" t="n">
        <x:v>39.4</x:v>
      </x:c>
      <x:c r="M329" s="82" t="n">
        <x:v>24.9</x:v>
      </x:c>
      <x:c r="N329" s="86" t="n">
        <x:v>937</x:v>
      </x:c>
      <x:c r="O329" s="90" t="n">
        <x:v>6.49</x:v>
      </x:c>
      <x:c r="P329" s="150" t="n">
        <x:v>3.956</x:v>
      </x:c>
      <x:c r="Q329" s="86" t="n">
        <x:v>23</x:v>
      </x:c>
      <x:c r="R329" s="32" t="str">
        <x:v>ok</x:v>
      </x:c>
      <x:c r="S329" s="32"/>
      <x:c r="T329" s="32" t="str">
        <x:v>ok</x:v>
      </x:c>
      <x:c r="U329" s="32" t="str">
        <x:v>ok</x:v>
      </x:c>
      <x:c r="V329" s="32" t="str">
        <x:v>ok</x:v>
      </x:c>
      <x:c r="W329" s="154" t="str">
        <x:v>{"schema_version":1,"imei":"862323089930714","timestamp":1786018853,"report_sequence":14,"task_version":"rice_w0_water_soil_demo","sensor_mode":"water_soil","soil_moisture_percent":39.4,"soil_temperature_c":24.9,"soil_ec_us_cm":937,"soil_ph":6.49,"battery_mv":3956,"csq":23,"soil_rs485_status":"ok","cycle_status":"ok","water_level_mm":32.4,"water_4_20ma_status":"ok"}</x:v>
      </x:c>
    </x:row>
    <x:row r="330">
      <x:c r="A330" s="72" t="n">
        <x:v>46240.84783564815</x:v>
      </x:c>
      <x:c r="B330" s="72" t="n">
        <x:v>46240.84784953704</x:v>
      </x:c>
      <x:c r="C330" s="32" t="str">
        <x:v>P15</x:v>
      </x:c>
      <x:c r="D330" s="32" t="str">
        <x:v>B3-W1-V1</x:v>
      </x:c>
      <x:c r="E330" s="32" t="str">
        <x:v>B3</x:v>
      </x:c>
      <x:c r="F330" s="32" t="str">
        <x:v>W1</x:v>
      </x:c>
      <x:c r="G330" s="32" t="str">
        <x:v>V1</x:v>
      </x:c>
      <x:c r="H330" s="32" t="str">
        <x:v>tension_soil</x:v>
      </x:c>
      <x:c r="I330" s="32" t="str">
        <x:v>862323089930715</x:v>
      </x:c>
      <x:c r="J330" s="82"/>
      <x:c r="K330" s="82" t="n">
        <x:v>-22.9</x:v>
      </x:c>
      <x:c r="L330" s="82" t="n">
        <x:v>40.9</x:v>
      </x:c>
      <x:c r="M330" s="82" t="n">
        <x:v>25.1</x:v>
      </x:c>
      <x:c r="N330" s="86" t="n">
        <x:v>958</x:v>
      </x:c>
      <x:c r="O330" s="90" t="n">
        <x:v>6.3</x:v>
      </x:c>
      <x:c r="P330" s="150" t="n">
        <x:v>3.974</x:v>
      </x:c>
      <x:c r="Q330" s="86" t="n">
        <x:v>24</x:v>
      </x:c>
      <x:c r="R330" s="32"/>
      <x:c r="S330" s="32" t="str">
        <x:v>ok</x:v>
      </x:c>
      <x:c r="T330" s="32" t="str">
        <x:v>ok</x:v>
      </x:c>
      <x:c r="U330" s="32" t="str">
        <x:v>ok</x:v>
      </x:c>
      <x:c r="V330" s="32" t="str">
        <x:v>ok</x:v>
      </x:c>
      <x:c r="W330" s="154" t="str">
        <x:v>{"schema_version":1,"imei":"862323089930715","timestamp":1786018853,"report_sequence":14,"task_version":"rice_tension_soil_demo","sensor_mode":"tension_soil","soil_moisture_percent":40.9,"soil_temperature_c":25.1,"soil_ec_us_cm":958,"soil_ph":6.3,"battery_mv":3974,"csq":24,"soil_rs485_status":"ok","cycle_status":"ok","soil_tension_kpa":-22.9,"soil_tension_rs485_status":"ok"}</x:v>
      </x:c>
    </x:row>
    <x:row r="331">
      <x:c r="A331" s="72" t="n">
        <x:v>46240.84783564815</x:v>
      </x:c>
      <x:c r="B331" s="72" t="n">
        <x:v>46240.84784953704</x:v>
      </x:c>
      <x:c r="C331" s="32" t="str">
        <x:v>P16</x:v>
      </x:c>
      <x:c r="D331" s="32" t="str">
        <x:v>B3-W1-V2</x:v>
      </x:c>
      <x:c r="E331" s="32" t="str">
        <x:v>B3</x:v>
      </x:c>
      <x:c r="F331" s="32" t="str">
        <x:v>W1</x:v>
      </x:c>
      <x:c r="G331" s="32" t="str">
        <x:v>V2</x:v>
      </x:c>
      <x:c r="H331" s="32" t="str">
        <x:v>tension_soil</x:v>
      </x:c>
      <x:c r="I331" s="32" t="str">
        <x:v>862323089930716</x:v>
      </x:c>
      <x:c r="J331" s="82"/>
      <x:c r="K331" s="82" t="n">
        <x:v>-24.4</x:v>
      </x:c>
      <x:c r="L331" s="82" t="n">
        <x:v>34.4</x:v>
      </x:c>
      <x:c r="M331" s="82" t="n">
        <x:v>25.2</x:v>
      </x:c>
      <x:c r="N331" s="86" t="n">
        <x:v>978</x:v>
      </x:c>
      <x:c r="O331" s="90" t="n">
        <x:v>6.36</x:v>
      </x:c>
      <x:c r="P331" s="150" t="n">
        <x:v>3.992</x:v>
      </x:c>
      <x:c r="Q331" s="86" t="n">
        <x:v>17</x:v>
      </x:c>
      <x:c r="R331" s="32"/>
      <x:c r="S331" s="32" t="str">
        <x:v>ok</x:v>
      </x:c>
      <x:c r="T331" s="32" t="str">
        <x:v>ok</x:v>
      </x:c>
      <x:c r="U331" s="32" t="str">
        <x:v>ok</x:v>
      </x:c>
      <x:c r="V331" s="32" t="str">
        <x:v>ok</x:v>
      </x:c>
      <x:c r="W331" s="154" t="str">
        <x:v>{"schema_version":1,"imei":"862323089930716","timestamp":1786018853,"report_sequence":14,"task_version":"rice_tension_soil_demo","sensor_mode":"tension_soil","soil_moisture_percent":34.4,"soil_temperature_c":25.2,"soil_ec_us_cm":978,"soil_ph":6.36,"battery_mv":3992,"csq":17,"soil_rs485_status":"ok","cycle_status":"ok","soil_tension_kpa":-24.4,"soil_tension_rs485_status":"ok"}</x:v>
      </x:c>
    </x:row>
    <x:row r="332">
      <x:c r="A332" s="72" t="n">
        <x:v>46240.84783564815</x:v>
      </x:c>
      <x:c r="B332" s="72" t="n">
        <x:v>46240.84784953704</x:v>
      </x:c>
      <x:c r="C332" s="32" t="str">
        <x:v>P17</x:v>
      </x:c>
      <x:c r="D332" s="32" t="str">
        <x:v>B3-W2-V1</x:v>
      </x:c>
      <x:c r="E332" s="32" t="str">
        <x:v>B3</x:v>
      </x:c>
      <x:c r="F332" s="32" t="str">
        <x:v>W2</x:v>
      </x:c>
      <x:c r="G332" s="32" t="str">
        <x:v>V1</x:v>
      </x:c>
      <x:c r="H332" s="32" t="str">
        <x:v>tension_soil</x:v>
      </x:c>
      <x:c r="I332" s="32" t="str">
        <x:v>862323089930717</x:v>
      </x:c>
      <x:c r="J332" s="82"/>
      <x:c r="K332" s="82" t="n">
        <x:v>-36.8</x:v>
      </x:c>
      <x:c r="L332" s="82" t="n">
        <x:v>35.8</x:v>
      </x:c>
      <x:c r="M332" s="82" t="n">
        <x:v>25.3</x:v>
      </x:c>
      <x:c r="N332" s="86" t="n">
        <x:v>999</x:v>
      </x:c>
      <x:c r="O332" s="90" t="n">
        <x:v>6.41</x:v>
      </x:c>
      <x:c r="P332" s="150" t="n">
        <x:v>4.01</x:v>
      </x:c>
      <x:c r="Q332" s="86" t="n">
        <x:v>18</x:v>
      </x:c>
      <x:c r="R332" s="32"/>
      <x:c r="S332" s="32" t="str">
        <x:v>ok</x:v>
      </x:c>
      <x:c r="T332" s="32" t="str">
        <x:v>ok</x:v>
      </x:c>
      <x:c r="U332" s="32" t="str">
        <x:v>ok</x:v>
      </x:c>
      <x:c r="V332" s="32" t="str">
        <x:v>ok</x:v>
      </x:c>
      <x:c r="W332" s="154" t="str">
        <x:v>{"schema_version":1,"imei":"862323089930717","timestamp":1786018853,"report_sequence":14,"task_version":"rice_tension_soil_demo","sensor_mode":"tension_soil","soil_moisture_percent":35.8,"soil_temperature_c":25.3,"soil_ec_us_cm":999,"soil_ph":6.41,"battery_mv":4010,"csq":18,"soil_rs485_status":"ok","cycle_status":"ok","soil_tension_kpa":-36.8,"soil_tension_rs485_status":"ok"}</x:v>
      </x:c>
    </x:row>
    <x:row r="333">
      <x:c r="A333" s="72" t="n">
        <x:v>46240.84783564815</x:v>
      </x:c>
      <x:c r="B333" s="72" t="n">
        <x:v>46240.84784953704</x:v>
      </x:c>
      <x:c r="C333" s="32" t="str">
        <x:v>P18</x:v>
      </x:c>
      <x:c r="D333" s="32" t="str">
        <x:v>B3-W2-V2</x:v>
      </x:c>
      <x:c r="E333" s="32" t="str">
        <x:v>B3</x:v>
      </x:c>
      <x:c r="F333" s="32" t="str">
        <x:v>W2</x:v>
      </x:c>
      <x:c r="G333" s="32" t="str">
        <x:v>V2</x:v>
      </x:c>
      <x:c r="H333" s="32" t="str">
        <x:v>tension_soil</x:v>
      </x:c>
      <x:c r="I333" s="32" t="str">
        <x:v>862323089930718</x:v>
      </x:c>
      <x:c r="J333" s="82"/>
      <x:c r="K333" s="82" t="n">
        <x:v>-38.3</x:v>
      </x:c>
      <x:c r="L333" s="82" t="n">
        <x:v>37.3</x:v>
      </x:c>
      <x:c r="M333" s="82" t="n">
        <x:v>25.4</x:v>
      </x:c>
      <x:c r="N333" s="86" t="n">
        <x:v>1018</x:v>
      </x:c>
      <x:c r="O333" s="90" t="n">
        <x:v>6.47</x:v>
      </x:c>
      <x:c r="P333" s="150" t="n">
        <x:v>3.92</x:v>
      </x:c>
      <x:c r="Q333" s="86" t="n">
        <x:v>19</x:v>
      </x:c>
      <x:c r="R333" s="32"/>
      <x:c r="S333" s="32" t="str">
        <x:v>ok</x:v>
      </x:c>
      <x:c r="T333" s="32" t="str">
        <x:v>ok</x:v>
      </x:c>
      <x:c r="U333" s="32" t="str">
        <x:v>ok</x:v>
      </x:c>
      <x:c r="V333" s="32" t="str">
        <x:v>ok</x:v>
      </x:c>
      <x:c r="W333" s="154" t="str">
        <x:v>{"schema_version":1,"imei":"862323089930718","timestamp":1786018853,"report_sequence":14,"task_version":"rice_tension_soil_demo","sensor_mode":"tension_soil","soil_moisture_percent":37.3,"soil_temperature_c":25.4,"soil_ec_us_cm":1018,"soil_ph":6.47,"battery_mv":3920,"csq":19,"soil_rs485_status":"ok","cycle_status":"ok","soil_tension_kpa":-38.3,"soil_tension_rs485_status":"ok"}</x:v>
      </x:c>
    </x:row>
    <x:row r="334">
      <x:c r="A334" s="72" t="n">
        <x:v>46240.84783564815</x:v>
      </x:c>
      <x:c r="B334" s="72" t="n">
        <x:v>46240.84784953704</x:v>
      </x:c>
      <x:c r="C334" s="32" t="str">
        <x:v>P19</x:v>
      </x:c>
      <x:c r="D334" s="32" t="str">
        <x:v>B4-W0-V1</x:v>
      </x:c>
      <x:c r="E334" s="32" t="str">
        <x:v>B4</x:v>
      </x:c>
      <x:c r="F334" s="32" t="str">
        <x:v>W0</x:v>
      </x:c>
      <x:c r="G334" s="32" t="str">
        <x:v>V1</x:v>
      </x:c>
      <x:c r="H334" s="32" t="str">
        <x:v>water_soil</x:v>
      </x:c>
      <x:c r="I334" s="32" t="str">
        <x:v>862323089930719</x:v>
      </x:c>
      <x:c r="J334" s="82" t="n">
        <x:v>41</x:v>
      </x:c>
      <x:c r="K334" s="82"/>
      <x:c r="L334" s="82" t="n">
        <x:v>38.6</x:v>
      </x:c>
      <x:c r="M334" s="82" t="n">
        <x:v>25.5</x:v>
      </x:c>
      <x:c r="N334" s="86" t="n">
        <x:v>1036</x:v>
      </x:c>
      <x:c r="O334" s="90" t="n">
        <x:v>6.52</x:v>
      </x:c>
      <x:c r="P334" s="150" t="n">
        <x:v>3.938</x:v>
      </x:c>
      <x:c r="Q334" s="86" t="n">
        <x:v>20</x:v>
      </x:c>
      <x:c r="R334" s="32" t="str">
        <x:v>ok</x:v>
      </x:c>
      <x:c r="S334" s="32"/>
      <x:c r="T334" s="32" t="str">
        <x:v>ok</x:v>
      </x:c>
      <x:c r="U334" s="32" t="str">
        <x:v>ok</x:v>
      </x:c>
      <x:c r="V334" s="32" t="str">
        <x:v>ok</x:v>
      </x:c>
      <x:c r="W334" s="154" t="str">
        <x:v>{"schema_version":1,"imei":"862323089930719","timestamp":1786018853,"report_sequence":14,"task_version":"rice_w0_water_soil_demo","sensor_mode":"water_soil","soil_moisture_percent":38.6,"soil_temperature_c":25.5,"soil_ec_us_cm":1036,"soil_ph":6.52,"battery_mv":3938,"csq":20,"soil_rs485_status":"ok","cycle_status":"ok","water_level_mm":41,"water_4_20ma_status":"ok"}</x:v>
      </x:c>
    </x:row>
    <x:row r="335">
      <x:c r="A335" s="72" t="n">
        <x:v>46240.84783564815</x:v>
      </x:c>
      <x:c r="B335" s="72" t="n">
        <x:v>46240.84784953704</x:v>
      </x:c>
      <x:c r="C335" s="32" t="str">
        <x:v>P20</x:v>
      </x:c>
      <x:c r="D335" s="32" t="str">
        <x:v>B4-W0-V2</x:v>
      </x:c>
      <x:c r="E335" s="32" t="str">
        <x:v>B4</x:v>
      </x:c>
      <x:c r="F335" s="32" t="str">
        <x:v>W0</x:v>
      </x:c>
      <x:c r="G335" s="32" t="str">
        <x:v>V2</x:v>
      </x:c>
      <x:c r="H335" s="32" t="str">
        <x:v>water_soil</x:v>
      </x:c>
      <x:c r="I335" s="32" t="str">
        <x:v>862323089930720</x:v>
      </x:c>
      <x:c r="J335" s="82" t="n">
        <x:v>32.6</x:v>
      </x:c>
      <x:c r="K335" s="82"/>
      <x:c r="L335" s="82" t="n">
        <x:v>39.9</x:v>
      </x:c>
      <x:c r="M335" s="82" t="n">
        <x:v>25.6</x:v>
      </x:c>
      <x:c r="N335" s="86" t="n">
        <x:v>1052</x:v>
      </x:c>
      <x:c r="O335" s="90" t="n">
        <x:v>6.33</x:v>
      </x:c>
      <x:c r="P335" s="150" t="n">
        <x:v>3.956</x:v>
      </x:c>
      <x:c r="Q335" s="86" t="n">
        <x:v>21</x:v>
      </x:c>
      <x:c r="R335" s="32" t="str">
        <x:v>ok</x:v>
      </x:c>
      <x:c r="S335" s="32"/>
      <x:c r="T335" s="32" t="str">
        <x:v>ok</x:v>
      </x:c>
      <x:c r="U335" s="32" t="str">
        <x:v>ok</x:v>
      </x:c>
      <x:c r="V335" s="32" t="str">
        <x:v>ok</x:v>
      </x:c>
      <x:c r="W335" s="154" t="str">
        <x:v>{"schema_version":1,"imei":"862323089930720","timestamp":1786018853,"report_sequence":14,"task_version":"rice_w0_water_soil_demo","sensor_mode":"water_soil","soil_moisture_percent":39.9,"soil_temperature_c":25.6,"soil_ec_us_cm":1052,"soil_ph":6.33,"battery_mv":3956,"csq":21,"soil_rs485_status":"ok","cycle_status":"ok","water_level_mm":32.6,"water_4_20ma_status":"ok"}</x:v>
      </x:c>
    </x:row>
    <x:row r="336">
      <x:c r="A336" s="72" t="n">
        <x:v>46240.84783564815</x:v>
      </x:c>
      <x:c r="B336" s="72" t="n">
        <x:v>46240.84784953704</x:v>
      </x:c>
      <x:c r="C336" s="32" t="str">
        <x:v>P21</x:v>
      </x:c>
      <x:c r="D336" s="32" t="str">
        <x:v>B4-W1-V1</x:v>
      </x:c>
      <x:c r="E336" s="32" t="str">
        <x:v>B4</x:v>
      </x:c>
      <x:c r="F336" s="32" t="str">
        <x:v>W1</x:v>
      </x:c>
      <x:c r="G336" s="32" t="str">
        <x:v>V1</x:v>
      </x:c>
      <x:c r="H336" s="32" t="str">
        <x:v>tension_soil</x:v>
      </x:c>
      <x:c r="I336" s="32" t="str">
        <x:v>862323089930721</x:v>
      </x:c>
      <x:c r="J336" s="82"/>
      <x:c r="K336" s="82" t="n">
        <x:v>-26</x:v>
      </x:c>
      <x:c r="L336" s="82" t="n">
        <x:v>41</x:v>
      </x:c>
      <x:c r="M336" s="82" t="n">
        <x:v>25.6</x:v>
      </x:c>
      <x:c r="N336" s="86" t="n">
        <x:v>1067</x:v>
      </x:c>
      <x:c r="O336" s="90" t="n">
        <x:v>6.38</x:v>
      </x:c>
      <x:c r="P336" s="150" t="n">
        <x:v>3.974</x:v>
      </x:c>
      <x:c r="Q336" s="86" t="n">
        <x:v>22</x:v>
      </x:c>
      <x:c r="R336" s="32"/>
      <x:c r="S336" s="32" t="str">
        <x:v>ok</x:v>
      </x:c>
      <x:c r="T336" s="32" t="str">
        <x:v>ok</x:v>
      </x:c>
      <x:c r="U336" s="32" t="str">
        <x:v>ok</x:v>
      </x:c>
      <x:c r="V336" s="32" t="str">
        <x:v>ok</x:v>
      </x:c>
      <x:c r="W336" s="154" t="str">
        <x:v>{"schema_version":1,"imei":"862323089930721","timestamp":1786018853,"report_sequence":14,"task_version":"rice_tension_soil_demo","sensor_mode":"tension_soil","soil_moisture_percent":41,"soil_temperature_c":25.6,"soil_ec_us_cm":1067,"soil_ph":6.38,"battery_mv":3974,"csq":22,"soil_rs485_status":"ok","cycle_status":"ok","soil_tension_kpa":-26,"soil_tension_rs485_status":"ok"}</x:v>
      </x:c>
    </x:row>
    <x:row r="337">
      <x:c r="A337" s="72" t="n">
        <x:v>46240.84783564815</x:v>
      </x:c>
      <x:c r="B337" s="72" t="n">
        <x:v>46240.84784953704</x:v>
      </x:c>
      <x:c r="C337" s="32" t="str">
        <x:v>P22</x:v>
      </x:c>
      <x:c r="D337" s="32" t="str">
        <x:v>B4-W1-V2</x:v>
      </x:c>
      <x:c r="E337" s="32" t="str">
        <x:v>B4</x:v>
      </x:c>
      <x:c r="F337" s="32" t="str">
        <x:v>W1</x:v>
      </x:c>
      <x:c r="G337" s="32" t="str">
        <x:v>V2</x:v>
      </x:c>
      <x:c r="H337" s="32" t="str">
        <x:v>tension_soil</x:v>
      </x:c>
      <x:c r="I337" s="32" t="str">
        <x:v>862323089930722</x:v>
      </x:c>
      <x:c r="J337" s="82"/>
      <x:c r="K337" s="82" t="n">
        <x:v>-27</x:v>
      </x:c>
      <x:c r="L337" s="82" t="n">
        <x:v>42</x:v>
      </x:c>
      <x:c r="M337" s="82" t="n">
        <x:v>25.6</x:v>
      </x:c>
      <x:c r="N337" s="86" t="n">
        <x:v>1079</x:v>
      </x:c>
      <x:c r="O337" s="90" t="n">
        <x:v>6.43</x:v>
      </x:c>
      <x:c r="P337" s="150" t="n">
        <x:v>3.992</x:v>
      </x:c>
      <x:c r="Q337" s="86" t="n">
        <x:v>23</x:v>
      </x:c>
      <x:c r="R337" s="32"/>
      <x:c r="S337" s="32" t="str">
        <x:v>ok</x:v>
      </x:c>
      <x:c r="T337" s="32" t="str">
        <x:v>ok</x:v>
      </x:c>
      <x:c r="U337" s="32" t="str">
        <x:v>ok</x:v>
      </x:c>
      <x:c r="V337" s="32" t="str">
        <x:v>ok</x:v>
      </x:c>
      <x:c r="W337" s="154" t="str">
        <x:v>{"schema_version":1,"imei":"862323089930722","timestamp":1786018853,"report_sequence":14,"task_version":"rice_tension_soil_demo","sensor_mode":"tension_soil","soil_moisture_percent":42,"soil_temperature_c":25.6,"soil_ec_us_cm":1079,"soil_ph":6.43,"battery_mv":3992,"csq":23,"soil_rs485_status":"ok","cycle_status":"ok","soil_tension_kpa":-27,"soil_tension_rs485_status":"ok"}</x:v>
      </x:c>
    </x:row>
    <x:row r="338">
      <x:c r="A338" s="72" t="n">
        <x:v>46240.84783564815</x:v>
      </x:c>
      <x:c r="B338" s="72" t="n">
        <x:v>46240.84784953704</x:v>
      </x:c>
      <x:c r="C338" s="32" t="str">
        <x:v>P23</x:v>
      </x:c>
      <x:c r="D338" s="32" t="str">
        <x:v>B4-W2-V1</x:v>
      </x:c>
      <x:c r="E338" s="32" t="str">
        <x:v>B4</x:v>
      </x:c>
      <x:c r="F338" s="32" t="str">
        <x:v>W2</x:v>
      </x:c>
      <x:c r="G338" s="32" t="str">
        <x:v>V1</x:v>
      </x:c>
      <x:c r="H338" s="32" t="str">
        <x:v>tension_soil</x:v>
      </x:c>
      <x:c r="I338" s="32" t="str">
        <x:v>862323089930723</x:v>
      </x:c>
      <x:c r="J338" s="82"/>
      <x:c r="K338" s="82" t="n">
        <x:v>-38.9</x:v>
      </x:c>
      <x:c r="L338" s="82" t="n">
        <x:v>42.9</x:v>
      </x:c>
      <x:c r="M338" s="82" t="n">
        <x:v>25.6</x:v>
      </x:c>
      <x:c r="N338" s="86" t="n">
        <x:v>1089</x:v>
      </x:c>
      <x:c r="O338" s="90" t="n">
        <x:v>6.48</x:v>
      </x:c>
      <x:c r="P338" s="150" t="n">
        <x:v>4.01</x:v>
      </x:c>
      <x:c r="Q338" s="86" t="n">
        <x:v>24</x:v>
      </x:c>
      <x:c r="R338" s="32"/>
      <x:c r="S338" s="32" t="str">
        <x:v>ok</x:v>
      </x:c>
      <x:c r="T338" s="32" t="str">
        <x:v>ok</x:v>
      </x:c>
      <x:c r="U338" s="32" t="str">
        <x:v>ok</x:v>
      </x:c>
      <x:c r="V338" s="32" t="str">
        <x:v>ok</x:v>
      </x:c>
      <x:c r="W338" s="154" t="str">
        <x:v>{"schema_version":1,"imei":"862323089930723","timestamp":1786018853,"report_sequence":14,"task_version":"rice_tension_soil_demo","sensor_mode":"tension_soil","soil_moisture_percent":42.9,"soil_temperature_c":25.6,"soil_ec_us_cm":1089,"soil_ph":6.48,"battery_mv":4010,"csq":24,"soil_rs485_status":"ok","cycle_status":"ok","soil_tension_kpa":-38.9,"soil_tension_rs485_status":"ok"}</x:v>
      </x:c>
    </x:row>
    <x:row r="339">
      <x:c r="A339" s="72" t="n">
        <x:v>46240.84783564815</x:v>
      </x:c>
      <x:c r="B339" s="72" t="n">
        <x:v>46240.84784953704</x:v>
      </x:c>
      <x:c r="C339" s="32" t="str">
        <x:v>P24</x:v>
      </x:c>
      <x:c r="D339" s="32" t="str">
        <x:v>B4-W2-V2</x:v>
      </x:c>
      <x:c r="E339" s="32" t="str">
        <x:v>B4</x:v>
      </x:c>
      <x:c r="F339" s="32" t="str">
        <x:v>W2</x:v>
      </x:c>
      <x:c r="G339" s="32" t="str">
        <x:v>V2</x:v>
      </x:c>
      <x:c r="H339" s="32" t="str">
        <x:v>tension_soil</x:v>
      </x:c>
      <x:c r="I339" s="32" t="str">
        <x:v>862323089930724</x:v>
      </x:c>
      <x:c r="J339" s="82"/>
      <x:c r="K339" s="82" t="n">
        <x:v>-39.6</x:v>
      </x:c>
      <x:c r="L339" s="82" t="n">
        <x:v>35.6</x:v>
      </x:c>
      <x:c r="M339" s="82" t="n">
        <x:v>25.5</x:v>
      </x:c>
      <x:c r="N339" s="86" t="n">
        <x:v>1097</x:v>
      </x:c>
      <x:c r="O339" s="90" t="n">
        <x:v>6.52</x:v>
      </x:c>
      <x:c r="P339" s="150" t="n">
        <x:v>3.92</x:v>
      </x:c>
      <x:c r="Q339" s="86" t="n">
        <x:v>17</x:v>
      </x:c>
      <x:c r="R339" s="32"/>
      <x:c r="S339" s="32" t="str">
        <x:v>ok</x:v>
      </x:c>
      <x:c r="T339" s="32" t="str">
        <x:v>ok</x:v>
      </x:c>
      <x:c r="U339" s="32" t="str">
        <x:v>ok</x:v>
      </x:c>
      <x:c r="V339" s="32" t="str">
        <x:v>ok</x:v>
      </x:c>
      <x:c r="W339" s="154" t="str">
        <x:v>{"schema_version":1,"imei":"862323089930724","timestamp":1786018853,"report_sequence":14,"task_version":"rice_tension_soil_demo","sensor_mode":"tension_soil","soil_moisture_percent":35.6,"soil_temperature_c":25.5,"soil_ec_us_cm":1097,"soil_ph":6.52,"battery_mv":3920,"csq":17,"soil_rs485_status":"ok","cycle_status":"ok","soil_tension_kpa":-39.6,"soil_tension_rs485_status":"ok"}</x:v>
      </x:c>
    </x:row>
    <x:row r="340">
      <x:c r="A340" s="72" t="n">
        <x:v>46240.85130787037</x:v>
      </x:c>
      <x:c r="B340" s="72" t="n">
        <x:v>46240.85132175926</x:v>
      </x:c>
      <x:c r="C340" s="32" t="str">
        <x:v>P01</x:v>
      </x:c>
      <x:c r="D340" s="32" t="str">
        <x:v>B1-W0-V1</x:v>
      </x:c>
      <x:c r="E340" s="32" t="str">
        <x:v>B1</x:v>
      </x:c>
      <x:c r="F340" s="32" t="str">
        <x:v>W0</x:v>
      </x:c>
      <x:c r="G340" s="32" t="str">
        <x:v>V1</x:v>
      </x:c>
      <x:c r="H340" s="32" t="str">
        <x:v>water_soil</x:v>
      </x:c>
      <x:c r="I340" s="32" t="str">
        <x:v>862323089930701</x:v>
      </x:c>
      <x:c r="J340" s="82" t="n">
        <x:v>34.1</x:v>
      </x:c>
      <x:c r="K340" s="82"/>
      <x:c r="L340" s="82" t="n">
        <x:v>36.2</x:v>
      </x:c>
      <x:c r="M340" s="82" t="n">
        <x:v>25.4</x:v>
      </x:c>
      <x:c r="N340" s="86" t="n">
        <x:v>814</x:v>
      </x:c>
      <x:c r="O340" s="90" t="n">
        <x:v>6.37</x:v>
      </x:c>
      <x:c r="P340" s="150" t="n">
        <x:v>3.938</x:v>
      </x:c>
      <x:c r="Q340" s="86" t="n">
        <x:v>18</x:v>
      </x:c>
      <x:c r="R340" s="32" t="str">
        <x:v>ok</x:v>
      </x:c>
      <x:c r="S340" s="32"/>
      <x:c r="T340" s="32" t="str">
        <x:v>ok</x:v>
      </x:c>
      <x:c r="U340" s="32" t="str">
        <x:v>ok</x:v>
      </x:c>
      <x:c r="V340" s="32" t="str">
        <x:v>ok</x:v>
      </x:c>
      <x:c r="W340" s="154" t="str">
        <x:v>{"schema_version":1,"imei":"862323089930701","timestamp":1786019153,"report_sequence":15,"task_version":"rice_w0_water_soil_demo","sensor_mode":"water_soil","soil_moisture_percent":36.2,"soil_temperature_c":25.4,"soil_ec_us_cm":814,"soil_ph":6.37,"battery_mv":3938,"csq":18,"soil_rs485_status":"ok","cycle_status":"ok","water_level_mm":34.1,"water_4_20ma_status":"ok"}</x:v>
      </x:c>
    </x:row>
    <x:row r="341">
      <x:c r="A341" s="72" t="n">
        <x:v>46240.85130787037</x:v>
      </x:c>
      <x:c r="B341" s="72" t="n">
        <x:v>46240.85132175926</x:v>
      </x:c>
      <x:c r="C341" s="32" t="str">
        <x:v>P02</x:v>
      </x:c>
      <x:c r="D341" s="32" t="str">
        <x:v>B1-W0-V2</x:v>
      </x:c>
      <x:c r="E341" s="32" t="str">
        <x:v>B1</x:v>
      </x:c>
      <x:c r="F341" s="32" t="str">
        <x:v>W0</x:v>
      </x:c>
      <x:c r="G341" s="32" t="str">
        <x:v>V2</x:v>
      </x:c>
      <x:c r="H341" s="32" t="str">
        <x:v>water_soil</x:v>
      </x:c>
      <x:c r="I341" s="32" t="str">
        <x:v>862323089930702</x:v>
      </x:c>
      <x:c r="J341" s="82" t="n">
        <x:v>36.1</x:v>
      </x:c>
      <x:c r="K341" s="82"/>
      <x:c r="L341" s="82" t="n">
        <x:v>36.8</x:v>
      </x:c>
      <x:c r="M341" s="82" t="n">
        <x:v>25.3</x:v>
      </x:c>
      <x:c r="N341" s="86" t="n">
        <x:v>818</x:v>
      </x:c>
      <x:c r="O341" s="90" t="n">
        <x:v>6.41</x:v>
      </x:c>
      <x:c r="P341" s="150" t="n">
        <x:v>3.956</x:v>
      </x:c>
      <x:c r="Q341" s="86" t="n">
        <x:v>19</x:v>
      </x:c>
      <x:c r="R341" s="32" t="str">
        <x:v>ok</x:v>
      </x:c>
      <x:c r="S341" s="32"/>
      <x:c r="T341" s="32" t="str">
        <x:v>ok</x:v>
      </x:c>
      <x:c r="U341" s="32" t="str">
        <x:v>ok</x:v>
      </x:c>
      <x:c r="V341" s="32" t="str">
        <x:v>ok</x:v>
      </x:c>
      <x:c r="W341" s="154" t="str">
        <x:v>{"schema_version":1,"imei":"862323089930702","timestamp":1786019153,"report_sequence":15,"task_version":"rice_w0_water_soil_demo","sensor_mode":"water_soil","soil_moisture_percent":36.8,"soil_temperature_c":25.3,"soil_ec_us_cm":818,"soil_ph":6.41,"battery_mv":3956,"csq":19,"soil_rs485_status":"ok","cycle_status":"ok","water_level_mm":36.1,"water_4_20ma_status":"ok"}</x:v>
      </x:c>
    </x:row>
    <x:row r="342">
      <x:c r="A342" s="72" t="n">
        <x:v>46240.85130787037</x:v>
      </x:c>
      <x:c r="B342" s="72" t="n">
        <x:v>46240.85132175926</x:v>
      </x:c>
      <x:c r="C342" s="32" t="str">
        <x:v>P03</x:v>
      </x:c>
      <x:c r="D342" s="32" t="str">
        <x:v>B1-W1-V1</x:v>
      </x:c>
      <x:c r="E342" s="32" t="str">
        <x:v>B1</x:v>
      </x:c>
      <x:c r="F342" s="32" t="str">
        <x:v>W1</x:v>
      </x:c>
      <x:c r="G342" s="32" t="str">
        <x:v>V1</x:v>
      </x:c>
      <x:c r="H342" s="32" t="str">
        <x:v>tension_soil</x:v>
      </x:c>
      <x:c r="I342" s="32" t="str">
        <x:v>862323089930703</x:v>
      </x:c>
      <x:c r="J342" s="82"/>
      <x:c r="K342" s="82" t="n">
        <x:v>-26.3</x:v>
      </x:c>
      <x:c r="L342" s="82" t="n">
        <x:v>37.3</x:v>
      </x:c>
      <x:c r="M342" s="82" t="n">
        <x:v>25.2</x:v>
      </x:c>
      <x:c r="N342" s="86" t="n">
        <x:v>822</x:v>
      </x:c>
      <x:c r="O342" s="90" t="n">
        <x:v>6.46</x:v>
      </x:c>
      <x:c r="P342" s="150" t="n">
        <x:v>3.974</x:v>
      </x:c>
      <x:c r="Q342" s="86" t="n">
        <x:v>20</x:v>
      </x:c>
      <x:c r="R342" s="32"/>
      <x:c r="S342" s="32" t="str">
        <x:v>ok</x:v>
      </x:c>
      <x:c r="T342" s="32" t="str">
        <x:v>ok</x:v>
      </x:c>
      <x:c r="U342" s="32" t="str">
        <x:v>ok</x:v>
      </x:c>
      <x:c r="V342" s="32" t="str">
        <x:v>ok</x:v>
      </x:c>
      <x:c r="W342" s="154" t="str">
        <x:v>{"schema_version":1,"imei":"862323089930703","timestamp":1786019153,"report_sequence":15,"task_version":"rice_tension_soil_demo","sensor_mode":"tension_soil","soil_moisture_percent":37.3,"soil_temperature_c":25.2,"soil_ec_us_cm":822,"soil_ph":6.46,"battery_mv":3974,"csq":20,"soil_rs485_status":"ok","cycle_status":"ok","soil_tension_kpa":-26.3,"soil_tension_rs485_status":"ok"}</x:v>
      </x:c>
    </x:row>
    <x:row r="343">
      <x:c r="A343" s="72" t="n">
        <x:v>46240.85130787037</x:v>
      </x:c>
      <x:c r="B343" s="72" t="n">
        <x:v>46240.85132175926</x:v>
      </x:c>
      <x:c r="C343" s="32" t="str">
        <x:v>P04</x:v>
      </x:c>
      <x:c r="D343" s="32" t="str">
        <x:v>B1-W1-V2</x:v>
      </x:c>
      <x:c r="E343" s="32" t="str">
        <x:v>B1</x:v>
      </x:c>
      <x:c r="F343" s="32" t="str">
        <x:v>W1</x:v>
      </x:c>
      <x:c r="G343" s="32" t="str">
        <x:v>V2</x:v>
      </x:c>
      <x:c r="H343" s="32" t="str">
        <x:v>tension_soil</x:v>
      </x:c>
      <x:c r="I343" s="32" t="str">
        <x:v>862323089930704</x:v>
      </x:c>
      <x:c r="J343" s="82"/>
      <x:c r="K343" s="82" t="n">
        <x:v>-26.8</x:v>
      </x:c>
      <x:c r="L343" s="82" t="n">
        <x:v>37.8</x:v>
      </x:c>
      <x:c r="M343" s="82" t="n">
        <x:v>25.1</x:v>
      </x:c>
      <x:c r="N343" s="86" t="n">
        <x:v>825</x:v>
      </x:c>
      <x:c r="O343" s="90" t="n">
        <x:v>6.5</x:v>
      </x:c>
      <x:c r="P343" s="150" t="n">
        <x:v>3.992</x:v>
      </x:c>
      <x:c r="Q343" s="86" t="n">
        <x:v>21</x:v>
      </x:c>
      <x:c r="R343" s="32"/>
      <x:c r="S343" s="32" t="str">
        <x:v>ok</x:v>
      </x:c>
      <x:c r="T343" s="32" t="str">
        <x:v>ok</x:v>
      </x:c>
      <x:c r="U343" s="32" t="str">
        <x:v>ok</x:v>
      </x:c>
      <x:c r="V343" s="32" t="str">
        <x:v>ok</x:v>
      </x:c>
      <x:c r="W343" s="154" t="str">
        <x:v>{"schema_version":1,"imei":"862323089930704","timestamp":1786019153,"report_sequence":15,"task_version":"rice_tension_soil_demo","sensor_mode":"tension_soil","soil_moisture_percent":37.8,"soil_temperature_c":25.1,"soil_ec_us_cm":825,"soil_ph":6.5,"battery_mv":3992,"csq":21,"soil_rs485_status":"ok","cycle_status":"ok","soil_tension_kpa":-26.8,"soil_tension_rs485_status":"ok"}</x:v>
      </x:c>
    </x:row>
    <x:row r="344">
      <x:c r="A344" s="72" t="n">
        <x:v>46240.85130787037</x:v>
      </x:c>
      <x:c r="B344" s="72" t="n">
        <x:v>46240.85132175926</x:v>
      </x:c>
      <x:c r="C344" s="32" t="str">
        <x:v>P05</x:v>
      </x:c>
      <x:c r="D344" s="32" t="str">
        <x:v>B1-W2-V1</x:v>
      </x:c>
      <x:c r="E344" s="32" t="str">
        <x:v>B1</x:v>
      </x:c>
      <x:c r="F344" s="32" t="str">
        <x:v>W2</x:v>
      </x:c>
      <x:c r="G344" s="32" t="str">
        <x:v>V1</x:v>
      </x:c>
      <x:c r="H344" s="32" t="str">
        <x:v>tension_soil</x:v>
      </x:c>
      <x:c r="I344" s="32" t="str">
        <x:v>862323089930705</x:v>
      </x:c>
      <x:c r="J344" s="82"/>
      <x:c r="K344" s="82" t="n">
        <x:v>-33.4</x:v>
      </x:c>
      <x:c r="L344" s="82" t="n">
        <x:v>38.4</x:v>
      </x:c>
      <x:c r="M344" s="82" t="n">
        <x:v>24.9</x:v>
      </x:c>
      <x:c r="N344" s="86" t="n">
        <x:v>829</x:v>
      </x:c>
      <x:c r="O344" s="90" t="n">
        <x:v>6.29</x:v>
      </x:c>
      <x:c r="P344" s="150" t="n">
        <x:v>4.01</x:v>
      </x:c>
      <x:c r="Q344" s="86" t="n">
        <x:v>22</x:v>
      </x:c>
      <x:c r="R344" s="32"/>
      <x:c r="S344" s="32" t="str">
        <x:v>ok</x:v>
      </x:c>
      <x:c r="T344" s="32" t="str">
        <x:v>ok</x:v>
      </x:c>
      <x:c r="U344" s="32" t="str">
        <x:v>ok</x:v>
      </x:c>
      <x:c r="V344" s="32" t="str">
        <x:v>ok</x:v>
      </x:c>
      <x:c r="W344" s="154" t="str">
        <x:v>{"schema_version":1,"imei":"862323089930705","timestamp":1786019153,"report_sequence":15,"task_version":"rice_tension_soil_demo","sensor_mode":"tension_soil","soil_moisture_percent":38.4,"soil_temperature_c":24.9,"soil_ec_us_cm":829,"soil_ph":6.29,"battery_mv":4010,"csq":22,"soil_rs485_status":"ok","cycle_status":"ok","soil_tension_kpa":-33.4,"soil_tension_rs485_status":"ok"}</x:v>
      </x:c>
    </x:row>
    <x:row r="345">
      <x:c r="A345" s="72" t="n">
        <x:v>46240.85130787037</x:v>
      </x:c>
      <x:c r="B345" s="72" t="n">
        <x:v>46240.85132175926</x:v>
      </x:c>
      <x:c r="C345" s="32" t="str">
        <x:v>P06</x:v>
      </x:c>
      <x:c r="D345" s="32" t="str">
        <x:v>B1-W2-V2</x:v>
      </x:c>
      <x:c r="E345" s="32" t="str">
        <x:v>B1</x:v>
      </x:c>
      <x:c r="F345" s="32" t="str">
        <x:v>W2</x:v>
      </x:c>
      <x:c r="G345" s="32" t="str">
        <x:v>V2</x:v>
      </x:c>
      <x:c r="H345" s="32" t="str">
        <x:v>tension_soil</x:v>
      </x:c>
      <x:c r="I345" s="32" t="str">
        <x:v>862323089930706</x:v>
      </x:c>
      <x:c r="J345" s="82"/>
      <x:c r="K345" s="82" t="n">
        <x:v>-33.9</x:v>
      </x:c>
      <x:c r="L345" s="82" t="n">
        <x:v>38.9</x:v>
      </x:c>
      <x:c r="M345" s="82" t="n">
        <x:v>24.8</x:v>
      </x:c>
      <x:c r="N345" s="86" t="n">
        <x:v>833</x:v>
      </x:c>
      <x:c r="O345" s="90" t="n">
        <x:v>6.33</x:v>
      </x:c>
      <x:c r="P345" s="150" t="n">
        <x:v>3.92</x:v>
      </x:c>
      <x:c r="Q345" s="86" t="n">
        <x:v>23</x:v>
      </x:c>
      <x:c r="R345" s="32"/>
      <x:c r="S345" s="32" t="str">
        <x:v>ok</x:v>
      </x:c>
      <x:c r="T345" s="32" t="str">
        <x:v>ok</x:v>
      </x:c>
      <x:c r="U345" s="32" t="str">
        <x:v>ok</x:v>
      </x:c>
      <x:c r="V345" s="32" t="str">
        <x:v>ok</x:v>
      </x:c>
      <x:c r="W345" s="154" t="str">
        <x:v>{"schema_version":1,"imei":"862323089930706","timestamp":1786019153,"report_sequence":15,"task_version":"rice_tension_soil_demo","sensor_mode":"tension_soil","soil_moisture_percent":38.9,"soil_temperature_c":24.8,"soil_ec_us_cm":833,"soil_ph":6.33,"battery_mv":3920,"csq":23,"soil_rs485_status":"ok","cycle_status":"ok","soil_tension_kpa":-33.9,"soil_tension_rs485_status":"ok"}</x:v>
      </x:c>
    </x:row>
    <x:row r="346">
      <x:c r="A346" s="72" t="n">
        <x:v>46240.85130787037</x:v>
      </x:c>
      <x:c r="B346" s="72" t="n">
        <x:v>46240.85132175926</x:v>
      </x:c>
      <x:c r="C346" s="32" t="str">
        <x:v>P07</x:v>
      </x:c>
      <x:c r="D346" s="32" t="str">
        <x:v>B2-W0-V1</x:v>
      </x:c>
      <x:c r="E346" s="32" t="str">
        <x:v>B2</x:v>
      </x:c>
      <x:c r="F346" s="32" t="str">
        <x:v>W0</x:v>
      </x:c>
      <x:c r="G346" s="32" t="str">
        <x:v>V1</x:v>
      </x:c>
      <x:c r="H346" s="32" t="str">
        <x:v>water_soil</x:v>
      </x:c>
      <x:c r="I346" s="32" t="str">
        <x:v>862323089930707</x:v>
      </x:c>
      <x:c r="J346" s="82" t="n">
        <x:v>33.3</x:v>
      </x:c>
      <x:c r="K346" s="82"/>
      <x:c r="L346" s="82" t="n">
        <x:v>39.5</x:v>
      </x:c>
      <x:c r="M346" s="82" t="n">
        <x:v>24.7</x:v>
      </x:c>
      <x:c r="N346" s="86" t="n">
        <x:v>838</x:v>
      </x:c>
      <x:c r="O346" s="90" t="n">
        <x:v>6.38</x:v>
      </x:c>
      <x:c r="P346" s="150" t="n">
        <x:v>3.938</x:v>
      </x:c>
      <x:c r="Q346" s="86" t="n">
        <x:v>24</x:v>
      </x:c>
      <x:c r="R346" s="32" t="str">
        <x:v>ok</x:v>
      </x:c>
      <x:c r="S346" s="32"/>
      <x:c r="T346" s="32" t="str">
        <x:v>ok</x:v>
      </x:c>
      <x:c r="U346" s="32" t="str">
        <x:v>ok</x:v>
      </x:c>
      <x:c r="V346" s="32" t="str">
        <x:v>ok</x:v>
      </x:c>
      <x:c r="W346" s="154" t="str">
        <x:v>{"schema_version":1,"imei":"862323089930707","timestamp":1786019153,"report_sequence":15,"task_version":"rice_w0_water_soil_demo","sensor_mode":"water_soil","soil_moisture_percent":39.5,"soil_temperature_c":24.7,"soil_ec_us_cm":838,"soil_ph":6.38,"battery_mv":3938,"csq":24,"soil_rs485_status":"ok","cycle_status":"ok","water_level_mm":33.3,"water_4_20ma_status":"ok"}</x:v>
      </x:c>
    </x:row>
    <x:row r="347">
      <x:c r="A347" s="72" t="n">
        <x:v>46240.85130787037</x:v>
      </x:c>
      <x:c r="B347" s="72" t="n">
        <x:v>46240.85132175926</x:v>
      </x:c>
      <x:c r="C347" s="32" t="str">
        <x:v>P08</x:v>
      </x:c>
      <x:c r="D347" s="32" t="str">
        <x:v>B2-W0-V2</x:v>
      </x:c>
      <x:c r="E347" s="32" t="str">
        <x:v>B2</x:v>
      </x:c>
      <x:c r="F347" s="32" t="str">
        <x:v>W0</x:v>
      </x:c>
      <x:c r="G347" s="32" t="str">
        <x:v>V2</x:v>
      </x:c>
      <x:c r="H347" s="32" t="str">
        <x:v>water_soil</x:v>
      </x:c>
      <x:c r="I347" s="32" t="str">
        <x:v>862323089930708</x:v>
      </x:c>
      <x:c r="J347" s="82" t="n">
        <x:v>23.6</x:v>
      </x:c>
      <x:c r="K347" s="82"/>
      <x:c r="L347" s="82" t="n">
        <x:v>32.2</x:v>
      </x:c>
      <x:c r="M347" s="82" t="n">
        <x:v>24.7</x:v>
      </x:c>
      <x:c r="N347" s="86" t="n">
        <x:v>845</x:v>
      </x:c>
      <x:c r="O347" s="90" t="n">
        <x:v>6.42</x:v>
      </x:c>
      <x:c r="P347" s="150" t="n">
        <x:v>3.956</x:v>
      </x:c>
      <x:c r="Q347" s="86" t="n">
        <x:v>17</x:v>
      </x:c>
      <x:c r="R347" s="32" t="str">
        <x:v>ok</x:v>
      </x:c>
      <x:c r="S347" s="32"/>
      <x:c r="T347" s="32" t="str">
        <x:v>ok</x:v>
      </x:c>
      <x:c r="U347" s="32" t="str">
        <x:v>ok</x:v>
      </x:c>
      <x:c r="V347" s="32" t="str">
        <x:v>ok</x:v>
      </x:c>
      <x:c r="W347" s="154" t="str">
        <x:v>{"schema_version":1,"imei":"862323089930708","timestamp":1786019153,"report_sequence":15,"task_version":"rice_w0_water_soil_demo","sensor_mode":"water_soil","soil_moisture_percent":32.2,"soil_temperature_c":24.7,"soil_ec_us_cm":845,"soil_ph":6.42,"battery_mv":3956,"csq":17,"soil_rs485_status":"ok","cycle_status":"ok","water_level_mm":23.6,"water_4_20ma_status":"ok"}</x:v>
      </x:c>
    </x:row>
    <x:row r="348">
      <x:c r="A348" s="72" t="n">
        <x:v>46240.85130787037</x:v>
      </x:c>
      <x:c r="B348" s="72" t="n">
        <x:v>46240.85132175926</x:v>
      </x:c>
      <x:c r="C348" s="32" t="str">
        <x:v>P09</x:v>
      </x:c>
      <x:c r="D348" s="32" t="str">
        <x:v>B2-W1-V1</x:v>
      </x:c>
      <x:c r="E348" s="32" t="str">
        <x:v>B2</x:v>
      </x:c>
      <x:c r="F348" s="32" t="str">
        <x:v>W1</x:v>
      </x:c>
      <x:c r="G348" s="32" t="str">
        <x:v>V1</x:v>
      </x:c>
      <x:c r="H348" s="32" t="str">
        <x:v>tension_soil</x:v>
      </x:c>
      <x:c r="I348" s="32" t="str">
        <x:v>862323089930709</x:v>
      </x:c>
      <x:c r="J348" s="82"/>
      <x:c r="K348" s="82" t="n">
        <x:v>-25.1</x:v>
      </x:c>
      <x:c r="L348" s="82" t="n">
        <x:v>33.1</x:v>
      </x:c>
      <x:c r="M348" s="82" t="n">
        <x:v>24.6</x:v>
      </x:c>
      <x:c r="N348" s="86" t="n">
        <x:v>854</x:v>
      </x:c>
      <x:c r="O348" s="90" t="n">
        <x:v>6.47</x:v>
      </x:c>
      <x:c r="P348" s="150" t="n">
        <x:v>3.974</x:v>
      </x:c>
      <x:c r="Q348" s="86" t="n">
        <x:v>18</x:v>
      </x:c>
      <x:c r="R348" s="32"/>
      <x:c r="S348" s="32" t="str">
        <x:v>ok</x:v>
      </x:c>
      <x:c r="T348" s="32" t="str">
        <x:v>ok</x:v>
      </x:c>
      <x:c r="U348" s="32" t="str">
        <x:v>ok</x:v>
      </x:c>
      <x:c r="V348" s="32" t="str">
        <x:v>ok</x:v>
      </x:c>
      <x:c r="W348" s="154" t="str">
        <x:v>{"schema_version":1,"imei":"862323089930709","timestamp":1786019153,"report_sequence":15,"task_version":"rice_tension_soil_demo","sensor_mode":"tension_soil","soil_moisture_percent":33.1,"soil_temperature_c":24.6,"soil_ec_us_cm":854,"soil_ph":6.47,"battery_mv":3974,"csq":18,"soil_rs485_status":"ok","cycle_status":"ok","soil_tension_kpa":-25.1,"soil_tension_rs485_status":"ok"}</x:v>
      </x:c>
    </x:row>
    <x:row r="349">
      <x:c r="A349" s="72" t="n">
        <x:v>46240.85130787037</x:v>
      </x:c>
      <x:c r="B349" s="72" t="n">
        <x:v>46240.85132175926</x:v>
      </x:c>
      <x:c r="C349" s="32" t="str">
        <x:v>P10</x:v>
      </x:c>
      <x:c r="D349" s="32" t="str">
        <x:v>B2-W1-V2</x:v>
      </x:c>
      <x:c r="E349" s="32" t="str">
        <x:v>B2</x:v>
      </x:c>
      <x:c r="F349" s="32" t="str">
        <x:v>W1</x:v>
      </x:c>
      <x:c r="G349" s="32" t="str">
        <x:v>V2</x:v>
      </x:c>
      <x:c r="H349" s="32" t="str">
        <x:v>tension_soil</x:v>
      </x:c>
      <x:c r="I349" s="32" t="str">
        <x:v>862323089930710</x:v>
      </x:c>
      <x:c r="J349" s="82"/>
      <x:c r="K349" s="82" t="n">
        <x:v>-21</x:v>
      </x:c>
      <x:c r="L349" s="82" t="n">
        <x:v>34</x:v>
      </x:c>
      <x:c r="M349" s="82" t="n">
        <x:v>24.6</x:v>
      </x:c>
      <x:c r="N349" s="86" t="n">
        <x:v>865</x:v>
      </x:c>
      <x:c r="O349" s="90" t="n">
        <x:v>6.27</x:v>
      </x:c>
      <x:c r="P349" s="150" t="n">
        <x:v>3.992</x:v>
      </x:c>
      <x:c r="Q349" s="86" t="n">
        <x:v>19</x:v>
      </x:c>
      <x:c r="R349" s="32"/>
      <x:c r="S349" s="32" t="str">
        <x:v>ok</x:v>
      </x:c>
      <x:c r="T349" s="32" t="str">
        <x:v>ok</x:v>
      </x:c>
      <x:c r="U349" s="32" t="str">
        <x:v>ok</x:v>
      </x:c>
      <x:c r="V349" s="32" t="str">
        <x:v>ok</x:v>
      </x:c>
      <x:c r="W349" s="154" t="str">
        <x:v>{"schema_version":1,"imei":"862323089930710","timestamp":1786019153,"report_sequence":15,"task_version":"rice_tension_soil_demo","sensor_mode":"tension_soil","soil_moisture_percent":34,"soil_temperature_c":24.6,"soil_ec_us_cm":865,"soil_ph":6.27,"battery_mv":3992,"csq":19,"soil_rs485_status":"ok","cycle_status":"ok","soil_tension_kpa":-21,"soil_tension_rs485_status":"ok"}</x:v>
      </x:c>
    </x:row>
    <x:row r="350">
      <x:c r="A350" s="72" t="n">
        <x:v>46240.85130787037</x:v>
      </x:c>
      <x:c r="B350" s="72" t="n">
        <x:v>46240.85132175926</x:v>
      </x:c>
      <x:c r="C350" s="32" t="str">
        <x:v>P11</x:v>
      </x:c>
      <x:c r="D350" s="32" t="str">
        <x:v>B2-W2-V1</x:v>
      </x:c>
      <x:c r="E350" s="32" t="str">
        <x:v>B2</x:v>
      </x:c>
      <x:c r="F350" s="32" t="str">
        <x:v>W2</x:v>
      </x:c>
      <x:c r="G350" s="32" t="str">
        <x:v>V1</x:v>
      </x:c>
      <x:c r="H350" s="32" t="str">
        <x:v>tension_soil</x:v>
      </x:c>
      <x:c r="I350" s="32" t="str">
        <x:v>862323089930711</x:v>
      </x:c>
      <x:c r="J350" s="82"/>
      <x:c r="K350" s="82" t="n">
        <x:v>-33.1</x:v>
      </x:c>
      <x:c r="L350" s="82" t="n">
        <x:v>35.1</x:v>
      </x:c>
      <x:c r="M350" s="82" t="n">
        <x:v>24.6</x:v>
      </x:c>
      <x:c r="N350" s="86" t="n">
        <x:v>878</x:v>
      </x:c>
      <x:c r="O350" s="90" t="n">
        <x:v>6.32</x:v>
      </x:c>
      <x:c r="P350" s="150" t="n">
        <x:v>4.01</x:v>
      </x:c>
      <x:c r="Q350" s="86" t="n">
        <x:v>20</x:v>
      </x:c>
      <x:c r="R350" s="32"/>
      <x:c r="S350" s="32" t="str">
        <x:v>ok</x:v>
      </x:c>
      <x:c r="T350" s="32" t="str">
        <x:v>ok</x:v>
      </x:c>
      <x:c r="U350" s="32" t="str">
        <x:v>ok</x:v>
      </x:c>
      <x:c r="V350" s="32" t="str">
        <x:v>ok</x:v>
      </x:c>
      <x:c r="W350" s="154" t="str">
        <x:v>{"schema_version":1,"imei":"862323089930711","timestamp":1786019153,"report_sequence":15,"task_version":"rice_tension_soil_demo","sensor_mode":"tension_soil","soil_moisture_percent":35.1,"soil_temperature_c":24.6,"soil_ec_us_cm":878,"soil_ph":6.32,"battery_mv":4010,"csq":20,"soil_rs485_status":"ok","cycle_status":"ok","soil_tension_kpa":-33.1,"soil_tension_rs485_status":"ok"}</x:v>
      </x:c>
    </x:row>
    <x:row r="351">
      <x:c r="A351" s="72" t="n">
        <x:v>46240.85130787037</x:v>
      </x:c>
      <x:c r="B351" s="72" t="n">
        <x:v>46240.85132175926</x:v>
      </x:c>
      <x:c r="C351" s="32" t="str">
        <x:v>P12</x:v>
      </x:c>
      <x:c r="D351" s="32" t="str">
        <x:v>B2-W2-V2</x:v>
      </x:c>
      <x:c r="E351" s="32" t="str">
        <x:v>B2</x:v>
      </x:c>
      <x:c r="F351" s="32" t="str">
        <x:v>W2</x:v>
      </x:c>
      <x:c r="G351" s="32" t="str">
        <x:v>V2</x:v>
      </x:c>
      <x:c r="H351" s="32" t="str">
        <x:v>tension_soil</x:v>
      </x:c>
      <x:c r="I351" s="32" t="str">
        <x:v>862323089930712</x:v>
      </x:c>
      <x:c r="J351" s="82"/>
      <x:c r="K351" s="82" t="n">
        <x:v>-34.2</x:v>
      </x:c>
      <x:c r="L351" s="82" t="n">
        <x:v>36.2</x:v>
      </x:c>
      <x:c r="M351" s="82" t="n">
        <x:v>24.7</x:v>
      </x:c>
      <x:c r="N351" s="86" t="n">
        <x:v>893</x:v>
      </x:c>
      <x:c r="O351" s="90" t="n">
        <x:v>6.37</x:v>
      </x:c>
      <x:c r="P351" s="150" t="n">
        <x:v>3.92</x:v>
      </x:c>
      <x:c r="Q351" s="86" t="n">
        <x:v>21</x:v>
      </x:c>
      <x:c r="R351" s="32"/>
      <x:c r="S351" s="32" t="str">
        <x:v>ok</x:v>
      </x:c>
      <x:c r="T351" s="32" t="str">
        <x:v>ok</x:v>
      </x:c>
      <x:c r="U351" s="32" t="str">
        <x:v>ok</x:v>
      </x:c>
      <x:c r="V351" s="32" t="str">
        <x:v>ok</x:v>
      </x:c>
      <x:c r="W351" s="154" t="str">
        <x:v>{"schema_version":1,"imei":"862323089930712","timestamp":1786019153,"report_sequence":15,"task_version":"rice_tension_soil_demo","sensor_mode":"tension_soil","soil_moisture_percent":36.2,"soil_temperature_c":24.7,"soil_ec_us_cm":893,"soil_ph":6.37,"battery_mv":3920,"csq":21,"soil_rs485_status":"ok","cycle_status":"ok","soil_tension_kpa":-34.2,"soil_tension_rs485_status":"ok"}</x:v>
      </x:c>
    </x:row>
    <x:row r="352">
      <x:c r="A352" s="72" t="n">
        <x:v>46240.85130787037</x:v>
      </x:c>
      <x:c r="B352" s="72" t="n">
        <x:v>46240.85132175926</x:v>
      </x:c>
      <x:c r="C352" s="32" t="str">
        <x:v>P13</x:v>
      </x:c>
      <x:c r="D352" s="32" t="str">
        <x:v>B3-W0-V1</x:v>
      </x:c>
      <x:c r="E352" s="32" t="str">
        <x:v>B3</x:v>
      </x:c>
      <x:c r="F352" s="32" t="str">
        <x:v>W0</x:v>
      </x:c>
      <x:c r="G352" s="32" t="str">
        <x:v>V1</x:v>
      </x:c>
      <x:c r="H352" s="32" t="str">
        <x:v>water_soil</x:v>
      </x:c>
      <x:c r="I352" s="32" t="str">
        <x:v>862323089930713</x:v>
      </x:c>
      <x:c r="J352" s="82" t="n">
        <x:v>27.4</x:v>
      </x:c>
      <x:c r="K352" s="82"/>
      <x:c r="L352" s="82" t="n">
        <x:v>37.5</x:v>
      </x:c>
      <x:c r="M352" s="82" t="n">
        <x:v>24.7</x:v>
      </x:c>
      <x:c r="N352" s="86" t="n">
        <x:v>910</x:v>
      </x:c>
      <x:c r="O352" s="90" t="n">
        <x:v>6.43</x:v>
      </x:c>
      <x:c r="P352" s="150" t="n">
        <x:v>3.938</x:v>
      </x:c>
      <x:c r="Q352" s="86" t="n">
        <x:v>22</x:v>
      </x:c>
      <x:c r="R352" s="32" t="str">
        <x:v>ok</x:v>
      </x:c>
      <x:c r="S352" s="32"/>
      <x:c r="T352" s="32" t="str">
        <x:v>ok</x:v>
      </x:c>
      <x:c r="U352" s="32" t="str">
        <x:v>ok</x:v>
      </x:c>
      <x:c r="V352" s="32" t="str">
        <x:v>ok</x:v>
      </x:c>
      <x:c r="W352" s="154" t="str">
        <x:v>{"schema_version":1,"imei":"862323089930713","timestamp":1786019153,"report_sequence":15,"task_version":"rice_w0_water_soil_demo","sensor_mode":"water_soil","soil_moisture_percent":37.5,"soil_temperature_c":24.7,"soil_ec_us_cm":910,"soil_ph":6.43,"battery_mv":3938,"csq":22,"soil_rs485_status":"ok","cycle_status":"ok","water_level_mm":27.4,"water_4_20ma_status":"ok"}</x:v>
      </x:c>
    </x:row>
    <x:row r="353">
      <x:c r="A353" s="72" t="n">
        <x:v>46240.85130787037</x:v>
      </x:c>
      <x:c r="B353" s="72" t="n">
        <x:v>46240.85132175926</x:v>
      </x:c>
      <x:c r="C353" s="32" t="str">
        <x:v>P14</x:v>
      </x:c>
      <x:c r="D353" s="32" t="str">
        <x:v>B3-W0-V2</x:v>
      </x:c>
      <x:c r="E353" s="32" t="str">
        <x:v>B3</x:v>
      </x:c>
      <x:c r="F353" s="32" t="str">
        <x:v>W0</x:v>
      </x:c>
      <x:c r="G353" s="32" t="str">
        <x:v>V2</x:v>
      </x:c>
      <x:c r="H353" s="32" t="str">
        <x:v>water_soil</x:v>
      </x:c>
      <x:c r="I353" s="32" t="str">
        <x:v>862323089930714</x:v>
      </x:c>
      <x:c r="J353" s="82" t="n">
        <x:v>31.3</x:v>
      </x:c>
      <x:c r="K353" s="82"/>
      <x:c r="L353" s="82" t="n">
        <x:v>38.9</x:v>
      </x:c>
      <x:c r="M353" s="82" t="n">
        <x:v>24.8</x:v>
      </x:c>
      <x:c r="N353" s="86" t="n">
        <x:v>929</x:v>
      </x:c>
      <x:c r="O353" s="90" t="n">
        <x:v>6.48</x:v>
      </x:c>
      <x:c r="P353" s="150" t="n">
        <x:v>3.956</x:v>
      </x:c>
      <x:c r="Q353" s="86" t="n">
        <x:v>23</x:v>
      </x:c>
      <x:c r="R353" s="32" t="str">
        <x:v>ok</x:v>
      </x:c>
      <x:c r="S353" s="32"/>
      <x:c r="T353" s="32" t="str">
        <x:v>ok</x:v>
      </x:c>
      <x:c r="U353" s="32" t="str">
        <x:v>ok</x:v>
      </x:c>
      <x:c r="V353" s="32" t="str">
        <x:v>ok</x:v>
      </x:c>
      <x:c r="W353" s="154" t="str">
        <x:v>{"schema_version":1,"imei":"862323089930714","timestamp":1786019153,"report_sequence":15,"task_version":"rice_w0_water_soil_demo","sensor_mode":"water_soil","soil_moisture_percent":38.9,"soil_temperature_c":24.8,"soil_ec_us_cm":929,"soil_ph":6.48,"battery_mv":3956,"csq":23,"soil_rs485_status":"ok","cycle_status":"ok","water_level_mm":31.3,"water_4_20ma_status":"ok"}</x:v>
      </x:c>
    </x:row>
    <x:row r="354">
      <x:c r="A354" s="72" t="n">
        <x:v>46240.85130787037</x:v>
      </x:c>
      <x:c r="B354" s="72" t="n">
        <x:v>46240.85132175926</x:v>
      </x:c>
      <x:c r="C354" s="32" t="str">
        <x:v>P15</x:v>
      </x:c>
      <x:c r="D354" s="32" t="str">
        <x:v>B3-W1-V1</x:v>
      </x:c>
      <x:c r="E354" s="32" t="str">
        <x:v>B3</x:v>
      </x:c>
      <x:c r="F354" s="32" t="str">
        <x:v>W1</x:v>
      </x:c>
      <x:c r="G354" s="32" t="str">
        <x:v>V1</x:v>
      </x:c>
      <x:c r="H354" s="32" t="str">
        <x:v>tension_soil</x:v>
      </x:c>
      <x:c r="I354" s="32" t="str">
        <x:v>862323089930715</x:v>
      </x:c>
      <x:c r="J354" s="82"/>
      <x:c r="K354" s="82" t="n">
        <x:v>-22.4</x:v>
      </x:c>
      <x:c r="L354" s="82" t="n">
        <x:v>40.4</x:v>
      </x:c>
      <x:c r="M354" s="82" t="n">
        <x:v>24.9</x:v>
      </x:c>
      <x:c r="N354" s="86" t="n">
        <x:v>949</x:v>
      </x:c>
      <x:c r="O354" s="90" t="n">
        <x:v>6.29</x:v>
      </x:c>
      <x:c r="P354" s="150" t="n">
        <x:v>3.974</x:v>
      </x:c>
      <x:c r="Q354" s="86" t="n">
        <x:v>24</x:v>
      </x:c>
      <x:c r="R354" s="32"/>
      <x:c r="S354" s="32" t="str">
        <x:v>ok</x:v>
      </x:c>
      <x:c r="T354" s="32" t="str">
        <x:v>ok</x:v>
      </x:c>
      <x:c r="U354" s="32" t="str">
        <x:v>ok</x:v>
      </x:c>
      <x:c r="V354" s="32" t="str">
        <x:v>ok</x:v>
      </x:c>
      <x:c r="W354" s="154" t="str">
        <x:v>{"schema_version":1,"imei":"862323089930715","timestamp":1786019153,"report_sequence":15,"task_version":"rice_tension_soil_demo","sensor_mode":"tension_soil","soil_moisture_percent":40.4,"soil_temperature_c":24.9,"soil_ec_us_cm":949,"soil_ph":6.29,"battery_mv":3974,"csq":24,"soil_rs485_status":"ok","cycle_status":"ok","soil_tension_kpa":-22.4,"soil_tension_rs485_status":"ok"}</x:v>
      </x:c>
    </x:row>
    <x:row r="355">
      <x:c r="A355" s="72" t="n">
        <x:v>46240.85130787037</x:v>
      </x:c>
      <x:c r="B355" s="72" t="n">
        <x:v>46240.85132175926</x:v>
      </x:c>
      <x:c r="C355" s="32" t="str">
        <x:v>P16</x:v>
      </x:c>
      <x:c r="D355" s="32" t="str">
        <x:v>B3-W1-V2</x:v>
      </x:c>
      <x:c r="E355" s="32" t="str">
        <x:v>B3</x:v>
      </x:c>
      <x:c r="F355" s="32" t="str">
        <x:v>W1</x:v>
      </x:c>
      <x:c r="G355" s="32" t="str">
        <x:v>V2</x:v>
      </x:c>
      <x:c r="H355" s="32" t="str">
        <x:v>tension_soil</x:v>
      </x:c>
      <x:c r="I355" s="32" t="str">
        <x:v>862323089930716</x:v>
      </x:c>
      <x:c r="J355" s="82"/>
      <x:c r="K355" s="82" t="n">
        <x:v>-23.9</x:v>
      </x:c>
      <x:c r="L355" s="82" t="n">
        <x:v>33.9</x:v>
      </x:c>
      <x:c r="M355" s="82" t="n">
        <x:v>25.1</x:v>
      </x:c>
      <x:c r="N355" s="86" t="n">
        <x:v>970</x:v>
      </x:c>
      <x:c r="O355" s="90" t="n">
        <x:v>6.35</x:v>
      </x:c>
      <x:c r="P355" s="150" t="n">
        <x:v>3.992</x:v>
      </x:c>
      <x:c r="Q355" s="86" t="n">
        <x:v>17</x:v>
      </x:c>
      <x:c r="R355" s="32"/>
      <x:c r="S355" s="32" t="str">
        <x:v>ok</x:v>
      </x:c>
      <x:c r="T355" s="32" t="str">
        <x:v>ok</x:v>
      </x:c>
      <x:c r="U355" s="32" t="str">
        <x:v>ok</x:v>
      </x:c>
      <x:c r="V355" s="32" t="str">
        <x:v>ok</x:v>
      </x:c>
      <x:c r="W355" s="154" t="str">
        <x:v>{"schema_version":1,"imei":"862323089930716","timestamp":1786019153,"report_sequence":15,"task_version":"rice_tension_soil_demo","sensor_mode":"tension_soil","soil_moisture_percent":33.9,"soil_temperature_c":25.1,"soil_ec_us_cm":970,"soil_ph":6.35,"battery_mv":3992,"csq":17,"soil_rs485_status":"ok","cycle_status":"ok","soil_tension_kpa":-23.9,"soil_tension_rs485_status":"ok"}</x:v>
      </x:c>
    </x:row>
    <x:row r="356">
      <x:c r="A356" s="72" t="n">
        <x:v>46240.85130787037</x:v>
      </x:c>
      <x:c r="B356" s="72" t="n">
        <x:v>46240.85132175926</x:v>
      </x:c>
      <x:c r="C356" s="32" t="str">
        <x:v>P17</x:v>
      </x:c>
      <x:c r="D356" s="32" t="str">
        <x:v>B3-W2-V1</x:v>
      </x:c>
      <x:c r="E356" s="32" t="str">
        <x:v>B3</x:v>
      </x:c>
      <x:c r="F356" s="32" t="str">
        <x:v>W2</x:v>
      </x:c>
      <x:c r="G356" s="32" t="str">
        <x:v>V1</x:v>
      </x:c>
      <x:c r="H356" s="32" t="str">
        <x:v>tension_soil</x:v>
      </x:c>
      <x:c r="I356" s="32" t="str">
        <x:v>862323089930717</x:v>
      </x:c>
      <x:c r="J356" s="82"/>
      <x:c r="K356" s="82" t="n">
        <x:v>-36.4</x:v>
      </x:c>
      <x:c r="L356" s="82" t="n">
        <x:v>35.4</x:v>
      </x:c>
      <x:c r="M356" s="82" t="n">
        <x:v>25.2</x:v>
      </x:c>
      <x:c r="N356" s="86" t="n">
        <x:v>990</x:v>
      </x:c>
      <x:c r="O356" s="90" t="n">
        <x:v>6.41</x:v>
      </x:c>
      <x:c r="P356" s="150" t="n">
        <x:v>4.01</x:v>
      </x:c>
      <x:c r="Q356" s="86" t="n">
        <x:v>18</x:v>
      </x:c>
      <x:c r="R356" s="32"/>
      <x:c r="S356" s="32" t="str">
        <x:v>ok</x:v>
      </x:c>
      <x:c r="T356" s="32" t="str">
        <x:v>ok</x:v>
      </x:c>
      <x:c r="U356" s="32" t="str">
        <x:v>ok</x:v>
      </x:c>
      <x:c r="V356" s="32" t="str">
        <x:v>ok</x:v>
      </x:c>
      <x:c r="W356" s="154" t="str">
        <x:v>{"schema_version":1,"imei":"862323089930717","timestamp":1786019153,"report_sequence":15,"task_version":"rice_tension_soil_demo","sensor_mode":"tension_soil","soil_moisture_percent":35.4,"soil_temperature_c":25.2,"soil_ec_us_cm":990,"soil_ph":6.41,"battery_mv":4010,"csq":18,"soil_rs485_status":"ok","cycle_status":"ok","soil_tension_kpa":-36.4,"soil_tension_rs485_status":"ok"}</x:v>
      </x:c>
    </x:row>
    <x:row r="357">
      <x:c r="A357" s="72" t="n">
        <x:v>46240.85130787037</x:v>
      </x:c>
      <x:c r="B357" s="72" t="n">
        <x:v>46240.85132175926</x:v>
      </x:c>
      <x:c r="C357" s="32" t="str">
        <x:v>P18</x:v>
      </x:c>
      <x:c r="D357" s="32" t="str">
        <x:v>B3-W2-V2</x:v>
      </x:c>
      <x:c r="E357" s="32" t="str">
        <x:v>B3</x:v>
      </x:c>
      <x:c r="F357" s="32" t="str">
        <x:v>W2</x:v>
      </x:c>
      <x:c r="G357" s="32" t="str">
        <x:v>V2</x:v>
      </x:c>
      <x:c r="H357" s="32" t="str">
        <x:v>tension_soil</x:v>
      </x:c>
      <x:c r="I357" s="32" t="str">
        <x:v>862323089930718</x:v>
      </x:c>
      <x:c r="J357" s="82"/>
      <x:c r="K357" s="82" t="n">
        <x:v>-37.8</x:v>
      </x:c>
      <x:c r="L357" s="82" t="n">
        <x:v>36.8</x:v>
      </x:c>
      <x:c r="M357" s="82" t="n">
        <x:v>25.3</x:v>
      </x:c>
      <x:c r="N357" s="86" t="n">
        <x:v>1011</x:v>
      </x:c>
      <x:c r="O357" s="90" t="n">
        <x:v>6.46</x:v>
      </x:c>
      <x:c r="P357" s="150" t="n">
        <x:v>3.92</x:v>
      </x:c>
      <x:c r="Q357" s="86" t="n">
        <x:v>19</x:v>
      </x:c>
      <x:c r="R357" s="32"/>
      <x:c r="S357" s="32" t="str">
        <x:v>ok</x:v>
      </x:c>
      <x:c r="T357" s="32" t="str">
        <x:v>ok</x:v>
      </x:c>
      <x:c r="U357" s="32" t="str">
        <x:v>ok</x:v>
      </x:c>
      <x:c r="V357" s="32" t="str">
        <x:v>ok</x:v>
      </x:c>
      <x:c r="W357" s="154" t="str">
        <x:v>{"schema_version":1,"imei":"862323089930718","timestamp":1786019153,"report_sequence":15,"task_version":"rice_tension_soil_demo","sensor_mode":"tension_soil","soil_moisture_percent":36.8,"soil_temperature_c":25.3,"soil_ec_us_cm":1011,"soil_ph":6.46,"battery_mv":3920,"csq":19,"soil_rs485_status":"ok","cycle_status":"ok","soil_tension_kpa":-37.8,"soil_tension_rs485_status":"ok"}</x:v>
      </x:c>
    </x:row>
    <x:row r="358">
      <x:c r="A358" s="72" t="n">
        <x:v>46240.85130787037</x:v>
      </x:c>
      <x:c r="B358" s="72" t="n">
        <x:v>46240.85132175926</x:v>
      </x:c>
      <x:c r="C358" s="32" t="str">
        <x:v>P19</x:v>
      </x:c>
      <x:c r="D358" s="32" t="str">
        <x:v>B4-W0-V1</x:v>
      </x:c>
      <x:c r="E358" s="32" t="str">
        <x:v>B4</x:v>
      </x:c>
      <x:c r="F358" s="32" t="str">
        <x:v>W0</x:v>
      </x:c>
      <x:c r="G358" s="32" t="str">
        <x:v>V1</x:v>
      </x:c>
      <x:c r="H358" s="32" t="str">
        <x:v>water_soil</x:v>
      </x:c>
      <x:c r="I358" s="32" t="str">
        <x:v>862323089930719</x:v>
      </x:c>
      <x:c r="J358" s="82" t="n">
        <x:v>40.2</x:v>
      </x:c>
      <x:c r="K358" s="82"/>
      <x:c r="L358" s="82" t="n">
        <x:v>38.3</x:v>
      </x:c>
      <x:c r="M358" s="82" t="n">
        <x:v>25.4</x:v>
      </x:c>
      <x:c r="N358" s="86" t="n">
        <x:v>1030</x:v>
      </x:c>
      <x:c r="O358" s="90" t="n">
        <x:v>6.52</x:v>
      </x:c>
      <x:c r="P358" s="150" t="n">
        <x:v>3.938</x:v>
      </x:c>
      <x:c r="Q358" s="86" t="n">
        <x:v>20</x:v>
      </x:c>
      <x:c r="R358" s="32" t="str">
        <x:v>ok</x:v>
      </x:c>
      <x:c r="S358" s="32"/>
      <x:c r="T358" s="32" t="str">
        <x:v>ok</x:v>
      </x:c>
      <x:c r="U358" s="32" t="str">
        <x:v>ok</x:v>
      </x:c>
      <x:c r="V358" s="32" t="str">
        <x:v>ok</x:v>
      </x:c>
      <x:c r="W358" s="154" t="str">
        <x:v>{"schema_version":1,"imei":"862323089930719","timestamp":1786019153,"report_sequence":15,"task_version":"rice_w0_water_soil_demo","sensor_mode":"water_soil","soil_moisture_percent":38.3,"soil_temperature_c":25.4,"soil_ec_us_cm":1030,"soil_ph":6.52,"battery_mv":3938,"csq":20,"soil_rs485_status":"ok","cycle_status":"ok","water_level_mm":40.2,"water_4_20ma_status":"ok"}</x:v>
      </x:c>
    </x:row>
    <x:row r="359">
      <x:c r="A359" s="72" t="n">
        <x:v>46240.85130787037</x:v>
      </x:c>
      <x:c r="B359" s="72" t="n">
        <x:v>46240.85132175926</x:v>
      </x:c>
      <x:c r="C359" s="32" t="str">
        <x:v>P20</x:v>
      </x:c>
      <x:c r="D359" s="32" t="str">
        <x:v>B4-W0-V2</x:v>
      </x:c>
      <x:c r="E359" s="32" t="str">
        <x:v>B4</x:v>
      </x:c>
      <x:c r="F359" s="32" t="str">
        <x:v>W0</x:v>
      </x:c>
      <x:c r="G359" s="32" t="str">
        <x:v>V2</x:v>
      </x:c>
      <x:c r="H359" s="32" t="str">
        <x:v>water_soil</x:v>
      </x:c>
      <x:c r="I359" s="32" t="str">
        <x:v>862323089930720</x:v>
      </x:c>
      <x:c r="J359" s="82" t="n">
        <x:v>32</x:v>
      </x:c>
      <x:c r="K359" s="82"/>
      <x:c r="L359" s="82" t="n">
        <x:v>39.6</x:v>
      </x:c>
      <x:c r="M359" s="82" t="n">
        <x:v>25.5</x:v>
      </x:c>
      <x:c r="N359" s="86" t="n">
        <x:v>1048</x:v>
      </x:c>
      <x:c r="O359" s="90" t="n">
        <x:v>6.32</x:v>
      </x:c>
      <x:c r="P359" s="150" t="n">
        <x:v>3.956</x:v>
      </x:c>
      <x:c r="Q359" s="86" t="n">
        <x:v>21</x:v>
      </x:c>
      <x:c r="R359" s="32" t="str">
        <x:v>ok</x:v>
      </x:c>
      <x:c r="S359" s="32"/>
      <x:c r="T359" s="32" t="str">
        <x:v>ok</x:v>
      </x:c>
      <x:c r="U359" s="32" t="str">
        <x:v>ok</x:v>
      </x:c>
      <x:c r="V359" s="32" t="str">
        <x:v>ok</x:v>
      </x:c>
      <x:c r="W359" s="154" t="str">
        <x:v>{"schema_version":1,"imei":"862323089930720","timestamp":1786019153,"report_sequence":15,"task_version":"rice_w0_water_soil_demo","sensor_mode":"water_soil","soil_moisture_percent":39.6,"soil_temperature_c":25.5,"soil_ec_us_cm":1048,"soil_ph":6.32,"battery_mv":3956,"csq":21,"soil_rs485_status":"ok","cycle_status":"ok","water_level_mm":32,"water_4_20ma_status":"ok"}</x:v>
      </x:c>
    </x:row>
    <x:row r="360">
      <x:c r="A360" s="72" t="n">
        <x:v>46240.85130787037</x:v>
      </x:c>
      <x:c r="B360" s="72" t="n">
        <x:v>46240.85132175926</x:v>
      </x:c>
      <x:c r="C360" s="32" t="str">
        <x:v>P21</x:v>
      </x:c>
      <x:c r="D360" s="32" t="str">
        <x:v>B4-W1-V1</x:v>
      </x:c>
      <x:c r="E360" s="32" t="str">
        <x:v>B4</x:v>
      </x:c>
      <x:c r="F360" s="32" t="str">
        <x:v>W1</x:v>
      </x:c>
      <x:c r="G360" s="32" t="str">
        <x:v>V1</x:v>
      </x:c>
      <x:c r="H360" s="32" t="str">
        <x:v>tension_soil</x:v>
      </x:c>
      <x:c r="I360" s="32" t="str">
        <x:v>862323089930721</x:v>
      </x:c>
      <x:c r="J360" s="82"/>
      <x:c r="K360" s="82" t="n">
        <x:v>-25.9</x:v>
      </x:c>
      <x:c r="L360" s="82" t="n">
        <x:v>40.9</x:v>
      </x:c>
      <x:c r="M360" s="82" t="n">
        <x:v>25.6</x:v>
      </x:c>
      <x:c r="N360" s="86" t="n">
        <x:v>1064</x:v>
      </x:c>
      <x:c r="O360" s="90" t="n">
        <x:v>6.38</x:v>
      </x:c>
      <x:c r="P360" s="150" t="n">
        <x:v>3.974</x:v>
      </x:c>
      <x:c r="Q360" s="86" t="n">
        <x:v>22</x:v>
      </x:c>
      <x:c r="R360" s="32"/>
      <x:c r="S360" s="32" t="str">
        <x:v>ok</x:v>
      </x:c>
      <x:c r="T360" s="32" t="str">
        <x:v>ok</x:v>
      </x:c>
      <x:c r="U360" s="32" t="str">
        <x:v>ok</x:v>
      </x:c>
      <x:c r="V360" s="32" t="str">
        <x:v>ok</x:v>
      </x:c>
      <x:c r="W360" s="154" t="str">
        <x:v>{"schema_version":1,"imei":"862323089930721","timestamp":1786019153,"report_sequence":15,"task_version":"rice_tension_soil_demo","sensor_mode":"tension_soil","soil_moisture_percent":40.9,"soil_temperature_c":25.6,"soil_ec_us_cm":1064,"soil_ph":6.38,"battery_mv":3974,"csq":22,"soil_rs485_status":"ok","cycle_status":"ok","soil_tension_kpa":-25.9,"soil_tension_rs485_status":"ok"}</x:v>
      </x:c>
    </x:row>
    <x:row r="361">
      <x:c r="A361" s="72" t="n">
        <x:v>46240.85130787037</x:v>
      </x:c>
      <x:c r="B361" s="72" t="n">
        <x:v>46240.85132175926</x:v>
      </x:c>
      <x:c r="C361" s="32" t="str">
        <x:v>P22</x:v>
      </x:c>
      <x:c r="D361" s="32" t="str">
        <x:v>B4-W1-V2</x:v>
      </x:c>
      <x:c r="E361" s="32" t="str">
        <x:v>B4</x:v>
      </x:c>
      <x:c r="F361" s="32" t="str">
        <x:v>W1</x:v>
      </x:c>
      <x:c r="G361" s="32" t="str">
        <x:v>V2</x:v>
      </x:c>
      <x:c r="H361" s="32" t="str">
        <x:v>tension_soil</x:v>
      </x:c>
      <x:c r="I361" s="32" t="str">
        <x:v>862323089930722</x:v>
      </x:c>
      <x:c r="J361" s="82"/>
      <x:c r="K361" s="82" t="n">
        <x:v>-27</x:v>
      </x:c>
      <x:c r="L361" s="82" t="n">
        <x:v>42</x:v>
      </x:c>
      <x:c r="M361" s="82" t="n">
        <x:v>25.6</x:v>
      </x:c>
      <x:c r="N361" s="86" t="n">
        <x:v>1079</x:v>
      </x:c>
      <x:c r="O361" s="90" t="n">
        <x:v>6.43</x:v>
      </x:c>
      <x:c r="P361" s="150" t="n">
        <x:v>3.992</x:v>
      </x:c>
      <x:c r="Q361" s="86" t="n">
        <x:v>23</x:v>
      </x:c>
      <x:c r="R361" s="32"/>
      <x:c r="S361" s="32" t="str">
        <x:v>ok</x:v>
      </x:c>
      <x:c r="T361" s="32" t="str">
        <x:v>ok</x:v>
      </x:c>
      <x:c r="U361" s="32" t="str">
        <x:v>ok</x:v>
      </x:c>
      <x:c r="V361" s="32" t="str">
        <x:v>ok</x:v>
      </x:c>
      <x:c r="W361" s="154" t="str">
        <x:v>{"schema_version":1,"imei":"862323089930722","timestamp":1786019153,"report_sequence":15,"task_version":"rice_tension_soil_demo","sensor_mode":"tension_soil","soil_moisture_percent":42,"soil_temperature_c":25.6,"soil_ec_us_cm":1079,"soil_ph":6.43,"battery_mv":3992,"csq":23,"soil_rs485_status":"ok","cycle_status":"ok","soil_tension_kpa":-27,"soil_tension_rs485_status":"ok"}</x:v>
      </x:c>
    </x:row>
    <x:row r="362">
      <x:c r="A362" s="72" t="n">
        <x:v>46240.85130787037</x:v>
      </x:c>
      <x:c r="B362" s="72" t="n">
        <x:v>46240.85132175926</x:v>
      </x:c>
      <x:c r="C362" s="32" t="str">
        <x:v>P23</x:v>
      </x:c>
      <x:c r="D362" s="32" t="str">
        <x:v>B4-W2-V1</x:v>
      </x:c>
      <x:c r="E362" s="32" t="str">
        <x:v>B4</x:v>
      </x:c>
      <x:c r="F362" s="32" t="str">
        <x:v>W2</x:v>
      </x:c>
      <x:c r="G362" s="32" t="str">
        <x:v>V1</x:v>
      </x:c>
      <x:c r="H362" s="32" t="str">
        <x:v>tension_soil</x:v>
      </x:c>
      <x:c r="I362" s="32" t="str">
        <x:v>862323089930723</x:v>
      </x:c>
      <x:c r="J362" s="82"/>
      <x:c r="K362" s="82" t="n">
        <x:v>-39</x:v>
      </x:c>
      <x:c r="L362" s="82" t="n">
        <x:v>43</x:v>
      </x:c>
      <x:c r="M362" s="82" t="n">
        <x:v>25.6</x:v>
      </x:c>
      <x:c r="N362" s="86" t="n">
        <x:v>1091</x:v>
      </x:c>
      <x:c r="O362" s="90" t="n">
        <x:v>6.48</x:v>
      </x:c>
      <x:c r="P362" s="150" t="n">
        <x:v>4.01</x:v>
      </x:c>
      <x:c r="Q362" s="86" t="n">
        <x:v>24</x:v>
      </x:c>
      <x:c r="R362" s="32"/>
      <x:c r="S362" s="32" t="str">
        <x:v>ok</x:v>
      </x:c>
      <x:c r="T362" s="32" t="str">
        <x:v>ok</x:v>
      </x:c>
      <x:c r="U362" s="32" t="str">
        <x:v>ok</x:v>
      </x:c>
      <x:c r="V362" s="32" t="str">
        <x:v>ok</x:v>
      </x:c>
      <x:c r="W362" s="154" t="str">
        <x:v>{"schema_version":1,"imei":"862323089930723","timestamp":1786019153,"report_sequence":15,"task_version":"rice_tension_soil_demo","sensor_mode":"tension_soil","soil_moisture_percent":43,"soil_temperature_c":25.6,"soil_ec_us_cm":1091,"soil_ph":6.48,"battery_mv":4010,"csq":24,"soil_rs485_status":"ok","cycle_status":"ok","soil_tension_kpa":-39,"soil_tension_rs485_status":"ok"}</x:v>
      </x:c>
    </x:row>
    <x:row r="363">
      <x:c r="A363" s="72" t="n">
        <x:v>46240.85130787037</x:v>
      </x:c>
      <x:c r="B363" s="72" t="n">
        <x:v>46240.85132175926</x:v>
      </x:c>
      <x:c r="C363" s="32" t="str">
        <x:v>P24</x:v>
      </x:c>
      <x:c r="D363" s="32" t="str">
        <x:v>B4-W2-V2</x:v>
      </x:c>
      <x:c r="E363" s="32" t="str">
        <x:v>B4</x:v>
      </x:c>
      <x:c r="F363" s="32" t="str">
        <x:v>W2</x:v>
      </x:c>
      <x:c r="G363" s="32" t="str">
        <x:v>V2</x:v>
      </x:c>
      <x:c r="H363" s="32" t="str">
        <x:v>tension_soil</x:v>
      </x:c>
      <x:c r="I363" s="32" t="str">
        <x:v>862323089930724</x:v>
      </x:c>
      <x:c r="J363" s="82"/>
      <x:c r="K363" s="82" t="n">
        <x:v>-39.9</x:v>
      </x:c>
      <x:c r="L363" s="82" t="n">
        <x:v>35.9</x:v>
      </x:c>
      <x:c r="M363" s="82" t="n">
        <x:v>25.6</x:v>
      </x:c>
      <x:c r="N363" s="86" t="n">
        <x:v>1101</x:v>
      </x:c>
      <x:c r="O363" s="90" t="n">
        <x:v>6.53</x:v>
      </x:c>
      <x:c r="P363" s="150" t="n">
        <x:v>3.92</x:v>
      </x:c>
      <x:c r="Q363" s="86" t="n">
        <x:v>17</x:v>
      </x:c>
      <x:c r="R363" s="32"/>
      <x:c r="S363" s="32" t="str">
        <x:v>ok</x:v>
      </x:c>
      <x:c r="T363" s="32" t="str">
        <x:v>ok</x:v>
      </x:c>
      <x:c r="U363" s="32" t="str">
        <x:v>ok</x:v>
      </x:c>
      <x:c r="V363" s="32" t="str">
        <x:v>ok</x:v>
      </x:c>
      <x:c r="W363" s="154" t="str">
        <x:v>{"schema_version":1,"imei":"862323089930724","timestamp":1786019153,"report_sequence":15,"task_version":"rice_tension_soil_demo","sensor_mode":"tension_soil","soil_moisture_percent":35.9,"soil_temperature_c":25.6,"soil_ec_us_cm":1101,"soil_ph":6.53,"battery_mv":3920,"csq":17,"soil_rs485_status":"ok","cycle_status":"ok","soil_tension_kpa":-39.9,"soil_tension_rs485_status":"ok"}</x:v>
      </x:c>
    </x:row>
    <x:row r="364">
      <x:c r="A364" s="72" t="n">
        <x:v>46240.854780092595</x:v>
      </x:c>
      <x:c r="B364" s="72" t="n">
        <x:v>46240.85479398148</x:v>
      </x:c>
      <x:c r="C364" s="32" t="str">
        <x:v>P01</x:v>
      </x:c>
      <x:c r="D364" s="32" t="str">
        <x:v>B1-W0-V1</x:v>
      </x:c>
      <x:c r="E364" s="32" t="str">
        <x:v>B1</x:v>
      </x:c>
      <x:c r="F364" s="32" t="str">
        <x:v>W0</x:v>
      </x:c>
      <x:c r="G364" s="32" t="str">
        <x:v>V1</x:v>
      </x:c>
      <x:c r="H364" s="32" t="str">
        <x:v>water_soil</x:v>
      </x:c>
      <x:c r="I364" s="32" t="str">
        <x:v>862323089930701</x:v>
      </x:c>
      <x:c r="J364" s="82" t="n">
        <x:v>35</x:v>
      </x:c>
      <x:c r="K364" s="82"/>
      <x:c r="L364" s="82" t="n">
        <x:v>36.6</x:v>
      </x:c>
      <x:c r="M364" s="82" t="n">
        <x:v>25.5</x:v>
      </x:c>
      <x:c r="N364" s="86" t="n">
        <x:v>820</x:v>
      </x:c>
      <x:c r="O364" s="90" t="n">
        <x:v>6.37</x:v>
      </x:c>
      <x:c r="P364" s="150" t="n">
        <x:v>3.938</x:v>
      </x:c>
      <x:c r="Q364" s="86" t="n">
        <x:v>18</x:v>
      </x:c>
      <x:c r="R364" s="32" t="str">
        <x:v>ok</x:v>
      </x:c>
      <x:c r="S364" s="32"/>
      <x:c r="T364" s="32" t="str">
        <x:v>ok</x:v>
      </x:c>
      <x:c r="U364" s="32" t="str">
        <x:v>ok</x:v>
      </x:c>
      <x:c r="V364" s="32" t="str">
        <x:v>ok</x:v>
      </x:c>
      <x:c r="W364" s="154" t="str">
        <x:v>{"schema_version":1,"imei":"862323089930701","timestamp":1786019453,"report_sequence":16,"task_version":"rice_w0_water_soil_demo","sensor_mode":"water_soil","soil_moisture_percent":36.6,"soil_temperature_c":25.5,"soil_ec_us_cm":820,"soil_ph":6.37,"battery_mv":3938,"csq":18,"soil_rs485_status":"ok","cycle_status":"ok","water_level_mm":35,"water_4_20ma_status":"ok"}</x:v>
      </x:c>
    </x:row>
    <x:row r="365">
      <x:c r="A365" s="72" t="n">
        <x:v>46240.854780092595</x:v>
      </x:c>
      <x:c r="B365" s="72" t="n">
        <x:v>46240.85479398148</x:v>
      </x:c>
      <x:c r="C365" s="32" t="str">
        <x:v>P02</x:v>
      </x:c>
      <x:c r="D365" s="32" t="str">
        <x:v>B1-W0-V2</x:v>
      </x:c>
      <x:c r="E365" s="32" t="str">
        <x:v>B1</x:v>
      </x:c>
      <x:c r="F365" s="32" t="str">
        <x:v>W0</x:v>
      </x:c>
      <x:c r="G365" s="32" t="str">
        <x:v>V2</x:v>
      </x:c>
      <x:c r="H365" s="32" t="str">
        <x:v>water_soil</x:v>
      </x:c>
      <x:c r="I365" s="32" t="str">
        <x:v>862323089930702</x:v>
      </x:c>
      <x:c r="J365" s="82" t="n">
        <x:v>37.1</x:v>
      </x:c>
      <x:c r="K365" s="82"/>
      <x:c r="L365" s="82" t="n">
        <x:v>37.2</x:v>
      </x:c>
      <x:c r="M365" s="82" t="n">
        <x:v>25.4</x:v>
      </x:c>
      <x:c r="N365" s="86" t="n">
        <x:v>826</x:v>
      </x:c>
      <x:c r="O365" s="90" t="n">
        <x:v>6.42</x:v>
      </x:c>
      <x:c r="P365" s="150" t="n">
        <x:v>3.956</x:v>
      </x:c>
      <x:c r="Q365" s="86" t="n">
        <x:v>19</x:v>
      </x:c>
      <x:c r="R365" s="32" t="str">
        <x:v>ok</x:v>
      </x:c>
      <x:c r="S365" s="32"/>
      <x:c r="T365" s="32" t="str">
        <x:v>ok</x:v>
      </x:c>
      <x:c r="U365" s="32" t="str">
        <x:v>ok</x:v>
      </x:c>
      <x:c r="V365" s="32" t="str">
        <x:v>ok</x:v>
      </x:c>
      <x:c r="W365" s="154" t="str">
        <x:v>{"schema_version":1,"imei":"862323089930702","timestamp":1786019453,"report_sequence":16,"task_version":"rice_w0_water_soil_demo","sensor_mode":"water_soil","soil_moisture_percent":37.2,"soil_temperature_c":25.4,"soil_ec_us_cm":826,"soil_ph":6.42,"battery_mv":3956,"csq":19,"soil_rs485_status":"ok","cycle_status":"ok","water_level_mm":37.1,"water_4_20ma_status":"ok"}</x:v>
      </x:c>
    </x:row>
    <x:row r="366">
      <x:c r="A366" s="72" t="n">
        <x:v>46240.854780092595</x:v>
      </x:c>
      <x:c r="B366" s="72" t="n">
        <x:v>46240.85479398148</x:v>
      </x:c>
      <x:c r="C366" s="32" t="str">
        <x:v>P03</x:v>
      </x:c>
      <x:c r="D366" s="32" t="str">
        <x:v>B1-W1-V1</x:v>
      </x:c>
      <x:c r="E366" s="32" t="str">
        <x:v>B1</x:v>
      </x:c>
      <x:c r="F366" s="32" t="str">
        <x:v>W1</x:v>
      </x:c>
      <x:c r="G366" s="32" t="str">
        <x:v>V1</x:v>
      </x:c>
      <x:c r="H366" s="32" t="str">
        <x:v>tension_soil</x:v>
      </x:c>
      <x:c r="I366" s="32" t="str">
        <x:v>862323089930703</x:v>
      </x:c>
      <x:c r="J366" s="82"/>
      <x:c r="K366" s="82" t="n">
        <x:v>-26.8</x:v>
      </x:c>
      <x:c r="L366" s="82" t="n">
        <x:v>37.8</x:v>
      </x:c>
      <x:c r="M366" s="82" t="n">
        <x:v>25.3</x:v>
      </x:c>
      <x:c r="N366" s="86" t="n">
        <x:v>830</x:v>
      </x:c>
      <x:c r="O366" s="90" t="n">
        <x:v>6.46</x:v>
      </x:c>
      <x:c r="P366" s="150" t="n">
        <x:v>3.974</x:v>
      </x:c>
      <x:c r="Q366" s="86" t="n">
        <x:v>20</x:v>
      </x:c>
      <x:c r="R366" s="32"/>
      <x:c r="S366" s="32" t="str">
        <x:v>ok</x:v>
      </x:c>
      <x:c r="T366" s="32" t="str">
        <x:v>ok</x:v>
      </x:c>
      <x:c r="U366" s="32" t="str">
        <x:v>ok</x:v>
      </x:c>
      <x:c r="V366" s="32" t="str">
        <x:v>ok</x:v>
      </x:c>
      <x:c r="W366" s="154" t="str">
        <x:v>{"schema_version":1,"imei":"862323089930703","timestamp":1786019453,"report_sequence":16,"task_version":"rice_tension_soil_demo","sensor_mode":"tension_soil","soil_moisture_percent":37.8,"soil_temperature_c":25.3,"soil_ec_us_cm":830,"soil_ph":6.46,"battery_mv":3974,"csq":20,"soil_rs485_status":"ok","cycle_status":"ok","soil_tension_kpa":-26.8,"soil_tension_rs485_status":"ok"}</x:v>
      </x:c>
    </x:row>
    <x:row r="367">
      <x:c r="A367" s="72" t="n">
        <x:v>46240.854780092595</x:v>
      </x:c>
      <x:c r="B367" s="72" t="n">
        <x:v>46240.85479398148</x:v>
      </x:c>
      <x:c r="C367" s="32" t="str">
        <x:v>P04</x:v>
      </x:c>
      <x:c r="D367" s="32" t="str">
        <x:v>B1-W1-V2</x:v>
      </x:c>
      <x:c r="E367" s="32" t="str">
        <x:v>B1</x:v>
      </x:c>
      <x:c r="F367" s="32" t="str">
        <x:v>W1</x:v>
      </x:c>
      <x:c r="G367" s="32" t="str">
        <x:v>V2</x:v>
      </x:c>
      <x:c r="H367" s="32" t="str">
        <x:v>tension_soil</x:v>
      </x:c>
      <x:c r="I367" s="32" t="str">
        <x:v>862323089930704</x:v>
      </x:c>
      <x:c r="J367" s="82"/>
      <x:c r="K367" s="82" t="n">
        <x:v>-27.3</x:v>
      </x:c>
      <x:c r="L367" s="82" t="n">
        <x:v>38.3</x:v>
      </x:c>
      <x:c r="M367" s="82" t="n">
        <x:v>25.2</x:v>
      </x:c>
      <x:c r="N367" s="86" t="n">
        <x:v>834</x:v>
      </x:c>
      <x:c r="O367" s="90" t="n">
        <x:v>6.51</x:v>
      </x:c>
      <x:c r="P367" s="150" t="n">
        <x:v>3.992</x:v>
      </x:c>
      <x:c r="Q367" s="86" t="n">
        <x:v>21</x:v>
      </x:c>
      <x:c r="R367" s="32"/>
      <x:c r="S367" s="32" t="str">
        <x:v>ok</x:v>
      </x:c>
      <x:c r="T367" s="32" t="str">
        <x:v>ok</x:v>
      </x:c>
      <x:c r="U367" s="32" t="str">
        <x:v>ok</x:v>
      </x:c>
      <x:c r="V367" s="32" t="str">
        <x:v>ok</x:v>
      </x:c>
      <x:c r="W367" s="154" t="str">
        <x:v>{"schema_version":1,"imei":"862323089930704","timestamp":1786019453,"report_sequence":16,"task_version":"rice_tension_soil_demo","sensor_mode":"tension_soil","soil_moisture_percent":38.3,"soil_temperature_c":25.2,"soil_ec_us_cm":834,"soil_ph":6.51,"battery_mv":3992,"csq":21,"soil_rs485_status":"ok","cycle_status":"ok","soil_tension_kpa":-27.3,"soil_tension_rs485_status":"ok"}</x:v>
      </x:c>
    </x:row>
    <x:row r="368">
      <x:c r="A368" s="72" t="n">
        <x:v>46240.854780092595</x:v>
      </x:c>
      <x:c r="B368" s="72" t="n">
        <x:v>46240.85479398148</x:v>
      </x:c>
      <x:c r="C368" s="32" t="str">
        <x:v>P05</x:v>
      </x:c>
      <x:c r="D368" s="32" t="str">
        <x:v>B1-W2-V1</x:v>
      </x:c>
      <x:c r="E368" s="32" t="str">
        <x:v>B1</x:v>
      </x:c>
      <x:c r="F368" s="32" t="str">
        <x:v>W2</x:v>
      </x:c>
      <x:c r="G368" s="32" t="str">
        <x:v>V1</x:v>
      </x:c>
      <x:c r="H368" s="32" t="str">
        <x:v>tension_soil</x:v>
      </x:c>
      <x:c r="I368" s="32" t="str">
        <x:v>862323089930705</x:v>
      </x:c>
      <x:c r="J368" s="82"/>
      <x:c r="K368" s="82" t="n">
        <x:v>-33.8</x:v>
      </x:c>
      <x:c r="L368" s="82" t="n">
        <x:v>38.8</x:v>
      </x:c>
      <x:c r="M368" s="82" t="n">
        <x:v>25.1</x:v>
      </x:c>
      <x:c r="N368" s="86" t="n">
        <x:v>837</x:v>
      </x:c>
      <x:c r="O368" s="90" t="n">
        <x:v>6.3</x:v>
      </x:c>
      <x:c r="P368" s="150" t="n">
        <x:v>4.01</x:v>
      </x:c>
      <x:c r="Q368" s="86" t="n">
        <x:v>22</x:v>
      </x:c>
      <x:c r="R368" s="32"/>
      <x:c r="S368" s="32" t="str">
        <x:v>ok</x:v>
      </x:c>
      <x:c r="T368" s="32" t="str">
        <x:v>ok</x:v>
      </x:c>
      <x:c r="U368" s="32" t="str">
        <x:v>ok</x:v>
      </x:c>
      <x:c r="V368" s="32" t="str">
        <x:v>ok</x:v>
      </x:c>
      <x:c r="W368" s="154" t="str">
        <x:v>{"schema_version":1,"imei":"862323089930705","timestamp":1786019453,"report_sequence":16,"task_version":"rice_tension_soil_demo","sensor_mode":"tension_soil","soil_moisture_percent":38.8,"soil_temperature_c":25.1,"soil_ec_us_cm":837,"soil_ph":6.3,"battery_mv":4010,"csq":22,"soil_rs485_status":"ok","cycle_status":"ok","soil_tension_kpa":-33.8,"soil_tension_rs485_status":"ok"}</x:v>
      </x:c>
    </x:row>
    <x:row r="369">
      <x:c r="A369" s="72" t="n">
        <x:v>46240.854780092595</x:v>
      </x:c>
      <x:c r="B369" s="72" t="n">
        <x:v>46240.85479398148</x:v>
      </x:c>
      <x:c r="C369" s="32" t="str">
        <x:v>P06</x:v>
      </x:c>
      <x:c r="D369" s="32" t="str">
        <x:v>B1-W2-V2</x:v>
      </x:c>
      <x:c r="E369" s="32" t="str">
        <x:v>B1</x:v>
      </x:c>
      <x:c r="F369" s="32" t="str">
        <x:v>W2</x:v>
      </x:c>
      <x:c r="G369" s="32" t="str">
        <x:v>V2</x:v>
      </x:c>
      <x:c r="H369" s="32" t="str">
        <x:v>tension_soil</x:v>
      </x:c>
      <x:c r="I369" s="32" t="str">
        <x:v>862323089930706</x:v>
      </x:c>
      <x:c r="J369" s="82"/>
      <x:c r="K369" s="82" t="n">
        <x:v>-34.4</x:v>
      </x:c>
      <x:c r="L369" s="82" t="n">
        <x:v>39.4</x:v>
      </x:c>
      <x:c r="M369" s="82" t="n">
        <x:v>24.9</x:v>
      </x:c>
      <x:c r="N369" s="86" t="n">
        <x:v>841</x:v>
      </x:c>
      <x:c r="O369" s="90" t="n">
        <x:v>6.34</x:v>
      </x:c>
      <x:c r="P369" s="150" t="n">
        <x:v>3.92</x:v>
      </x:c>
      <x:c r="Q369" s="86" t="n">
        <x:v>23</x:v>
      </x:c>
      <x:c r="R369" s="32"/>
      <x:c r="S369" s="32" t="str">
        <x:v>ok</x:v>
      </x:c>
      <x:c r="T369" s="32" t="str">
        <x:v>ok</x:v>
      </x:c>
      <x:c r="U369" s="32" t="str">
        <x:v>ok</x:v>
      </x:c>
      <x:c r="V369" s="32" t="str">
        <x:v>ok</x:v>
      </x:c>
      <x:c r="W369" s="154" t="str">
        <x:v>{"schema_version":1,"imei":"862323089930706","timestamp":1786019453,"report_sequence":16,"task_version":"rice_tension_soil_demo","sensor_mode":"tension_soil","soil_moisture_percent":39.4,"soil_temperature_c":24.9,"soil_ec_us_cm":841,"soil_ph":6.34,"battery_mv":3920,"csq":23,"soil_rs485_status":"ok","cycle_status":"ok","soil_tension_kpa":-34.4,"soil_tension_rs485_status":"ok"}</x:v>
      </x:c>
    </x:row>
    <x:row r="370">
      <x:c r="A370" s="72" t="n">
        <x:v>46240.854780092595</x:v>
      </x:c>
      <x:c r="B370" s="72" t="n">
        <x:v>46240.85479398148</x:v>
      </x:c>
      <x:c r="C370" s="32" t="str">
        <x:v>P07</x:v>
      </x:c>
      <x:c r="D370" s="32" t="str">
        <x:v>B2-W0-V1</x:v>
      </x:c>
      <x:c r="E370" s="32" t="str">
        <x:v>B2</x:v>
      </x:c>
      <x:c r="F370" s="32" t="str">
        <x:v>W0</x:v>
      </x:c>
      <x:c r="G370" s="32" t="str">
        <x:v>V1</x:v>
      </x:c>
      <x:c r="H370" s="32" t="str">
        <x:v>water_soil</x:v>
      </x:c>
      <x:c r="I370" s="32" t="str">
        <x:v>862323089930707</x:v>
      </x:c>
      <x:c r="J370" s="82" t="n">
        <x:v>34.3</x:v>
      </x:c>
      <x:c r="K370" s="82"/>
      <x:c r="L370" s="82" t="n">
        <x:v>39.9</x:v>
      </x:c>
      <x:c r="M370" s="82" t="n">
        <x:v>24.8</x:v>
      </x:c>
      <x:c r="N370" s="86" t="n">
        <x:v>845</x:v>
      </x:c>
      <x:c r="O370" s="90" t="n">
        <x:v>6.38</x:v>
      </x:c>
      <x:c r="P370" s="150" t="n">
        <x:v>3.938</x:v>
      </x:c>
      <x:c r="Q370" s="86" t="n">
        <x:v>24</x:v>
      </x:c>
      <x:c r="R370" s="32" t="str">
        <x:v>ok</x:v>
      </x:c>
      <x:c r="S370" s="32"/>
      <x:c r="T370" s="32" t="str">
        <x:v>ok</x:v>
      </x:c>
      <x:c r="U370" s="32" t="str">
        <x:v>ok</x:v>
      </x:c>
      <x:c r="V370" s="32" t="str">
        <x:v>ok</x:v>
      </x:c>
      <x:c r="W370" s="154" t="str">
        <x:v>{"schema_version":1,"imei":"862323089930707","timestamp":1786019453,"report_sequence":16,"task_version":"rice_w0_water_soil_demo","sensor_mode":"water_soil","soil_moisture_percent":39.9,"soil_temperature_c":24.8,"soil_ec_us_cm":845,"soil_ph":6.38,"battery_mv":3938,"csq":24,"soil_rs485_status":"ok","cycle_status":"ok","water_level_mm":34.3,"water_4_20ma_status":"ok"}</x:v>
      </x:c>
    </x:row>
    <x:row r="371">
      <x:c r="A371" s="72" t="n">
        <x:v>46240.854780092595</x:v>
      </x:c>
      <x:c r="B371" s="72" t="n">
        <x:v>46240.85479398148</x:v>
      </x:c>
      <x:c r="C371" s="32" t="str">
        <x:v>P08</x:v>
      </x:c>
      <x:c r="D371" s="32" t="str">
        <x:v>B2-W0-V2</x:v>
      </x:c>
      <x:c r="E371" s="32" t="str">
        <x:v>B2</x:v>
      </x:c>
      <x:c r="F371" s="32" t="str">
        <x:v>W0</x:v>
      </x:c>
      <x:c r="G371" s="32" t="str">
        <x:v>V2</x:v>
      </x:c>
      <x:c r="H371" s="32" t="str">
        <x:v>water_soil</x:v>
      </x:c>
      <x:c r="I371" s="32" t="str">
        <x:v>862323089930708</x:v>
      </x:c>
      <x:c r="J371" s="82" t="n">
        <x:v>24.3</x:v>
      </x:c>
      <x:c r="K371" s="82"/>
      <x:c r="L371" s="82" t="n">
        <x:v>32.5</x:v>
      </x:c>
      <x:c r="M371" s="82" t="n">
        <x:v>24.7</x:v>
      </x:c>
      <x:c r="N371" s="86" t="n">
        <x:v>850</x:v>
      </x:c>
      <x:c r="O371" s="90" t="n">
        <x:v>6.43</x:v>
      </x:c>
      <x:c r="P371" s="150" t="n">
        <x:v>3.956</x:v>
      </x:c>
      <x:c r="Q371" s="86" t="n">
        <x:v>17</x:v>
      </x:c>
      <x:c r="R371" s="32" t="str">
        <x:v>ok</x:v>
      </x:c>
      <x:c r="S371" s="32"/>
      <x:c r="T371" s="32" t="str">
        <x:v>ok</x:v>
      </x:c>
      <x:c r="U371" s="32" t="str">
        <x:v>ok</x:v>
      </x:c>
      <x:c r="V371" s="32" t="str">
        <x:v>ok</x:v>
      </x:c>
      <x:c r="W371" s="154" t="str">
        <x:v>{"schema_version":1,"imei":"862323089930708","timestamp":1786019453,"report_sequence":16,"task_version":"rice_w0_water_soil_demo","sensor_mode":"water_soil","soil_moisture_percent":32.5,"soil_temperature_c":24.7,"soil_ec_us_cm":850,"soil_ph":6.43,"battery_mv":3956,"csq":17,"soil_rs485_status":"ok","cycle_status":"ok","water_level_mm":24.3,"water_4_20ma_status":"ok"}</x:v>
      </x:c>
    </x:row>
    <x:row r="372">
      <x:c r="A372" s="72" t="n">
        <x:v>46240.854780092595</x:v>
      </x:c>
      <x:c r="B372" s="72" t="n">
        <x:v>46240.85479398148</x:v>
      </x:c>
      <x:c r="C372" s="32" t="str">
        <x:v>P09</x:v>
      </x:c>
      <x:c r="D372" s="32" t="str">
        <x:v>B2-W1-V1</x:v>
      </x:c>
      <x:c r="E372" s="32" t="str">
        <x:v>B2</x:v>
      </x:c>
      <x:c r="F372" s="32" t="str">
        <x:v>W1</x:v>
      </x:c>
      <x:c r="G372" s="32" t="str">
        <x:v>V1</x:v>
      </x:c>
      <x:c r="H372" s="32" t="str">
        <x:v>tension_soil</x:v>
      </x:c>
      <x:c r="I372" s="32" t="str">
        <x:v>862323089930709</x:v>
      </x:c>
      <x:c r="J372" s="82"/>
      <x:c r="K372" s="82" t="n">
        <x:v>-25.2</x:v>
      </x:c>
      <x:c r="L372" s="82" t="n">
        <x:v>33.2</x:v>
      </x:c>
      <x:c r="M372" s="82" t="n">
        <x:v>24.7</x:v>
      </x:c>
      <x:c r="N372" s="86" t="n">
        <x:v>857</x:v>
      </x:c>
      <x:c r="O372" s="90" t="n">
        <x:v>6.47</x:v>
      </x:c>
      <x:c r="P372" s="150" t="n">
        <x:v>3.974</x:v>
      </x:c>
      <x:c r="Q372" s="86" t="n">
        <x:v>18</x:v>
      </x:c>
      <x:c r="R372" s="32"/>
      <x:c r="S372" s="32" t="str">
        <x:v>ok</x:v>
      </x:c>
      <x:c r="T372" s="32" t="str">
        <x:v>ok</x:v>
      </x:c>
      <x:c r="U372" s="32" t="str">
        <x:v>ok</x:v>
      </x:c>
      <x:c r="V372" s="32" t="str">
        <x:v>ok</x:v>
      </x:c>
      <x:c r="W372" s="154" t="str">
        <x:v>{"schema_version":1,"imei":"862323089930709","timestamp":1786019453,"report_sequence":16,"task_version":"rice_tension_soil_demo","sensor_mode":"tension_soil","soil_moisture_percent":33.2,"soil_temperature_c":24.7,"soil_ec_us_cm":857,"soil_ph":6.47,"battery_mv":3974,"csq":18,"soil_rs485_status":"ok","cycle_status":"ok","soil_tension_kpa":-25.2,"soil_tension_rs485_status":"ok"}</x:v>
      </x:c>
    </x:row>
    <x:row r="373">
      <x:c r="A373" s="72" t="n">
        <x:v>46240.854780092595</x:v>
      </x:c>
      <x:c r="B373" s="72" t="n">
        <x:v>46240.85479398148</x:v>
      </x:c>
      <x:c r="C373" s="32" t="str">
        <x:v>P10</x:v>
      </x:c>
      <x:c r="D373" s="32" t="str">
        <x:v>B2-W1-V2</x:v>
      </x:c>
      <x:c r="E373" s="32" t="str">
        <x:v>B2</x:v>
      </x:c>
      <x:c r="F373" s="32" t="str">
        <x:v>W1</x:v>
      </x:c>
      <x:c r="G373" s="32" t="str">
        <x:v>V2</x:v>
      </x:c>
      <x:c r="H373" s="32" t="str">
        <x:v>tension_soil</x:v>
      </x:c>
      <x:c r="I373" s="32" t="str">
        <x:v>862323089930710</x:v>
      </x:c>
      <x:c r="J373" s="82"/>
      <x:c r="K373" s="82" t="n">
        <x:v>-21.1</x:v>
      </x:c>
      <x:c r="L373" s="82" t="n">
        <x:v>34.1</x:v>
      </x:c>
      <x:c r="M373" s="82" t="n">
        <x:v>24.6</x:v>
      </x:c>
      <x:c r="N373" s="86" t="n">
        <x:v>866</x:v>
      </x:c>
      <x:c r="O373" s="90" t="n">
        <x:v>6.27</x:v>
      </x:c>
      <x:c r="P373" s="150" t="n">
        <x:v>3.992</x:v>
      </x:c>
      <x:c r="Q373" s="86" t="n">
        <x:v>19</x:v>
      </x:c>
      <x:c r="R373" s="32"/>
      <x:c r="S373" s="32" t="str">
        <x:v>ok</x:v>
      </x:c>
      <x:c r="T373" s="32" t="str">
        <x:v>ok</x:v>
      </x:c>
      <x:c r="U373" s="32" t="str">
        <x:v>ok</x:v>
      </x:c>
      <x:c r="V373" s="32" t="str">
        <x:v>ok</x:v>
      </x:c>
      <x:c r="W373" s="154" t="str">
        <x:v>{"schema_version":1,"imei":"862323089930710","timestamp":1786019453,"report_sequence":16,"task_version":"rice_tension_soil_demo","sensor_mode":"tension_soil","soil_moisture_percent":34.1,"soil_temperature_c":24.6,"soil_ec_us_cm":866,"soil_ph":6.27,"battery_mv":3992,"csq":19,"soil_rs485_status":"ok","cycle_status":"ok","soil_tension_kpa":-21.1,"soil_tension_rs485_status":"ok"}</x:v>
      </x:c>
    </x:row>
    <x:row r="374">
      <x:c r="A374" s="72" t="n">
        <x:v>46240.854780092595</x:v>
      </x:c>
      <x:c r="B374" s="72" t="n">
        <x:v>46240.85479398148</x:v>
      </x:c>
      <x:c r="C374" s="32" t="str">
        <x:v>P11</x:v>
      </x:c>
      <x:c r="D374" s="32" t="str">
        <x:v>B2-W2-V1</x:v>
      </x:c>
      <x:c r="E374" s="32" t="str">
        <x:v>B2</x:v>
      </x:c>
      <x:c r="F374" s="32" t="str">
        <x:v>W2</x:v>
      </x:c>
      <x:c r="G374" s="32" t="str">
        <x:v>V1</x:v>
      </x:c>
      <x:c r="H374" s="32" t="str">
        <x:v>tension_soil</x:v>
      </x:c>
      <x:c r="I374" s="32" t="str">
        <x:v>862323089930711</x:v>
      </x:c>
      <x:c r="J374" s="82"/>
      <x:c r="K374" s="82" t="n">
        <x:v>-33</x:v>
      </x:c>
      <x:c r="L374" s="82" t="n">
        <x:v>35</x:v>
      </x:c>
      <x:c r="M374" s="82" t="n">
        <x:v>24.6</x:v>
      </x:c>
      <x:c r="N374" s="86" t="n">
        <x:v>877</x:v>
      </x:c>
      <x:c r="O374" s="90" t="n">
        <x:v>6.32</x:v>
      </x:c>
      <x:c r="P374" s="150" t="n">
        <x:v>4.01</x:v>
      </x:c>
      <x:c r="Q374" s="86" t="n">
        <x:v>20</x:v>
      </x:c>
      <x:c r="R374" s="32"/>
      <x:c r="S374" s="32" t="str">
        <x:v>ok</x:v>
      </x:c>
      <x:c r="T374" s="32" t="str">
        <x:v>ok</x:v>
      </x:c>
      <x:c r="U374" s="32" t="str">
        <x:v>ok</x:v>
      </x:c>
      <x:c r="V374" s="32" t="str">
        <x:v>ok</x:v>
      </x:c>
      <x:c r="W374" s="154" t="str">
        <x:v>{"schema_version":1,"imei":"862323089930711","timestamp":1786019453,"report_sequence":16,"task_version":"rice_tension_soil_demo","sensor_mode":"tension_soil","soil_moisture_percent":35,"soil_temperature_c":24.6,"soil_ec_us_cm":877,"soil_ph":6.32,"battery_mv":4010,"csq":20,"soil_rs485_status":"ok","cycle_status":"ok","soil_tension_kpa":-33,"soil_tension_rs485_status":"ok"}</x:v>
      </x:c>
    </x:row>
    <x:row r="375">
      <x:c r="A375" s="72" t="n">
        <x:v>46240.854780092595</x:v>
      </x:c>
      <x:c r="B375" s="72" t="n">
        <x:v>46240.85479398148</x:v>
      </x:c>
      <x:c r="C375" s="32" t="str">
        <x:v>P12</x:v>
      </x:c>
      <x:c r="D375" s="32" t="str">
        <x:v>B2-W2-V2</x:v>
      </x:c>
      <x:c r="E375" s="32" t="str">
        <x:v>B2</x:v>
      </x:c>
      <x:c r="F375" s="32" t="str">
        <x:v>W2</x:v>
      </x:c>
      <x:c r="G375" s="32" t="str">
        <x:v>V2</x:v>
      </x:c>
      <x:c r="H375" s="32" t="str">
        <x:v>tension_soil</x:v>
      </x:c>
      <x:c r="I375" s="32" t="str">
        <x:v>862323089930712</x:v>
      </x:c>
      <x:c r="J375" s="82"/>
      <x:c r="K375" s="82" t="n">
        <x:v>-34.1</x:v>
      </x:c>
      <x:c r="L375" s="82" t="n">
        <x:v>36.1</x:v>
      </x:c>
      <x:c r="M375" s="82" t="n">
        <x:v>24.6</x:v>
      </x:c>
      <x:c r="N375" s="86" t="n">
        <x:v>890</x:v>
      </x:c>
      <x:c r="O375" s="90" t="n">
        <x:v>6.37</x:v>
      </x:c>
      <x:c r="P375" s="150" t="n">
        <x:v>3.92</x:v>
      </x:c>
      <x:c r="Q375" s="86" t="n">
        <x:v>21</x:v>
      </x:c>
      <x:c r="R375" s="32"/>
      <x:c r="S375" s="32" t="str">
        <x:v>ok</x:v>
      </x:c>
      <x:c r="T375" s="32" t="str">
        <x:v>ok</x:v>
      </x:c>
      <x:c r="U375" s="32" t="str">
        <x:v>ok</x:v>
      </x:c>
      <x:c r="V375" s="32" t="str">
        <x:v>ok</x:v>
      </x:c>
      <x:c r="W375" s="154" t="str">
        <x:v>{"schema_version":1,"imei":"862323089930712","timestamp":1786019453,"report_sequence":16,"task_version":"rice_tension_soil_demo","sensor_mode":"tension_soil","soil_moisture_percent":36.1,"soil_temperature_c":24.6,"soil_ec_us_cm":890,"soil_ph":6.37,"battery_mv":3920,"csq":21,"soil_rs485_status":"ok","cycle_status":"ok","soil_tension_kpa":-34.1,"soil_tension_rs485_status":"ok"}</x:v>
      </x:c>
    </x:row>
    <x:row r="376">
      <x:c r="A376" s="72" t="n">
        <x:v>46240.854780092595</x:v>
      </x:c>
      <x:c r="B376" s="72" t="n">
        <x:v>46240.85479398148</x:v>
      </x:c>
      <x:c r="C376" s="32" t="str">
        <x:v>P13</x:v>
      </x:c>
      <x:c r="D376" s="32" t="str">
        <x:v>B3-W0-V1</x:v>
      </x:c>
      <x:c r="E376" s="32" t="str">
        <x:v>B3</x:v>
      </x:c>
      <x:c r="F376" s="32" t="str">
        <x:v>W0</x:v>
      </x:c>
      <x:c r="G376" s="32" t="str">
        <x:v>V1</x:v>
      </x:c>
      <x:c r="H376" s="32" t="str">
        <x:v>water_soil</x:v>
      </x:c>
      <x:c r="I376" s="32" t="str">
        <x:v>862323089930713</x:v>
      </x:c>
      <x:c r="J376" s="82" t="n">
        <x:v>26.6</x:v>
      </x:c>
      <x:c r="K376" s="82"/>
      <x:c r="L376" s="82" t="n">
        <x:v>37.2</x:v>
      </x:c>
      <x:c r="M376" s="82" t="n">
        <x:v>24.7</x:v>
      </x:c>
      <x:c r="N376" s="86" t="n">
        <x:v>905</x:v>
      </x:c>
      <x:c r="O376" s="90" t="n">
        <x:v>6.42</x:v>
      </x:c>
      <x:c r="P376" s="150" t="n">
        <x:v>3.938</x:v>
      </x:c>
      <x:c r="Q376" s="86" t="n">
        <x:v>22</x:v>
      </x:c>
      <x:c r="R376" s="32" t="str">
        <x:v>ok</x:v>
      </x:c>
      <x:c r="S376" s="32"/>
      <x:c r="T376" s="32" t="str">
        <x:v>ok</x:v>
      </x:c>
      <x:c r="U376" s="32" t="str">
        <x:v>ok</x:v>
      </x:c>
      <x:c r="V376" s="32" t="str">
        <x:v>ok</x:v>
      </x:c>
      <x:c r="W376" s="154" t="str">
        <x:v>{"schema_version":1,"imei":"862323089930713","timestamp":1786019453,"report_sequence":16,"task_version":"rice_w0_water_soil_demo","sensor_mode":"water_soil","soil_moisture_percent":37.2,"soil_temperature_c":24.7,"soil_ec_us_cm":905,"soil_ph":6.42,"battery_mv":3938,"csq":22,"soil_rs485_status":"ok","cycle_status":"ok","water_level_mm":26.6,"water_4_20ma_status":"ok"}</x:v>
      </x:c>
    </x:row>
    <x:row r="377">
      <x:c r="A377" s="72" t="n">
        <x:v>46240.854780092595</x:v>
      </x:c>
      <x:c r="B377" s="72" t="n">
        <x:v>46240.85479398148</x:v>
      </x:c>
      <x:c r="C377" s="32" t="str">
        <x:v>P14</x:v>
      </x:c>
      <x:c r="D377" s="32" t="str">
        <x:v>B3-W0-V2</x:v>
      </x:c>
      <x:c r="E377" s="32" t="str">
        <x:v>B3</x:v>
      </x:c>
      <x:c r="F377" s="32" t="str">
        <x:v>W0</x:v>
      </x:c>
      <x:c r="G377" s="32" t="str">
        <x:v>V2</x:v>
      </x:c>
      <x:c r="H377" s="32" t="str">
        <x:v>water_soil</x:v>
      </x:c>
      <x:c r="I377" s="32" t="str">
        <x:v>862323089930714</x:v>
      </x:c>
      <x:c r="J377" s="82" t="n">
        <x:v>30.4</x:v>
      </x:c>
      <x:c r="K377" s="82"/>
      <x:c r="L377" s="82" t="n">
        <x:v>38.5</x:v>
      </x:c>
      <x:c r="M377" s="82" t="n">
        <x:v>24.7</x:v>
      </x:c>
      <x:c r="N377" s="86" t="n">
        <x:v>922</x:v>
      </x:c>
      <x:c r="O377" s="90" t="n">
        <x:v>6.48</x:v>
      </x:c>
      <x:c r="P377" s="150" t="n">
        <x:v>3.956</x:v>
      </x:c>
      <x:c r="Q377" s="86" t="n">
        <x:v>23</x:v>
      </x:c>
      <x:c r="R377" s="32" t="str">
        <x:v>ok</x:v>
      </x:c>
      <x:c r="S377" s="32"/>
      <x:c r="T377" s="32" t="str">
        <x:v>ok</x:v>
      </x:c>
      <x:c r="U377" s="32" t="str">
        <x:v>ok</x:v>
      </x:c>
      <x:c r="V377" s="32" t="str">
        <x:v>ok</x:v>
      </x:c>
      <x:c r="W377" s="154" t="str">
        <x:v>{"schema_version":1,"imei":"862323089930714","timestamp":1786019453,"report_sequence":16,"task_version":"rice_w0_water_soil_demo","sensor_mode":"water_soil","soil_moisture_percent":38.5,"soil_temperature_c":24.7,"soil_ec_us_cm":922,"soil_ph":6.48,"battery_mv":3956,"csq":23,"soil_rs485_status":"ok","cycle_status":"ok","water_level_mm":30.4,"water_4_20ma_status":"ok"}</x:v>
      </x:c>
    </x:row>
    <x:row r="378">
      <x:c r="A378" s="72" t="n">
        <x:v>46240.854780092595</x:v>
      </x:c>
      <x:c r="B378" s="72" t="n">
        <x:v>46240.85479398148</x:v>
      </x:c>
      <x:c r="C378" s="32" t="str">
        <x:v>P15</x:v>
      </x:c>
      <x:c r="D378" s="32" t="str">
        <x:v>B3-W1-V1</x:v>
      </x:c>
      <x:c r="E378" s="32" t="str">
        <x:v>B3</x:v>
      </x:c>
      <x:c r="F378" s="32" t="str">
        <x:v>W1</x:v>
      </x:c>
      <x:c r="G378" s="32" t="str">
        <x:v>V1</x:v>
      </x:c>
      <x:c r="H378" s="32" t="str">
        <x:v>tension_soil</x:v>
      </x:c>
      <x:c r="I378" s="32" t="str">
        <x:v>862323089930715</x:v>
      </x:c>
      <x:c r="J378" s="82"/>
      <x:c r="K378" s="82" t="n">
        <x:v>-21.9</x:v>
      </x:c>
      <x:c r="L378" s="82" t="n">
        <x:v>39.9</x:v>
      </x:c>
      <x:c r="M378" s="82" t="n">
        <x:v>24.8</x:v>
      </x:c>
      <x:c r="N378" s="86" t="n">
        <x:v>941</x:v>
      </x:c>
      <x:c r="O378" s="90" t="n">
        <x:v>6.28</x:v>
      </x:c>
      <x:c r="P378" s="150" t="n">
        <x:v>3.974</x:v>
      </x:c>
      <x:c r="Q378" s="86" t="n">
        <x:v>24</x:v>
      </x:c>
      <x:c r="R378" s="32"/>
      <x:c r="S378" s="32" t="str">
        <x:v>ok</x:v>
      </x:c>
      <x:c r="T378" s="32" t="str">
        <x:v>ok</x:v>
      </x:c>
      <x:c r="U378" s="32" t="str">
        <x:v>ok</x:v>
      </x:c>
      <x:c r="V378" s="32" t="str">
        <x:v>ok</x:v>
      </x:c>
      <x:c r="W378" s="154" t="str">
        <x:v>{"schema_version":1,"imei":"862323089930715","timestamp":1786019453,"report_sequence":16,"task_version":"rice_tension_soil_demo","sensor_mode":"tension_soil","soil_moisture_percent":39.9,"soil_temperature_c":24.8,"soil_ec_us_cm":941,"soil_ph":6.28,"battery_mv":3974,"csq":24,"soil_rs485_status":"ok","cycle_status":"ok","soil_tension_kpa":-21.9,"soil_tension_rs485_status":"ok"}</x:v>
      </x:c>
    </x:row>
    <x:row r="379">
      <x:c r="A379" s="72" t="n">
        <x:v>46240.854780092595</x:v>
      </x:c>
      <x:c r="B379" s="72" t="n">
        <x:v>46240.85479398148</x:v>
      </x:c>
      <x:c r="C379" s="32" t="str">
        <x:v>P16</x:v>
      </x:c>
      <x:c r="D379" s="32" t="str">
        <x:v>B3-W1-V2</x:v>
      </x:c>
      <x:c r="E379" s="32" t="str">
        <x:v>B3</x:v>
      </x:c>
      <x:c r="F379" s="32" t="str">
        <x:v>W1</x:v>
      </x:c>
      <x:c r="G379" s="32" t="str">
        <x:v>V2</x:v>
      </x:c>
      <x:c r="H379" s="32" t="str">
        <x:v>tension_soil</x:v>
      </x:c>
      <x:c r="I379" s="32" t="str">
        <x:v>862323089930716</x:v>
      </x:c>
      <x:c r="J379" s="82"/>
      <x:c r="K379" s="82" t="n">
        <x:v>-23.4</x:v>
      </x:c>
      <x:c r="L379" s="82" t="n">
        <x:v>33.4</x:v>
      </x:c>
      <x:c r="M379" s="82" t="n">
        <x:v>24.9</x:v>
      </x:c>
      <x:c r="N379" s="86" t="n">
        <x:v>961</x:v>
      </x:c>
      <x:c r="O379" s="90" t="n">
        <x:v>6.34</x:v>
      </x:c>
      <x:c r="P379" s="150" t="n">
        <x:v>3.992</x:v>
      </x:c>
      <x:c r="Q379" s="86" t="n">
        <x:v>17</x:v>
      </x:c>
      <x:c r="R379" s="32"/>
      <x:c r="S379" s="32" t="str">
        <x:v>ok</x:v>
      </x:c>
      <x:c r="T379" s="32" t="str">
        <x:v>ok</x:v>
      </x:c>
      <x:c r="U379" s="32" t="str">
        <x:v>ok</x:v>
      </x:c>
      <x:c r="V379" s="32" t="str">
        <x:v>ok</x:v>
      </x:c>
      <x:c r="W379" s="154" t="str">
        <x:v>{"schema_version":1,"imei":"862323089930716","timestamp":1786019453,"report_sequence":16,"task_version":"rice_tension_soil_demo","sensor_mode":"tension_soil","soil_moisture_percent":33.4,"soil_temperature_c":24.9,"soil_ec_us_cm":961,"soil_ph":6.34,"battery_mv":3992,"csq":17,"soil_rs485_status":"ok","cycle_status":"ok","soil_tension_kpa":-23.4,"soil_tension_rs485_status":"ok"}</x:v>
      </x:c>
    </x:row>
    <x:row r="380">
      <x:c r="A380" s="72" t="n">
        <x:v>46240.854780092595</x:v>
      </x:c>
      <x:c r="B380" s="72" t="n">
        <x:v>46240.85479398148</x:v>
      </x:c>
      <x:c r="C380" s="32" t="str">
        <x:v>P17</x:v>
      </x:c>
      <x:c r="D380" s="32" t="str">
        <x:v>B3-W2-V1</x:v>
      </x:c>
      <x:c r="E380" s="32" t="str">
        <x:v>B3</x:v>
      </x:c>
      <x:c r="F380" s="32" t="str">
        <x:v>W2</x:v>
      </x:c>
      <x:c r="G380" s="32" t="str">
        <x:v>V1</x:v>
      </x:c>
      <x:c r="H380" s="32" t="str">
        <x:v>tension_soil</x:v>
      </x:c>
      <x:c r="I380" s="32" t="str">
        <x:v>862323089930717</x:v>
      </x:c>
      <x:c r="J380" s="82"/>
      <x:c r="K380" s="82" t="n">
        <x:v>-35.9</x:v>
      </x:c>
      <x:c r="L380" s="82" t="n">
        <x:v>34.9</x:v>
      </x:c>
      <x:c r="M380" s="82" t="n">
        <x:v>25.1</x:v>
      </x:c>
      <x:c r="N380" s="86" t="n">
        <x:v>982</x:v>
      </x:c>
      <x:c r="O380" s="90" t="n">
        <x:v>6.4</x:v>
      </x:c>
      <x:c r="P380" s="150" t="n">
        <x:v>4.01</x:v>
      </x:c>
      <x:c r="Q380" s="86" t="n">
        <x:v>18</x:v>
      </x:c>
      <x:c r="R380" s="32"/>
      <x:c r="S380" s="32" t="str">
        <x:v>ok</x:v>
      </x:c>
      <x:c r="T380" s="32" t="str">
        <x:v>ok</x:v>
      </x:c>
      <x:c r="U380" s="32" t="str">
        <x:v>ok</x:v>
      </x:c>
      <x:c r="V380" s="32" t="str">
        <x:v>ok</x:v>
      </x:c>
      <x:c r="W380" s="154" t="str">
        <x:v>{"schema_version":1,"imei":"862323089930717","timestamp":1786019453,"report_sequence":16,"task_version":"rice_tension_soil_demo","sensor_mode":"tension_soil","soil_moisture_percent":34.9,"soil_temperature_c":25.1,"soil_ec_us_cm":982,"soil_ph":6.4,"battery_mv":4010,"csq":18,"soil_rs485_status":"ok","cycle_status":"ok","soil_tension_kpa":-35.9,"soil_tension_rs485_status":"ok"}</x:v>
      </x:c>
    </x:row>
    <x:row r="381">
      <x:c r="A381" s="72" t="n">
        <x:v>46240.854780092595</x:v>
      </x:c>
      <x:c r="B381" s="72" t="n">
        <x:v>46240.85479398148</x:v>
      </x:c>
      <x:c r="C381" s="32" t="str">
        <x:v>P18</x:v>
      </x:c>
      <x:c r="D381" s="32" t="str">
        <x:v>B3-W2-V2</x:v>
      </x:c>
      <x:c r="E381" s="32" t="str">
        <x:v>B3</x:v>
      </x:c>
      <x:c r="F381" s="32" t="str">
        <x:v>W2</x:v>
      </x:c>
      <x:c r="G381" s="32" t="str">
        <x:v>V2</x:v>
      </x:c>
      <x:c r="H381" s="32" t="str">
        <x:v>tension_soil</x:v>
      </x:c>
      <x:c r="I381" s="32" t="str">
        <x:v>862323089930718</x:v>
      </x:c>
      <x:c r="J381" s="82"/>
      <x:c r="K381" s="82" t="n">
        <x:v>-37.4</x:v>
      </x:c>
      <x:c r="L381" s="82" t="n">
        <x:v>36.4</x:v>
      </x:c>
      <x:c r="M381" s="82" t="n">
        <x:v>25.2</x:v>
      </x:c>
      <x:c r="N381" s="86" t="n">
        <x:v>1002</x:v>
      </x:c>
      <x:c r="O381" s="90" t="n">
        <x:v>6.46</x:v>
      </x:c>
      <x:c r="P381" s="150" t="n">
        <x:v>3.92</x:v>
      </x:c>
      <x:c r="Q381" s="86" t="n">
        <x:v>19</x:v>
      </x:c>
      <x:c r="R381" s="32"/>
      <x:c r="S381" s="32" t="str">
        <x:v>ok</x:v>
      </x:c>
      <x:c r="T381" s="32" t="str">
        <x:v>ok</x:v>
      </x:c>
      <x:c r="U381" s="32" t="str">
        <x:v>ok</x:v>
      </x:c>
      <x:c r="V381" s="32" t="str">
        <x:v>ok</x:v>
      </x:c>
      <x:c r="W381" s="154" t="str">
        <x:v>{"schema_version":1,"imei":"862323089930718","timestamp":1786019453,"report_sequence":16,"task_version":"rice_tension_soil_demo","sensor_mode":"tension_soil","soil_moisture_percent":36.4,"soil_temperature_c":25.2,"soil_ec_us_cm":1002,"soil_ph":6.46,"battery_mv":3920,"csq":19,"soil_rs485_status":"ok","cycle_status":"ok","soil_tension_kpa":-37.4,"soil_tension_rs485_status":"ok"}</x:v>
      </x:c>
    </x:row>
    <x:row r="382">
      <x:c r="A382" s="72" t="n">
        <x:v>46240.854780092595</x:v>
      </x:c>
      <x:c r="B382" s="72" t="n">
        <x:v>46240.85479398148</x:v>
      </x:c>
      <x:c r="C382" s="32" t="str">
        <x:v>P19</x:v>
      </x:c>
      <x:c r="D382" s="32" t="str">
        <x:v>B4-W0-V1</x:v>
      </x:c>
      <x:c r="E382" s="32" t="str">
        <x:v>B4</x:v>
      </x:c>
      <x:c r="F382" s="32" t="str">
        <x:v>W0</x:v>
      </x:c>
      <x:c r="G382" s="32" t="str">
        <x:v>V1</x:v>
      </x:c>
      <x:c r="H382" s="32" t="str">
        <x:v>water_soil</x:v>
      </x:c>
      <x:c r="I382" s="32" t="str">
        <x:v>862323089930719</x:v>
      </x:c>
      <x:c r="J382" s="82" t="n">
        <x:v>39.1</x:v>
      </x:c>
      <x:c r="K382" s="82"/>
      <x:c r="L382" s="82" t="n">
        <x:v>37.8</x:v>
      </x:c>
      <x:c r="M382" s="82" t="n">
        <x:v>25.3</x:v>
      </x:c>
      <x:c r="N382" s="86" t="n">
        <x:v>1023</x:v>
      </x:c>
      <x:c r="O382" s="90" t="n">
        <x:v>6.51</x:v>
      </x:c>
      <x:c r="P382" s="150" t="n">
        <x:v>3.938</x:v>
      </x:c>
      <x:c r="Q382" s="86" t="n">
        <x:v>20</x:v>
      </x:c>
      <x:c r="R382" s="32" t="str">
        <x:v>ok</x:v>
      </x:c>
      <x:c r="S382" s="32"/>
      <x:c r="T382" s="32" t="str">
        <x:v>ok</x:v>
      </x:c>
      <x:c r="U382" s="32" t="str">
        <x:v>ok</x:v>
      </x:c>
      <x:c r="V382" s="32" t="str">
        <x:v>ok</x:v>
      </x:c>
      <x:c r="W382" s="154" t="str">
        <x:v>{"schema_version":1,"imei":"862323089930719","timestamp":1786019453,"report_sequence":16,"task_version":"rice_w0_water_soil_demo","sensor_mode":"water_soil","soil_moisture_percent":37.8,"soil_temperature_c":25.3,"soil_ec_us_cm":1023,"soil_ph":6.51,"battery_mv":3938,"csq":20,"soil_rs485_status":"ok","cycle_status":"ok","water_level_mm":39.1,"water_4_20ma_status":"ok"}</x:v>
      </x:c>
    </x:row>
    <x:row r="383">
      <x:c r="A383" s="72" t="n">
        <x:v>46240.854780092595</x:v>
      </x:c>
      <x:c r="B383" s="72" t="n">
        <x:v>46240.85479398148</x:v>
      </x:c>
      <x:c r="C383" s="32" t="str">
        <x:v>P20</x:v>
      </x:c>
      <x:c r="D383" s="32" t="str">
        <x:v>B4-W0-V2</x:v>
      </x:c>
      <x:c r="E383" s="32" t="str">
        <x:v>B4</x:v>
      </x:c>
      <x:c r="F383" s="32" t="str">
        <x:v>W0</x:v>
      </x:c>
      <x:c r="G383" s="32" t="str">
        <x:v>V2</x:v>
      </x:c>
      <x:c r="H383" s="32" t="str">
        <x:v>water_soil</x:v>
      </x:c>
      <x:c r="I383" s="32" t="str">
        <x:v>862323089930720</x:v>
      </x:c>
      <x:c r="J383" s="82" t="n">
        <x:v>31.2</x:v>
      </x:c>
      <x:c r="K383" s="82"/>
      <x:c r="L383" s="82" t="n">
        <x:v>39.3</x:v>
      </x:c>
      <x:c r="M383" s="82" t="n">
        <x:v>25.4</x:v>
      </x:c>
      <x:c r="N383" s="86" t="n">
        <x:v>1042</x:v>
      </x:c>
      <x:c r="O383" s="90" t="n">
        <x:v>6.32</x:v>
      </x:c>
      <x:c r="P383" s="150" t="n">
        <x:v>3.956</x:v>
      </x:c>
      <x:c r="Q383" s="86" t="n">
        <x:v>21</x:v>
      </x:c>
      <x:c r="R383" s="32" t="str">
        <x:v>ok</x:v>
      </x:c>
      <x:c r="S383" s="32"/>
      <x:c r="T383" s="32" t="str">
        <x:v>ok</x:v>
      </x:c>
      <x:c r="U383" s="32" t="str">
        <x:v>ok</x:v>
      </x:c>
      <x:c r="V383" s="32" t="str">
        <x:v>ok</x:v>
      </x:c>
      <x:c r="W383" s="154" t="str">
        <x:v>{"schema_version":1,"imei":"862323089930720","timestamp":1786019453,"report_sequence":16,"task_version":"rice_w0_water_soil_demo","sensor_mode":"water_soil","soil_moisture_percent":39.3,"soil_temperature_c":25.4,"soil_ec_us_cm":1042,"soil_ph":6.32,"battery_mv":3956,"csq":21,"soil_rs485_status":"ok","cycle_status":"ok","water_level_mm":31.2,"water_4_20ma_status":"ok"}</x:v>
      </x:c>
    </x:row>
    <x:row r="384">
      <x:c r="A384" s="72" t="n">
        <x:v>46240.854780092595</x:v>
      </x:c>
      <x:c r="B384" s="72" t="n">
        <x:v>46240.85479398148</x:v>
      </x:c>
      <x:c r="C384" s="32" t="str">
        <x:v>P21</x:v>
      </x:c>
      <x:c r="D384" s="32" t="str">
        <x:v>B4-W1-V1</x:v>
      </x:c>
      <x:c r="E384" s="32" t="str">
        <x:v>B4</x:v>
      </x:c>
      <x:c r="F384" s="32" t="str">
        <x:v>W1</x:v>
      </x:c>
      <x:c r="G384" s="32" t="str">
        <x:v>V1</x:v>
      </x:c>
      <x:c r="H384" s="32" t="str">
        <x:v>tension_soil</x:v>
      </x:c>
      <x:c r="I384" s="32" t="str">
        <x:v>862323089930721</x:v>
      </x:c>
      <x:c r="J384" s="82"/>
      <x:c r="K384" s="82" t="n">
        <x:v>-25.6</x:v>
      </x:c>
      <x:c r="L384" s="82" t="n">
        <x:v>40.6</x:v>
      </x:c>
      <x:c r="M384" s="82" t="n">
        <x:v>25.5</x:v>
      </x:c>
      <x:c r="N384" s="86" t="n">
        <x:v>1060</x:v>
      </x:c>
      <x:c r="O384" s="90" t="n">
        <x:v>6.37</x:v>
      </x:c>
      <x:c r="P384" s="150" t="n">
        <x:v>3.974</x:v>
      </x:c>
      <x:c r="Q384" s="86" t="n">
        <x:v>22</x:v>
      </x:c>
      <x:c r="R384" s="32"/>
      <x:c r="S384" s="32" t="str">
        <x:v>ok</x:v>
      </x:c>
      <x:c r="T384" s="32" t="str">
        <x:v>ok</x:v>
      </x:c>
      <x:c r="U384" s="32" t="str">
        <x:v>ok</x:v>
      </x:c>
      <x:c r="V384" s="32" t="str">
        <x:v>ok</x:v>
      </x:c>
      <x:c r="W384" s="154" t="str">
        <x:v>{"schema_version":1,"imei":"862323089930721","timestamp":1786019453,"report_sequence":16,"task_version":"rice_tension_soil_demo","sensor_mode":"tension_soil","soil_moisture_percent":40.6,"soil_temperature_c":25.5,"soil_ec_us_cm":1060,"soil_ph":6.37,"battery_mv":3974,"csq":22,"soil_rs485_status":"ok","cycle_status":"ok","soil_tension_kpa":-25.6,"soil_tension_rs485_status":"ok"}</x:v>
      </x:c>
    </x:row>
    <x:row r="385">
      <x:c r="A385" s="72" t="n">
        <x:v>46240.854780092595</x:v>
      </x:c>
      <x:c r="B385" s="72" t="n">
        <x:v>46240.85479398148</x:v>
      </x:c>
      <x:c r="C385" s="32" t="str">
        <x:v>P22</x:v>
      </x:c>
      <x:c r="D385" s="32" t="str">
        <x:v>B4-W1-V2</x:v>
      </x:c>
      <x:c r="E385" s="32" t="str">
        <x:v>B4</x:v>
      </x:c>
      <x:c r="F385" s="32" t="str">
        <x:v>W1</x:v>
      </x:c>
      <x:c r="G385" s="32" t="str">
        <x:v>V2</x:v>
      </x:c>
      <x:c r="H385" s="32" t="str">
        <x:v>tension_soil</x:v>
      </x:c>
      <x:c r="I385" s="32" t="str">
        <x:v>862323089930722</x:v>
      </x:c>
      <x:c r="J385" s="82"/>
      <x:c r="K385" s="82" t="n">
        <x:v>-26.9</x:v>
      </x:c>
      <x:c r="L385" s="82" t="n">
        <x:v>41.9</x:v>
      </x:c>
      <x:c r="M385" s="82" t="n">
        <x:v>25.6</x:v>
      </x:c>
      <x:c r="N385" s="86" t="n">
        <x:v>1076</x:v>
      </x:c>
      <x:c r="O385" s="90" t="n">
        <x:v>6.43</x:v>
      </x:c>
      <x:c r="P385" s="150" t="n">
        <x:v>3.992</x:v>
      </x:c>
      <x:c r="Q385" s="86" t="n">
        <x:v>23</x:v>
      </x:c>
      <x:c r="R385" s="32"/>
      <x:c r="S385" s="32" t="str">
        <x:v>ok</x:v>
      </x:c>
      <x:c r="T385" s="32" t="str">
        <x:v>ok</x:v>
      </x:c>
      <x:c r="U385" s="32" t="str">
        <x:v>ok</x:v>
      </x:c>
      <x:c r="V385" s="32" t="str">
        <x:v>ok</x:v>
      </x:c>
      <x:c r="W385" s="154" t="str">
        <x:v>{"schema_version":1,"imei":"862323089930722","timestamp":1786019453,"report_sequence":16,"task_version":"rice_tension_soil_demo","sensor_mode":"tension_soil","soil_moisture_percent":41.9,"soil_temperature_c":25.6,"soil_ec_us_cm":1076,"soil_ph":6.43,"battery_mv":3992,"csq":23,"soil_rs485_status":"ok","cycle_status":"ok","soil_tension_kpa":-26.9,"soil_tension_rs485_status":"ok"}</x:v>
      </x:c>
    </x:row>
    <x:row r="386">
      <x:c r="A386" s="72" t="n">
        <x:v>46240.854780092595</x:v>
      </x:c>
      <x:c r="B386" s="72" t="n">
        <x:v>46240.85479398148</x:v>
      </x:c>
      <x:c r="C386" s="32" t="str">
        <x:v>P23</x:v>
      </x:c>
      <x:c r="D386" s="32" t="str">
        <x:v>B4-W2-V1</x:v>
      </x:c>
      <x:c r="E386" s="32" t="str">
        <x:v>B4</x:v>
      </x:c>
      <x:c r="F386" s="32" t="str">
        <x:v>W2</x:v>
      </x:c>
      <x:c r="G386" s="32" t="str">
        <x:v>V1</x:v>
      </x:c>
      <x:c r="H386" s="32" t="str">
        <x:v>tension_soil</x:v>
      </x:c>
      <x:c r="I386" s="32" t="str">
        <x:v>862323089930723</x:v>
      </x:c>
      <x:c r="J386" s="82"/>
      <x:c r="K386" s="82" t="n">
        <x:v>-39</x:v>
      </x:c>
      <x:c r="L386" s="82" t="n">
        <x:v>43</x:v>
      </x:c>
      <x:c r="M386" s="82" t="n">
        <x:v>25.6</x:v>
      </x:c>
      <x:c r="N386" s="86" t="n">
        <x:v>1091</x:v>
      </x:c>
      <x:c r="O386" s="90" t="n">
        <x:v>6.48</x:v>
      </x:c>
      <x:c r="P386" s="150" t="n">
        <x:v>4.01</x:v>
      </x:c>
      <x:c r="Q386" s="86" t="n">
        <x:v>24</x:v>
      </x:c>
      <x:c r="R386" s="32"/>
      <x:c r="S386" s="32" t="str">
        <x:v>ok</x:v>
      </x:c>
      <x:c r="T386" s="32" t="str">
        <x:v>ok</x:v>
      </x:c>
      <x:c r="U386" s="32" t="str">
        <x:v>ok</x:v>
      </x:c>
      <x:c r="V386" s="32" t="str">
        <x:v>ok</x:v>
      </x:c>
      <x:c r="W386" s="154" t="str">
        <x:v>{"schema_version":1,"imei":"862323089930723","timestamp":1786019453,"report_sequence":16,"task_version":"rice_tension_soil_demo","sensor_mode":"tension_soil","soil_moisture_percent":43,"soil_temperature_c":25.6,"soil_ec_us_cm":1091,"soil_ph":6.48,"battery_mv":4010,"csq":24,"soil_rs485_status":"ok","cycle_status":"ok","soil_tension_kpa":-39,"soil_tension_rs485_status":"ok"}</x:v>
      </x:c>
    </x:row>
    <x:row r="387">
      <x:c r="A387" s="72" t="n">
        <x:v>46240.854780092595</x:v>
      </x:c>
      <x:c r="B387" s="72" t="n">
        <x:v>46240.85479398148</x:v>
      </x:c>
      <x:c r="C387" s="32" t="str">
        <x:v>P24</x:v>
      </x:c>
      <x:c r="D387" s="32" t="str">
        <x:v>B4-W2-V2</x:v>
      </x:c>
      <x:c r="E387" s="32" t="str">
        <x:v>B4</x:v>
      </x:c>
      <x:c r="F387" s="32" t="str">
        <x:v>W2</x:v>
      </x:c>
      <x:c r="G387" s="32" t="str">
        <x:v>V2</x:v>
      </x:c>
      <x:c r="H387" s="32" t="str">
        <x:v>tension_soil</x:v>
      </x:c>
      <x:c r="I387" s="32" t="str">
        <x:v>862323089930724</x:v>
      </x:c>
      <x:c r="J387" s="82"/>
      <x:c r="K387" s="82" t="n">
        <x:v>-40</x:v>
      </x:c>
      <x:c r="L387" s="82" t="n">
        <x:v>36</x:v>
      </x:c>
      <x:c r="M387" s="82" t="n">
        <x:v>25.6</x:v>
      </x:c>
      <x:c r="N387" s="86" t="n">
        <x:v>1103</x:v>
      </x:c>
      <x:c r="O387" s="90" t="n">
        <x:v>6.53</x:v>
      </x:c>
      <x:c r="P387" s="150" t="n">
        <x:v>3.92</x:v>
      </x:c>
      <x:c r="Q387" s="86" t="n">
        <x:v>17</x:v>
      </x:c>
      <x:c r="R387" s="32"/>
      <x:c r="S387" s="32" t="str">
        <x:v>ok</x:v>
      </x:c>
      <x:c r="T387" s="32" t="str">
        <x:v>ok</x:v>
      </x:c>
      <x:c r="U387" s="32" t="str">
        <x:v>ok</x:v>
      </x:c>
      <x:c r="V387" s="32" t="str">
        <x:v>ok</x:v>
      </x:c>
      <x:c r="W387" s="154" t="str">
        <x:v>{"schema_version":1,"imei":"862323089930724","timestamp":1786019453,"report_sequence":16,"task_version":"rice_tension_soil_demo","sensor_mode":"tension_soil","soil_moisture_percent":36,"soil_temperature_c":25.6,"soil_ec_us_cm":1103,"soil_ph":6.53,"battery_mv":3920,"csq":17,"soil_rs485_status":"ok","cycle_status":"ok","soil_tension_kpa":-40,"soil_tension_rs485_status":"ok"}</x:v>
      </x:c>
    </x:row>
    <x:row r="388">
      <x:c r="A388" s="72" t="n">
        <x:v>46240.858252314814</x:v>
      </x:c>
      <x:c r="B388" s="72" t="n">
        <x:v>46240.8582662037</x:v>
      </x:c>
      <x:c r="C388" s="32" t="str">
        <x:v>P01</x:v>
      </x:c>
      <x:c r="D388" s="32" t="str">
        <x:v>B1-W0-V1</x:v>
      </x:c>
      <x:c r="E388" s="32" t="str">
        <x:v>B1</x:v>
      </x:c>
      <x:c r="F388" s="32" t="str">
        <x:v>W0</x:v>
      </x:c>
      <x:c r="G388" s="32" t="str">
        <x:v>V1</x:v>
      </x:c>
      <x:c r="H388" s="32" t="str">
        <x:v>water_soil</x:v>
      </x:c>
      <x:c r="I388" s="32" t="str">
        <x:v>862323089930701</x:v>
      </x:c>
      <x:c r="J388" s="82" t="n">
        <x:v>35.6</x:v>
      </x:c>
      <x:c r="K388" s="82"/>
      <x:c r="L388" s="82" t="n">
        <x:v>36.8</x:v>
      </x:c>
      <x:c r="M388" s="82" t="n">
        <x:v>25.6</x:v>
      </x:c>
      <x:c r="N388" s="86" t="n">
        <x:v>824</x:v>
      </x:c>
      <x:c r="O388" s="90" t="n">
        <x:v>6.38</x:v>
      </x:c>
      <x:c r="P388" s="150" t="n">
        <x:v>3.938</x:v>
      </x:c>
      <x:c r="Q388" s="86" t="n">
        <x:v>18</x:v>
      </x:c>
      <x:c r="R388" s="32" t="str">
        <x:v>ok</x:v>
      </x:c>
      <x:c r="S388" s="32"/>
      <x:c r="T388" s="32" t="str">
        <x:v>ok</x:v>
      </x:c>
      <x:c r="U388" s="32" t="str">
        <x:v>ok</x:v>
      </x:c>
      <x:c r="V388" s="32" t="str">
        <x:v>ok</x:v>
      </x:c>
      <x:c r="W388" s="154" t="str">
        <x:v>{"schema_version":1,"imei":"862323089930701","timestamp":1786019753,"report_sequence":17,"task_version":"rice_w0_water_soil_demo","sensor_mode":"water_soil","soil_moisture_percent":36.8,"soil_temperature_c":25.6,"soil_ec_us_cm":824,"soil_ph":6.38,"battery_mv":3938,"csq":18,"soil_rs485_status":"ok","cycle_status":"ok","water_level_mm":35.6,"water_4_20ma_status":"ok"}</x:v>
      </x:c>
    </x:row>
    <x:row r="389">
      <x:c r="A389" s="72" t="n">
        <x:v>46240.858252314814</x:v>
      </x:c>
      <x:c r="B389" s="72" t="n">
        <x:v>46240.8582662037</x:v>
      </x:c>
      <x:c r="C389" s="32" t="str">
        <x:v>P02</x:v>
      </x:c>
      <x:c r="D389" s="32" t="str">
        <x:v>B1-W0-V2</x:v>
      </x:c>
      <x:c r="E389" s="32" t="str">
        <x:v>B1</x:v>
      </x:c>
      <x:c r="F389" s="32" t="str">
        <x:v>W0</x:v>
      </x:c>
      <x:c r="G389" s="32" t="str">
        <x:v>V2</x:v>
      </x:c>
      <x:c r="H389" s="32" t="str">
        <x:v>water_soil</x:v>
      </x:c>
      <x:c r="I389" s="32" t="str">
        <x:v>862323089930702</x:v>
      </x:c>
      <x:c r="J389" s="82" t="n">
        <x:v>38</x:v>
      </x:c>
      <x:c r="K389" s="82"/>
      <x:c r="L389" s="82" t="n">
        <x:v>37.6</x:v>
      </x:c>
      <x:c r="M389" s="82" t="n">
        <x:v>25.5</x:v>
      </x:c>
      <x:c r="N389" s="86" t="n">
        <x:v>832</x:v>
      </x:c>
      <x:c r="O389" s="90" t="n">
        <x:v>6.42</x:v>
      </x:c>
      <x:c r="P389" s="150" t="n">
        <x:v>3.956</x:v>
      </x:c>
      <x:c r="Q389" s="86" t="n">
        <x:v>19</x:v>
      </x:c>
      <x:c r="R389" s="32" t="str">
        <x:v>ok</x:v>
      </x:c>
      <x:c r="S389" s="32"/>
      <x:c r="T389" s="32" t="str">
        <x:v>ok</x:v>
      </x:c>
      <x:c r="U389" s="32" t="str">
        <x:v>ok</x:v>
      </x:c>
      <x:c r="V389" s="32" t="str">
        <x:v>ok</x:v>
      </x:c>
      <x:c r="W389" s="154" t="str">
        <x:v>{"schema_version":1,"imei":"862323089930702","timestamp":1786019753,"report_sequence":17,"task_version":"rice_w0_water_soil_demo","sensor_mode":"water_soil","soil_moisture_percent":37.6,"soil_temperature_c":25.5,"soil_ec_us_cm":832,"soil_ph":6.42,"battery_mv":3956,"csq":19,"soil_rs485_status":"ok","cycle_status":"ok","water_level_mm":38,"water_4_20ma_status":"ok"}</x:v>
      </x:c>
    </x:row>
    <x:row r="390">
      <x:c r="A390" s="72" t="n">
        <x:v>46240.858252314814</x:v>
      </x:c>
      <x:c r="B390" s="72" t="n">
        <x:v>46240.8582662037</x:v>
      </x:c>
      <x:c r="C390" s="32" t="str">
        <x:v>P03</x:v>
      </x:c>
      <x:c r="D390" s="32" t="str">
        <x:v>B1-W1-V1</x:v>
      </x:c>
      <x:c r="E390" s="32" t="str">
        <x:v>B1</x:v>
      </x:c>
      <x:c r="F390" s="32" t="str">
        <x:v>W1</x:v>
      </x:c>
      <x:c r="G390" s="32" t="str">
        <x:v>V1</x:v>
      </x:c>
      <x:c r="H390" s="32" t="str">
        <x:v>tension_soil</x:v>
      </x:c>
      <x:c r="I390" s="32" t="str">
        <x:v>862323089930703</x:v>
      </x:c>
      <x:c r="J390" s="82"/>
      <x:c r="K390" s="82" t="n">
        <x:v>-27.2</x:v>
      </x:c>
      <x:c r="L390" s="82" t="n">
        <x:v>38.2</x:v>
      </x:c>
      <x:c r="M390" s="82" t="n">
        <x:v>25.4</x:v>
      </x:c>
      <x:c r="N390" s="86" t="n">
        <x:v>838</x:v>
      </x:c>
      <x:c r="O390" s="90" t="n">
        <x:v>6.47</x:v>
      </x:c>
      <x:c r="P390" s="150" t="n">
        <x:v>3.974</x:v>
      </x:c>
      <x:c r="Q390" s="86" t="n">
        <x:v>20</x:v>
      </x:c>
      <x:c r="R390" s="32"/>
      <x:c r="S390" s="32" t="str">
        <x:v>ok</x:v>
      </x:c>
      <x:c r="T390" s="32" t="str">
        <x:v>ok</x:v>
      </x:c>
      <x:c r="U390" s="32" t="str">
        <x:v>ok</x:v>
      </x:c>
      <x:c r="V390" s="32" t="str">
        <x:v>ok</x:v>
      </x:c>
      <x:c r="W390" s="154" t="str">
        <x:v>{"schema_version":1,"imei":"862323089930703","timestamp":1786019753,"report_sequence":17,"task_version":"rice_tension_soil_demo","sensor_mode":"tension_soil","soil_moisture_percent":38.2,"soil_temperature_c":25.4,"soil_ec_us_cm":838,"soil_ph":6.47,"battery_mv":3974,"csq":20,"soil_rs485_status":"ok","cycle_status":"ok","soil_tension_kpa":-27.2,"soil_tension_rs485_status":"ok"}</x:v>
      </x:c>
    </x:row>
    <x:row r="391">
      <x:c r="A391" s="72" t="n">
        <x:v>46240.858252314814</x:v>
      </x:c>
      <x:c r="B391" s="72" t="n">
        <x:v>46240.8582662037</x:v>
      </x:c>
      <x:c r="C391" s="32" t="str">
        <x:v>P04</x:v>
      </x:c>
      <x:c r="D391" s="32" t="str">
        <x:v>B1-W1-V2</x:v>
      </x:c>
      <x:c r="E391" s="32" t="str">
        <x:v>B1</x:v>
      </x:c>
      <x:c r="F391" s="32" t="str">
        <x:v>W1</x:v>
      </x:c>
      <x:c r="G391" s="32" t="str">
        <x:v>V2</x:v>
      </x:c>
      <x:c r="H391" s="32" t="str">
        <x:v>tension_soil</x:v>
      </x:c>
      <x:c r="I391" s="32" t="str">
        <x:v>862323089930704</x:v>
      </x:c>
      <x:c r="J391" s="82"/>
      <x:c r="K391" s="82" t="n">
        <x:v>-27.8</x:v>
      </x:c>
      <x:c r="L391" s="82" t="n">
        <x:v>38.8</x:v>
      </x:c>
      <x:c r="M391" s="82" t="n">
        <x:v>25.3</x:v>
      </x:c>
      <x:c r="N391" s="86" t="n">
        <x:v>842</x:v>
      </x:c>
      <x:c r="O391" s="90" t="n">
        <x:v>6.51</x:v>
      </x:c>
      <x:c r="P391" s="150" t="n">
        <x:v>3.992</x:v>
      </x:c>
      <x:c r="Q391" s="86" t="n">
        <x:v>21</x:v>
      </x:c>
      <x:c r="R391" s="32"/>
      <x:c r="S391" s="32" t="str">
        <x:v>ok</x:v>
      </x:c>
      <x:c r="T391" s="32" t="str">
        <x:v>ok</x:v>
      </x:c>
      <x:c r="U391" s="32" t="str">
        <x:v>ok</x:v>
      </x:c>
      <x:c r="V391" s="32" t="str">
        <x:v>ok</x:v>
      </x:c>
      <x:c r="W391" s="154" t="str">
        <x:v>{"schema_version":1,"imei":"862323089930704","timestamp":1786019753,"report_sequence":17,"task_version":"rice_tension_soil_demo","sensor_mode":"tension_soil","soil_moisture_percent":38.8,"soil_temperature_c":25.3,"soil_ec_us_cm":842,"soil_ph":6.51,"battery_mv":3992,"csq":21,"soil_rs485_status":"ok","cycle_status":"ok","soil_tension_kpa":-27.8,"soil_tension_rs485_status":"ok"}</x:v>
      </x:c>
    </x:row>
    <x:row r="392">
      <x:c r="A392" s="72" t="n">
        <x:v>46240.858252314814</x:v>
      </x:c>
      <x:c r="B392" s="72" t="n">
        <x:v>46240.8582662037</x:v>
      </x:c>
      <x:c r="C392" s="32" t="str">
        <x:v>P05</x:v>
      </x:c>
      <x:c r="D392" s="32" t="str">
        <x:v>B1-W2-V1</x:v>
      </x:c>
      <x:c r="E392" s="32" t="str">
        <x:v>B1</x:v>
      </x:c>
      <x:c r="F392" s="32" t="str">
        <x:v>W2</x:v>
      </x:c>
      <x:c r="G392" s="32" t="str">
        <x:v>V1</x:v>
      </x:c>
      <x:c r="H392" s="32" t="str">
        <x:v>tension_soil</x:v>
      </x:c>
      <x:c r="I392" s="32" t="str">
        <x:v>862323089930705</x:v>
      </x:c>
      <x:c r="J392" s="82"/>
      <x:c r="K392" s="82" t="n">
        <x:v>-34.3</x:v>
      </x:c>
      <x:c r="L392" s="82" t="n">
        <x:v>39.3</x:v>
      </x:c>
      <x:c r="M392" s="82" t="n">
        <x:v>25.2</x:v>
      </x:c>
      <x:c r="N392" s="86" t="n">
        <x:v>846</x:v>
      </x:c>
      <x:c r="O392" s="90" t="n">
        <x:v>6.31</x:v>
      </x:c>
      <x:c r="P392" s="150" t="n">
        <x:v>4.01</x:v>
      </x:c>
      <x:c r="Q392" s="86" t="n">
        <x:v>22</x:v>
      </x:c>
      <x:c r="R392" s="32"/>
      <x:c r="S392" s="32" t="str">
        <x:v>ok</x:v>
      </x:c>
      <x:c r="T392" s="32" t="str">
        <x:v>ok</x:v>
      </x:c>
      <x:c r="U392" s="32" t="str">
        <x:v>ok</x:v>
      </x:c>
      <x:c r="V392" s="32" t="str">
        <x:v>ok</x:v>
      </x:c>
      <x:c r="W392" s="154" t="str">
        <x:v>{"schema_version":1,"imei":"862323089930705","timestamp":1786019753,"report_sequence":17,"task_version":"rice_tension_soil_demo","sensor_mode":"tension_soil","soil_moisture_percent":39.3,"soil_temperature_c":25.2,"soil_ec_us_cm":846,"soil_ph":6.31,"battery_mv":4010,"csq":22,"soil_rs485_status":"ok","cycle_status":"ok","soil_tension_kpa":-34.3,"soil_tension_rs485_status":"ok"}</x:v>
      </x:c>
    </x:row>
    <x:row r="393">
      <x:c r="A393" s="72" t="n">
        <x:v>46240.858252314814</x:v>
      </x:c>
      <x:c r="B393" s="72" t="n">
        <x:v>46240.8582662037</x:v>
      </x:c>
      <x:c r="C393" s="32" t="str">
        <x:v>P06</x:v>
      </x:c>
      <x:c r="D393" s="32" t="str">
        <x:v>B1-W2-V2</x:v>
      </x:c>
      <x:c r="E393" s="32" t="str">
        <x:v>B1</x:v>
      </x:c>
      <x:c r="F393" s="32" t="str">
        <x:v>W2</x:v>
      </x:c>
      <x:c r="G393" s="32" t="str">
        <x:v>V2</x:v>
      </x:c>
      <x:c r="H393" s="32" t="str">
        <x:v>tension_soil</x:v>
      </x:c>
      <x:c r="I393" s="32" t="str">
        <x:v>862323089930706</x:v>
      </x:c>
      <x:c r="J393" s="82"/>
      <x:c r="K393" s="82" t="n">
        <x:v>-34.8</x:v>
      </x:c>
      <x:c r="L393" s="82" t="n">
        <x:v>39.8</x:v>
      </x:c>
      <x:c r="M393" s="82" t="n">
        <x:v>25.1</x:v>
      </x:c>
      <x:c r="N393" s="86" t="n">
        <x:v>849</x:v>
      </x:c>
      <x:c r="O393" s="90" t="n">
        <x:v>6.35</x:v>
      </x:c>
      <x:c r="P393" s="150" t="n">
        <x:v>3.92</x:v>
      </x:c>
      <x:c r="Q393" s="86" t="n">
        <x:v>23</x:v>
      </x:c>
      <x:c r="R393" s="32"/>
      <x:c r="S393" s="32" t="str">
        <x:v>ok</x:v>
      </x:c>
      <x:c r="T393" s="32" t="str">
        <x:v>ok</x:v>
      </x:c>
      <x:c r="U393" s="32" t="str">
        <x:v>ok</x:v>
      </x:c>
      <x:c r="V393" s="32" t="str">
        <x:v>ok</x:v>
      </x:c>
      <x:c r="W393" s="154" t="str">
        <x:v>{"schema_version":1,"imei":"862323089930706","timestamp":1786019753,"report_sequence":17,"task_version":"rice_tension_soil_demo","sensor_mode":"tension_soil","soil_moisture_percent":39.8,"soil_temperature_c":25.1,"soil_ec_us_cm":849,"soil_ph":6.35,"battery_mv":3920,"csq":23,"soil_rs485_status":"ok","cycle_status":"ok","soil_tension_kpa":-34.8,"soil_tension_rs485_status":"ok"}</x:v>
      </x:c>
    </x:row>
    <x:row r="394">
      <x:c r="A394" s="72" t="n">
        <x:v>46240.858252314814</x:v>
      </x:c>
      <x:c r="B394" s="72" t="n">
        <x:v>46240.8582662037</x:v>
      </x:c>
      <x:c r="C394" s="32" t="str">
        <x:v>P07</x:v>
      </x:c>
      <x:c r="D394" s="32" t="str">
        <x:v>B2-W0-V1</x:v>
      </x:c>
      <x:c r="E394" s="32" t="str">
        <x:v>B2</x:v>
      </x:c>
      <x:c r="F394" s="32" t="str">
        <x:v>W0</x:v>
      </x:c>
      <x:c r="G394" s="32" t="str">
        <x:v>V1</x:v>
      </x:c>
      <x:c r="H394" s="32" t="str">
        <x:v>water_soil</x:v>
      </x:c>
      <x:c r="I394" s="32" t="str">
        <x:v>862323089930707</x:v>
      </x:c>
      <x:c r="J394" s="82" t="n">
        <x:v>35.4</x:v>
      </x:c>
      <x:c r="K394" s="82"/>
      <x:c r="L394" s="82" t="n">
        <x:v>40.4</x:v>
      </x:c>
      <x:c r="M394" s="82" t="n">
        <x:v>24.9</x:v>
      </x:c>
      <x:c r="N394" s="86" t="n">
        <x:v>853</x:v>
      </x:c>
      <x:c r="O394" s="90" t="n">
        <x:v>6.39</x:v>
      </x:c>
      <x:c r="P394" s="150" t="n">
        <x:v>3.938</x:v>
      </x:c>
      <x:c r="Q394" s="86" t="n">
        <x:v>24</x:v>
      </x:c>
      <x:c r="R394" s="32" t="str">
        <x:v>ok</x:v>
      </x:c>
      <x:c r="S394" s="32"/>
      <x:c r="T394" s="32" t="str">
        <x:v>ok</x:v>
      </x:c>
      <x:c r="U394" s="32" t="str">
        <x:v>ok</x:v>
      </x:c>
      <x:c r="V394" s="32" t="str">
        <x:v>ok</x:v>
      </x:c>
      <x:c r="W394" s="154" t="str">
        <x:v>{"schema_version":1,"imei":"862323089930707","timestamp":1786019753,"report_sequence":17,"task_version":"rice_w0_water_soil_demo","sensor_mode":"water_soil","soil_moisture_percent":40.4,"soil_temperature_c":24.9,"soil_ec_us_cm":853,"soil_ph":6.39,"battery_mv":3938,"csq":24,"soil_rs485_status":"ok","cycle_status":"ok","water_level_mm":35.4,"water_4_20ma_status":"ok"}</x:v>
      </x:c>
    </x:row>
    <x:row r="395">
      <x:c r="A395" s="72" t="n">
        <x:v>46240.858252314814</x:v>
      </x:c>
      <x:c r="B395" s="72" t="n">
        <x:v>46240.8582662037</x:v>
      </x:c>
      <x:c r="C395" s="32" t="str">
        <x:v>P08</x:v>
      </x:c>
      <x:c r="D395" s="32" t="str">
        <x:v>B2-W0-V2</x:v>
      </x:c>
      <x:c r="E395" s="32" t="str">
        <x:v>B2</x:v>
      </x:c>
      <x:c r="F395" s="32" t="str">
        <x:v>W0</x:v>
      </x:c>
      <x:c r="G395" s="32" t="str">
        <x:v>V2</x:v>
      </x:c>
      <x:c r="H395" s="32" t="str">
        <x:v>water_soil</x:v>
      </x:c>
      <x:c r="I395" s="32" t="str">
        <x:v>862323089930708</x:v>
      </x:c>
      <x:c r="J395" s="82" t="n">
        <x:v>25.3</x:v>
      </x:c>
      <x:c r="K395" s="82"/>
      <x:c r="L395" s="82" t="n">
        <x:v>32.9</x:v>
      </x:c>
      <x:c r="M395" s="82" t="n">
        <x:v>24.8</x:v>
      </x:c>
      <x:c r="N395" s="86" t="n">
        <x:v>857</x:v>
      </x:c>
      <x:c r="O395" s="90" t="n">
        <x:v>6.43</x:v>
      </x:c>
      <x:c r="P395" s="150" t="n">
        <x:v>3.956</x:v>
      </x:c>
      <x:c r="Q395" s="86" t="n">
        <x:v>17</x:v>
      </x:c>
      <x:c r="R395" s="32" t="str">
        <x:v>ok</x:v>
      </x:c>
      <x:c r="S395" s="32"/>
      <x:c r="T395" s="32" t="str">
        <x:v>ok</x:v>
      </x:c>
      <x:c r="U395" s="32" t="str">
        <x:v>ok</x:v>
      </x:c>
      <x:c r="V395" s="32" t="str">
        <x:v>ok</x:v>
      </x:c>
      <x:c r="W395" s="154" t="str">
        <x:v>{"schema_version":1,"imei":"862323089930708","timestamp":1786019753,"report_sequence":17,"task_version":"rice_w0_water_soil_demo","sensor_mode":"water_soil","soil_moisture_percent":32.9,"soil_temperature_c":24.8,"soil_ec_us_cm":857,"soil_ph":6.43,"battery_mv":3956,"csq":17,"soil_rs485_status":"ok","cycle_status":"ok","water_level_mm":25.3,"water_4_20ma_status":"ok"}</x:v>
      </x:c>
    </x:row>
    <x:row r="396">
      <x:c r="A396" s="72" t="n">
        <x:v>46240.858252314814</x:v>
      </x:c>
      <x:c r="B396" s="72" t="n">
        <x:v>46240.8582662037</x:v>
      </x:c>
      <x:c r="C396" s="32" t="str">
        <x:v>P09</x:v>
      </x:c>
      <x:c r="D396" s="32" t="str">
        <x:v>B2-W1-V1</x:v>
      </x:c>
      <x:c r="E396" s="32" t="str">
        <x:v>B2</x:v>
      </x:c>
      <x:c r="F396" s="32" t="str">
        <x:v>W1</x:v>
      </x:c>
      <x:c r="G396" s="32" t="str">
        <x:v>V1</x:v>
      </x:c>
      <x:c r="H396" s="32" t="str">
        <x:v>tension_soil</x:v>
      </x:c>
      <x:c r="I396" s="32" t="str">
        <x:v>862323089930709</x:v>
      </x:c>
      <x:c r="J396" s="82"/>
      <x:c r="K396" s="82" t="n">
        <x:v>-25.5</x:v>
      </x:c>
      <x:c r="L396" s="82" t="n">
        <x:v>33.5</x:v>
      </x:c>
      <x:c r="M396" s="82" t="n">
        <x:v>24.7</x:v>
      </x:c>
      <x:c r="N396" s="86" t="n">
        <x:v>862</x:v>
      </x:c>
      <x:c r="O396" s="90" t="n">
        <x:v>6.48</x:v>
      </x:c>
      <x:c r="P396" s="150" t="n">
        <x:v>3.974</x:v>
      </x:c>
      <x:c r="Q396" s="86" t="n">
        <x:v>18</x:v>
      </x:c>
      <x:c r="R396" s="32"/>
      <x:c r="S396" s="32" t="str">
        <x:v>ok</x:v>
      </x:c>
      <x:c r="T396" s="32" t="str">
        <x:v>ok</x:v>
      </x:c>
      <x:c r="U396" s="32" t="str">
        <x:v>ok</x:v>
      </x:c>
      <x:c r="V396" s="32" t="str">
        <x:v>ok</x:v>
      </x:c>
      <x:c r="W396" s="154" t="str">
        <x:v>{"schema_version":1,"imei":"862323089930709","timestamp":1786019753,"report_sequence":17,"task_version":"rice_tension_soil_demo","sensor_mode":"tension_soil","soil_moisture_percent":33.5,"soil_temperature_c":24.7,"soil_ec_us_cm":862,"soil_ph":6.48,"battery_mv":3974,"csq":18,"soil_rs485_status":"ok","cycle_status":"ok","soil_tension_kpa":-25.5,"soil_tension_rs485_status":"ok"}</x:v>
      </x:c>
    </x:row>
    <x:row r="397">
      <x:c r="A397" s="72" t="n">
        <x:v>46240.858252314814</x:v>
      </x:c>
      <x:c r="B397" s="72" t="n">
        <x:v>46240.8582662037</x:v>
      </x:c>
      <x:c r="C397" s="32" t="str">
        <x:v>P10</x:v>
      </x:c>
      <x:c r="D397" s="32" t="str">
        <x:v>B2-W1-V2</x:v>
      </x:c>
      <x:c r="E397" s="32" t="str">
        <x:v>B2</x:v>
      </x:c>
      <x:c r="F397" s="32" t="str">
        <x:v>W1</x:v>
      </x:c>
      <x:c r="G397" s="32" t="str">
        <x:v>V2</x:v>
      </x:c>
      <x:c r="H397" s="32" t="str">
        <x:v>tension_soil</x:v>
      </x:c>
      <x:c r="I397" s="32" t="str">
        <x:v>862323089930710</x:v>
      </x:c>
      <x:c r="J397" s="82"/>
      <x:c r="K397" s="82" t="n">
        <x:v>-21.2</x:v>
      </x:c>
      <x:c r="L397" s="82" t="n">
        <x:v>34.2</x:v>
      </x:c>
      <x:c r="M397" s="82" t="n">
        <x:v>24.7</x:v>
      </x:c>
      <x:c r="N397" s="86" t="n">
        <x:v>869</x:v>
      </x:c>
      <x:c r="O397" s="90" t="n">
        <x:v>6.27</x:v>
      </x:c>
      <x:c r="P397" s="150" t="n">
        <x:v>3.992</x:v>
      </x:c>
      <x:c r="Q397" s="86" t="n">
        <x:v>19</x:v>
      </x:c>
      <x:c r="R397" s="32"/>
      <x:c r="S397" s="32" t="str">
        <x:v>ok</x:v>
      </x:c>
      <x:c r="T397" s="32" t="str">
        <x:v>ok</x:v>
      </x:c>
      <x:c r="U397" s="32" t="str">
        <x:v>ok</x:v>
      </x:c>
      <x:c r="V397" s="32" t="str">
        <x:v>ok</x:v>
      </x:c>
      <x:c r="W397" s="154" t="str">
        <x:v>{"schema_version":1,"imei":"862323089930710","timestamp":1786019753,"report_sequence":17,"task_version":"rice_tension_soil_demo","sensor_mode":"tension_soil","soil_moisture_percent":34.2,"soil_temperature_c":24.7,"soil_ec_us_cm":869,"soil_ph":6.27,"battery_mv":3992,"csq":19,"soil_rs485_status":"ok","cycle_status":"ok","soil_tension_kpa":-21.2,"soil_tension_rs485_status":"ok"}</x:v>
      </x:c>
    </x:row>
    <x:row r="398">
      <x:c r="A398" s="72" t="n">
        <x:v>46240.858252314814</x:v>
      </x:c>
      <x:c r="B398" s="72" t="n">
        <x:v>46240.8582662037</x:v>
      </x:c>
      <x:c r="C398" s="32" t="str">
        <x:v>P11</x:v>
      </x:c>
      <x:c r="D398" s="32" t="str">
        <x:v>B2-W2-V1</x:v>
      </x:c>
      <x:c r="E398" s="32" t="str">
        <x:v>B2</x:v>
      </x:c>
      <x:c r="F398" s="32" t="str">
        <x:v>W2</x:v>
      </x:c>
      <x:c r="G398" s="32" t="str">
        <x:v>V1</x:v>
      </x:c>
      <x:c r="H398" s="32" t="str">
        <x:v>tension_soil</x:v>
      </x:c>
      <x:c r="I398" s="32" t="str">
        <x:v>862323089930711</x:v>
      </x:c>
      <x:c r="J398" s="82"/>
      <x:c r="K398" s="82" t="n">
        <x:v>-33.1</x:v>
      </x:c>
      <x:c r="L398" s="82" t="n">
        <x:v>35.1</x:v>
      </x:c>
      <x:c r="M398" s="82" t="n">
        <x:v>24.6</x:v>
      </x:c>
      <x:c r="N398" s="86" t="n">
        <x:v>878</x:v>
      </x:c>
      <x:c r="O398" s="90" t="n">
        <x:v>6.32</x:v>
      </x:c>
      <x:c r="P398" s="150" t="n">
        <x:v>4.01</x:v>
      </x:c>
      <x:c r="Q398" s="86" t="n">
        <x:v>20</x:v>
      </x:c>
      <x:c r="R398" s="32"/>
      <x:c r="S398" s="32" t="str">
        <x:v>ok</x:v>
      </x:c>
      <x:c r="T398" s="32" t="str">
        <x:v>ok</x:v>
      </x:c>
      <x:c r="U398" s="32" t="str">
        <x:v>ok</x:v>
      </x:c>
      <x:c r="V398" s="32" t="str">
        <x:v>ok</x:v>
      </x:c>
      <x:c r="W398" s="154" t="str">
        <x:v>{"schema_version":1,"imei":"862323089930711","timestamp":1786019753,"report_sequence":17,"task_version":"rice_tension_soil_demo","sensor_mode":"tension_soil","soil_moisture_percent":35.1,"soil_temperature_c":24.6,"soil_ec_us_cm":878,"soil_ph":6.32,"battery_mv":4010,"csq":20,"soil_rs485_status":"ok","cycle_status":"ok","soil_tension_kpa":-33.1,"soil_tension_rs485_status":"ok"}</x:v>
      </x:c>
    </x:row>
    <x:row r="399">
      <x:c r="A399" s="72" t="n">
        <x:v>46240.858252314814</x:v>
      </x:c>
      <x:c r="B399" s="72" t="n">
        <x:v>46240.8582662037</x:v>
      </x:c>
      <x:c r="C399" s="32" t="str">
        <x:v>P12</x:v>
      </x:c>
      <x:c r="D399" s="32" t="str">
        <x:v>B2-W2-V2</x:v>
      </x:c>
      <x:c r="E399" s="32" t="str">
        <x:v>B2</x:v>
      </x:c>
      <x:c r="F399" s="32" t="str">
        <x:v>W2</x:v>
      </x:c>
      <x:c r="G399" s="32" t="str">
        <x:v>V2</x:v>
      </x:c>
      <x:c r="H399" s="32" t="str">
        <x:v>tension_soil</x:v>
      </x:c>
      <x:c r="I399" s="32" t="str">
        <x:v>862323089930712</x:v>
      </x:c>
      <x:c r="J399" s="82"/>
      <x:c r="K399" s="82" t="n">
        <x:v>-34</x:v>
      </x:c>
      <x:c r="L399" s="82" t="n">
        <x:v>36</x:v>
      </x:c>
      <x:c r="M399" s="82" t="n">
        <x:v>24.6</x:v>
      </x:c>
      <x:c r="N399" s="86" t="n">
        <x:v>889</x:v>
      </x:c>
      <x:c r="O399" s="90" t="n">
        <x:v>6.37</x:v>
      </x:c>
      <x:c r="P399" s="150" t="n">
        <x:v>3.92</x:v>
      </x:c>
      <x:c r="Q399" s="86" t="n">
        <x:v>21</x:v>
      </x:c>
      <x:c r="R399" s="32"/>
      <x:c r="S399" s="32" t="str">
        <x:v>ok</x:v>
      </x:c>
      <x:c r="T399" s="32" t="str">
        <x:v>ok</x:v>
      </x:c>
      <x:c r="U399" s="32" t="str">
        <x:v>ok</x:v>
      </x:c>
      <x:c r="V399" s="32" t="str">
        <x:v>ok</x:v>
      </x:c>
      <x:c r="W399" s="154" t="str">
        <x:v>{"schema_version":1,"imei":"862323089930712","timestamp":1786019753,"report_sequence":17,"task_version":"rice_tension_soil_demo","sensor_mode":"tension_soil","soil_moisture_percent":36,"soil_temperature_c":24.6,"soil_ec_us_cm":889,"soil_ph":6.37,"battery_mv":3920,"csq":21,"soil_rs485_status":"ok","cycle_status":"ok","soil_tension_kpa":-34,"soil_tension_rs485_status":"ok"}</x:v>
      </x:c>
    </x:row>
    <x:row r="400">
      <x:c r="A400" s="72" t="n">
        <x:v>46240.858252314814</x:v>
      </x:c>
      <x:c r="B400" s="72" t="n">
        <x:v>46240.8582662037</x:v>
      </x:c>
      <x:c r="C400" s="32" t="str">
        <x:v>P13</x:v>
      </x:c>
      <x:c r="D400" s="32" t="str">
        <x:v>B3-W0-V1</x:v>
      </x:c>
      <x:c r="E400" s="32" t="str">
        <x:v>B3</x:v>
      </x:c>
      <x:c r="F400" s="32" t="str">
        <x:v>W0</x:v>
      </x:c>
      <x:c r="G400" s="32" t="str">
        <x:v>V1</x:v>
      </x:c>
      <x:c r="H400" s="32" t="str">
        <x:v>water_soil</x:v>
      </x:c>
      <x:c r="I400" s="32" t="str">
        <x:v>862323089930713</x:v>
      </x:c>
      <x:c r="J400" s="82" t="n">
        <x:v>26.2</x:v>
      </x:c>
      <x:c r="K400" s="82"/>
      <x:c r="L400" s="82" t="n">
        <x:v>37.1</x:v>
      </x:c>
      <x:c r="M400" s="82" t="n">
        <x:v>24.6</x:v>
      </x:c>
      <x:c r="N400" s="86" t="n">
        <x:v>902</x:v>
      </x:c>
      <x:c r="O400" s="90" t="n">
        <x:v>6.42</x:v>
      </x:c>
      <x:c r="P400" s="150" t="n">
        <x:v>3.938</x:v>
      </x:c>
      <x:c r="Q400" s="86" t="n">
        <x:v>22</x:v>
      </x:c>
      <x:c r="R400" s="32" t="str">
        <x:v>ok</x:v>
      </x:c>
      <x:c r="S400" s="32"/>
      <x:c r="T400" s="32" t="str">
        <x:v>ok</x:v>
      </x:c>
      <x:c r="U400" s="32" t="str">
        <x:v>ok</x:v>
      </x:c>
      <x:c r="V400" s="32" t="str">
        <x:v>ok</x:v>
      </x:c>
      <x:c r="W400" s="154" t="str">
        <x:v>{"schema_version":1,"imei":"862323089930713","timestamp":1786019753,"report_sequence":17,"task_version":"rice_w0_water_soil_demo","sensor_mode":"water_soil","soil_moisture_percent":37.1,"soil_temperature_c":24.6,"soil_ec_us_cm":902,"soil_ph":6.42,"battery_mv":3938,"csq":22,"soil_rs485_status":"ok","cycle_status":"ok","water_level_mm":26.2,"water_4_20ma_status":"ok"}</x:v>
      </x:c>
    </x:row>
    <x:row r="401">
      <x:c r="A401" s="72" t="n">
        <x:v>46240.858252314814</x:v>
      </x:c>
      <x:c r="B401" s="72" t="n">
        <x:v>46240.8582662037</x:v>
      </x:c>
      <x:c r="C401" s="32" t="str">
        <x:v>P14</x:v>
      </x:c>
      <x:c r="D401" s="32" t="str">
        <x:v>B3-W0-V2</x:v>
      </x:c>
      <x:c r="E401" s="32" t="str">
        <x:v>B3</x:v>
      </x:c>
      <x:c r="F401" s="32" t="str">
        <x:v>W0</x:v>
      </x:c>
      <x:c r="G401" s="32" t="str">
        <x:v>V2</x:v>
      </x:c>
      <x:c r="H401" s="32" t="str">
        <x:v>water_soil</x:v>
      </x:c>
      <x:c r="I401" s="32" t="str">
        <x:v>862323089930714</x:v>
      </x:c>
      <x:c r="J401" s="82" t="n">
        <x:v>29.6</x:v>
      </x:c>
      <x:c r="K401" s="82"/>
      <x:c r="L401" s="82" t="n">
        <x:v>38.2</x:v>
      </x:c>
      <x:c r="M401" s="82" t="n">
        <x:v>24.7</x:v>
      </x:c>
      <x:c r="N401" s="86" t="n">
        <x:v>917</x:v>
      </x:c>
      <x:c r="O401" s="90" t="n">
        <x:v>6.47</x:v>
      </x:c>
      <x:c r="P401" s="150" t="n">
        <x:v>3.956</x:v>
      </x:c>
      <x:c r="Q401" s="86" t="n">
        <x:v>23</x:v>
      </x:c>
      <x:c r="R401" s="32" t="str">
        <x:v>ok</x:v>
      </x:c>
      <x:c r="S401" s="32"/>
      <x:c r="T401" s="32" t="str">
        <x:v>ok</x:v>
      </x:c>
      <x:c r="U401" s="32" t="str">
        <x:v>ok</x:v>
      </x:c>
      <x:c r="V401" s="32" t="str">
        <x:v>ok</x:v>
      </x:c>
      <x:c r="W401" s="154" t="str">
        <x:v>{"schema_version":1,"imei":"862323089930714","timestamp":1786019753,"report_sequence":17,"task_version":"rice_w0_water_soil_demo","sensor_mode":"water_soil","soil_moisture_percent":38.2,"soil_temperature_c":24.7,"soil_ec_us_cm":917,"soil_ph":6.47,"battery_mv":3956,"csq":23,"soil_rs485_status":"ok","cycle_status":"ok","water_level_mm":29.6,"water_4_20ma_status":"ok"}</x:v>
      </x:c>
    </x:row>
    <x:row r="402">
      <x:c r="A402" s="72" t="n">
        <x:v>46240.858252314814</x:v>
      </x:c>
      <x:c r="B402" s="72" t="n">
        <x:v>46240.8582662037</x:v>
      </x:c>
      <x:c r="C402" s="32" t="str">
        <x:v>P15</x:v>
      </x:c>
      <x:c r="D402" s="32" t="str">
        <x:v>B3-W1-V1</x:v>
      </x:c>
      <x:c r="E402" s="32" t="str">
        <x:v>B3</x:v>
      </x:c>
      <x:c r="F402" s="32" t="str">
        <x:v>W1</x:v>
      </x:c>
      <x:c r="G402" s="32" t="str">
        <x:v>V1</x:v>
      </x:c>
      <x:c r="H402" s="32" t="str">
        <x:v>tension_soil</x:v>
      </x:c>
      <x:c r="I402" s="32" t="str">
        <x:v>862323089930715</x:v>
      </x:c>
      <x:c r="J402" s="82"/>
      <x:c r="K402" s="82" t="n">
        <x:v>-21.5</x:v>
      </x:c>
      <x:c r="L402" s="82" t="n">
        <x:v>39.5</x:v>
      </x:c>
      <x:c r="M402" s="82" t="n">
        <x:v>24.7</x:v>
      </x:c>
      <x:c r="N402" s="86" t="n">
        <x:v>934</x:v>
      </x:c>
      <x:c r="O402" s="90" t="n">
        <x:v>6.28</x:v>
      </x:c>
      <x:c r="P402" s="150" t="n">
        <x:v>3.974</x:v>
      </x:c>
      <x:c r="Q402" s="86" t="n">
        <x:v>24</x:v>
      </x:c>
      <x:c r="R402" s="32"/>
      <x:c r="S402" s="32" t="str">
        <x:v>ok</x:v>
      </x:c>
      <x:c r="T402" s="32" t="str">
        <x:v>ok</x:v>
      </x:c>
      <x:c r="U402" s="32" t="str">
        <x:v>ok</x:v>
      </x:c>
      <x:c r="V402" s="32" t="str">
        <x:v>ok</x:v>
      </x:c>
      <x:c r="W402" s="154" t="str">
        <x:v>{"schema_version":1,"imei":"862323089930715","timestamp":1786019753,"report_sequence":17,"task_version":"rice_tension_soil_demo","sensor_mode":"tension_soil","soil_moisture_percent":39.5,"soil_temperature_c":24.7,"soil_ec_us_cm":934,"soil_ph":6.28,"battery_mv":3974,"csq":24,"soil_rs485_status":"ok","cycle_status":"ok","soil_tension_kpa":-21.5,"soil_tension_rs485_status":"ok"}</x:v>
      </x:c>
    </x:row>
    <x:row r="403">
      <x:c r="A403" s="72" t="n">
        <x:v>46240.858252314814</x:v>
      </x:c>
      <x:c r="B403" s="72" t="n">
        <x:v>46240.8582662037</x:v>
      </x:c>
      <x:c r="C403" s="32" t="str">
        <x:v>P16</x:v>
      </x:c>
      <x:c r="D403" s="32" t="str">
        <x:v>B3-W1-V2</x:v>
      </x:c>
      <x:c r="E403" s="32" t="str">
        <x:v>B3</x:v>
      </x:c>
      <x:c r="F403" s="32" t="str">
        <x:v>W1</x:v>
      </x:c>
      <x:c r="G403" s="32" t="str">
        <x:v>V2</x:v>
      </x:c>
      <x:c r="H403" s="32" t="str">
        <x:v>tension_soil</x:v>
      </x:c>
      <x:c r="I403" s="32" t="str">
        <x:v>862323089930716</x:v>
      </x:c>
      <x:c r="J403" s="82"/>
      <x:c r="K403" s="82" t="n">
        <x:v>-22.9</x:v>
      </x:c>
      <x:c r="L403" s="82" t="n">
        <x:v>32.9</x:v>
      </x:c>
      <x:c r="M403" s="82" t="n">
        <x:v>24.8</x:v>
      </x:c>
      <x:c r="N403" s="86" t="n">
        <x:v>953</x:v>
      </x:c>
      <x:c r="O403" s="90" t="n">
        <x:v>6.33</x:v>
      </x:c>
      <x:c r="P403" s="150" t="n">
        <x:v>3.992</x:v>
      </x:c>
      <x:c r="Q403" s="86" t="n">
        <x:v>17</x:v>
      </x:c>
      <x:c r="R403" s="32"/>
      <x:c r="S403" s="32" t="str">
        <x:v>ok</x:v>
      </x:c>
      <x:c r="T403" s="32" t="str">
        <x:v>ok</x:v>
      </x:c>
      <x:c r="U403" s="32" t="str">
        <x:v>ok</x:v>
      </x:c>
      <x:c r="V403" s="32" t="str">
        <x:v>ok</x:v>
      </x:c>
      <x:c r="W403" s="154" t="str">
        <x:v>{"schema_version":1,"imei":"862323089930716","timestamp":1786019753,"report_sequence":17,"task_version":"rice_tension_soil_demo","sensor_mode":"tension_soil","soil_moisture_percent":32.9,"soil_temperature_c":24.8,"soil_ec_us_cm":953,"soil_ph":6.33,"battery_mv":3992,"csq":17,"soil_rs485_status":"ok","cycle_status":"ok","soil_tension_kpa":-22.9,"soil_tension_rs485_status":"ok"}</x:v>
      </x:c>
    </x:row>
    <x:row r="404">
      <x:c r="A404" s="72" t="n">
        <x:v>46240.858252314814</x:v>
      </x:c>
      <x:c r="B404" s="72" t="n">
        <x:v>46240.8582662037</x:v>
      </x:c>
      <x:c r="C404" s="32" t="str">
        <x:v>P17</x:v>
      </x:c>
      <x:c r="D404" s="32" t="str">
        <x:v>B3-W2-V1</x:v>
      </x:c>
      <x:c r="E404" s="32" t="str">
        <x:v>B3</x:v>
      </x:c>
      <x:c r="F404" s="32" t="str">
        <x:v>W2</x:v>
      </x:c>
      <x:c r="G404" s="32" t="str">
        <x:v>V1</x:v>
      </x:c>
      <x:c r="H404" s="32" t="str">
        <x:v>tension_soil</x:v>
      </x:c>
      <x:c r="I404" s="32" t="str">
        <x:v>862323089930717</x:v>
      </x:c>
      <x:c r="J404" s="82"/>
      <x:c r="K404" s="82" t="n">
        <x:v>-35.4</x:v>
      </x:c>
      <x:c r="L404" s="82" t="n">
        <x:v>34.4</x:v>
      </x:c>
      <x:c r="M404" s="82" t="n">
        <x:v>24.9</x:v>
      </x:c>
      <x:c r="N404" s="86" t="n">
        <x:v>973</x:v>
      </x:c>
      <x:c r="O404" s="90" t="n">
        <x:v>6.39</x:v>
      </x:c>
      <x:c r="P404" s="150" t="n">
        <x:v>4.01</x:v>
      </x:c>
      <x:c r="Q404" s="86" t="n">
        <x:v>18</x:v>
      </x:c>
      <x:c r="R404" s="32"/>
      <x:c r="S404" s="32" t="str">
        <x:v>ok</x:v>
      </x:c>
      <x:c r="T404" s="32" t="str">
        <x:v>ok</x:v>
      </x:c>
      <x:c r="U404" s="32" t="str">
        <x:v>ok</x:v>
      </x:c>
      <x:c r="V404" s="32" t="str">
        <x:v>ok</x:v>
      </x:c>
      <x:c r="W404" s="154" t="str">
        <x:v>{"schema_version":1,"imei":"862323089930717","timestamp":1786019753,"report_sequence":17,"task_version":"rice_tension_soil_demo","sensor_mode":"tension_soil","soil_moisture_percent":34.4,"soil_temperature_c":24.9,"soil_ec_us_cm":973,"soil_ph":6.39,"battery_mv":4010,"csq":18,"soil_rs485_status":"ok","cycle_status":"ok","soil_tension_kpa":-35.4,"soil_tension_rs485_status":"ok"}</x:v>
      </x:c>
    </x:row>
    <x:row r="405">
      <x:c r="A405" s="72" t="n">
        <x:v>46240.858252314814</x:v>
      </x:c>
      <x:c r="B405" s="72" t="n">
        <x:v>46240.8582662037</x:v>
      </x:c>
      <x:c r="C405" s="32" t="str">
        <x:v>P18</x:v>
      </x:c>
      <x:c r="D405" s="32" t="str">
        <x:v>B3-W2-V2</x:v>
      </x:c>
      <x:c r="E405" s="32" t="str">
        <x:v>B3</x:v>
      </x:c>
      <x:c r="F405" s="32" t="str">
        <x:v>W2</x:v>
      </x:c>
      <x:c r="G405" s="32" t="str">
        <x:v>V2</x:v>
      </x:c>
      <x:c r="H405" s="32" t="str">
        <x:v>tension_soil</x:v>
      </x:c>
      <x:c r="I405" s="32" t="str">
        <x:v>862323089930718</x:v>
      </x:c>
      <x:c r="J405" s="82"/>
      <x:c r="K405" s="82" t="n">
        <x:v>-36.9</x:v>
      </x:c>
      <x:c r="L405" s="82" t="n">
        <x:v>35.9</x:v>
      </x:c>
      <x:c r="M405" s="82" t="n">
        <x:v>25.1</x:v>
      </x:c>
      <x:c r="N405" s="86" t="n">
        <x:v>994</x:v>
      </x:c>
      <x:c r="O405" s="90" t="n">
        <x:v>6.45</x:v>
      </x:c>
      <x:c r="P405" s="150" t="n">
        <x:v>3.92</x:v>
      </x:c>
      <x:c r="Q405" s="86" t="n">
        <x:v>19</x:v>
      </x:c>
      <x:c r="R405" s="32"/>
      <x:c r="S405" s="32" t="str">
        <x:v>ok</x:v>
      </x:c>
      <x:c r="T405" s="32" t="str">
        <x:v>ok</x:v>
      </x:c>
      <x:c r="U405" s="32" t="str">
        <x:v>ok</x:v>
      </x:c>
      <x:c r="V405" s="32" t="str">
        <x:v>ok</x:v>
      </x:c>
      <x:c r="W405" s="154" t="str">
        <x:v>{"schema_version":1,"imei":"862323089930718","timestamp":1786019753,"report_sequence":17,"task_version":"rice_tension_soil_demo","sensor_mode":"tension_soil","soil_moisture_percent":35.9,"soil_temperature_c":25.1,"soil_ec_us_cm":994,"soil_ph":6.45,"battery_mv":3920,"csq":19,"soil_rs485_status":"ok","cycle_status":"ok","soil_tension_kpa":-36.9,"soil_tension_rs485_status":"ok"}</x:v>
      </x:c>
    </x:row>
    <x:row r="406">
      <x:c r="A406" s="72" t="n">
        <x:v>46240.858252314814</x:v>
      </x:c>
      <x:c r="B406" s="72" t="n">
        <x:v>46240.8582662037</x:v>
      </x:c>
      <x:c r="C406" s="32" t="str">
        <x:v>P19</x:v>
      </x:c>
      <x:c r="D406" s="32" t="str">
        <x:v>B4-W0-V1</x:v>
      </x:c>
      <x:c r="E406" s="32" t="str">
        <x:v>B4</x:v>
      </x:c>
      <x:c r="F406" s="32" t="str">
        <x:v>W0</x:v>
      </x:c>
      <x:c r="G406" s="32" t="str">
        <x:v>V1</x:v>
      </x:c>
      <x:c r="H406" s="32" t="str">
        <x:v>water_soil</x:v>
      </x:c>
      <x:c r="I406" s="32" t="str">
        <x:v>862323089930719</x:v>
      </x:c>
      <x:c r="J406" s="82" t="n">
        <x:v>37.9</x:v>
      </x:c>
      <x:c r="K406" s="82"/>
      <x:c r="L406" s="82" t="n">
        <x:v>37.4</x:v>
      </x:c>
      <x:c r="M406" s="82" t="n">
        <x:v>25.2</x:v>
      </x:c>
      <x:c r="N406" s="86" t="n">
        <x:v>1014</x:v>
      </x:c>
      <x:c r="O406" s="90" t="n">
        <x:v>6.51</x:v>
      </x:c>
      <x:c r="P406" s="150" t="n">
        <x:v>3.938</x:v>
      </x:c>
      <x:c r="Q406" s="86" t="n">
        <x:v>20</x:v>
      </x:c>
      <x:c r="R406" s="32" t="str">
        <x:v>ok</x:v>
      </x:c>
      <x:c r="S406" s="32"/>
      <x:c r="T406" s="32" t="str">
        <x:v>ok</x:v>
      </x:c>
      <x:c r="U406" s="32" t="str">
        <x:v>ok</x:v>
      </x:c>
      <x:c r="V406" s="32" t="str">
        <x:v>ok</x:v>
      </x:c>
      <x:c r="W406" s="154" t="str">
        <x:v>{"schema_version":1,"imei":"862323089930719","timestamp":1786019753,"report_sequence":17,"task_version":"rice_w0_water_soil_demo","sensor_mode":"water_soil","soil_moisture_percent":37.4,"soil_temperature_c":25.2,"soil_ec_us_cm":1014,"soil_ph":6.51,"battery_mv":3938,"csq":20,"soil_rs485_status":"ok","cycle_status":"ok","water_level_mm":37.9,"water_4_20ma_status":"ok"}</x:v>
      </x:c>
    </x:row>
    <x:row r="407">
      <x:c r="A407" s="72" t="n">
        <x:v>46240.858252314814</x:v>
      </x:c>
      <x:c r="B407" s="72" t="n">
        <x:v>46240.8582662037</x:v>
      </x:c>
      <x:c r="C407" s="32" t="str">
        <x:v>P20</x:v>
      </x:c>
      <x:c r="D407" s="32" t="str">
        <x:v>B4-W0-V2</x:v>
      </x:c>
      <x:c r="E407" s="32" t="str">
        <x:v>B4</x:v>
      </x:c>
      <x:c r="F407" s="32" t="str">
        <x:v>W0</x:v>
      </x:c>
      <x:c r="G407" s="32" t="str">
        <x:v>V2</x:v>
      </x:c>
      <x:c r="H407" s="32" t="str">
        <x:v>water_soil</x:v>
      </x:c>
      <x:c r="I407" s="32" t="str">
        <x:v>862323089930720</x:v>
      </x:c>
      <x:c r="J407" s="82" t="n">
        <x:v>30.1</x:v>
      </x:c>
      <x:c r="K407" s="82"/>
      <x:c r="L407" s="82" t="n">
        <x:v>38.8</x:v>
      </x:c>
      <x:c r="M407" s="82" t="n">
        <x:v>25.3</x:v>
      </x:c>
      <x:c r="N407" s="86" t="n">
        <x:v>1035</x:v>
      </x:c>
      <x:c r="O407" s="90" t="n">
        <x:v>6.31</x:v>
      </x:c>
      <x:c r="P407" s="150" t="n">
        <x:v>3.956</x:v>
      </x:c>
      <x:c r="Q407" s="86" t="n">
        <x:v>21</x:v>
      </x:c>
      <x:c r="R407" s="32" t="str">
        <x:v>ok</x:v>
      </x:c>
      <x:c r="S407" s="32"/>
      <x:c r="T407" s="32" t="str">
        <x:v>ok</x:v>
      </x:c>
      <x:c r="U407" s="32" t="str">
        <x:v>ok</x:v>
      </x:c>
      <x:c r="V407" s="32" t="str">
        <x:v>ok</x:v>
      </x:c>
      <x:c r="W407" s="154" t="str">
        <x:v>{"schema_version":1,"imei":"862323089930720","timestamp":1786019753,"report_sequence":17,"task_version":"rice_w0_water_soil_demo","sensor_mode":"water_soil","soil_moisture_percent":38.8,"soil_temperature_c":25.3,"soil_ec_us_cm":1035,"soil_ph":6.31,"battery_mv":3956,"csq":21,"soil_rs485_status":"ok","cycle_status":"ok","water_level_mm":30.1,"water_4_20ma_status":"ok"}</x:v>
      </x:c>
    </x:row>
    <x:row r="408">
      <x:c r="A408" s="72" t="n">
        <x:v>46240.858252314814</x:v>
      </x:c>
      <x:c r="B408" s="72" t="n">
        <x:v>46240.8582662037</x:v>
      </x:c>
      <x:c r="C408" s="32" t="str">
        <x:v>P21</x:v>
      </x:c>
      <x:c r="D408" s="32" t="str">
        <x:v>B4-W1-V1</x:v>
      </x:c>
      <x:c r="E408" s="32" t="str">
        <x:v>B4</x:v>
      </x:c>
      <x:c r="F408" s="32" t="str">
        <x:v>W1</x:v>
      </x:c>
      <x:c r="G408" s="32" t="str">
        <x:v>V1</x:v>
      </x:c>
      <x:c r="H408" s="32" t="str">
        <x:v>tension_soil</x:v>
      </x:c>
      <x:c r="I408" s="32" t="str">
        <x:v>862323089930721</x:v>
      </x:c>
      <x:c r="J408" s="82"/>
      <x:c r="K408" s="82" t="n">
        <x:v>-25.3</x:v>
      </x:c>
      <x:c r="L408" s="82" t="n">
        <x:v>40.3</x:v>
      </x:c>
      <x:c r="M408" s="82" t="n">
        <x:v>25.4</x:v>
      </x:c>
      <x:c r="N408" s="86" t="n">
        <x:v>1054</x:v>
      </x:c>
      <x:c r="O408" s="90" t="n">
        <x:v>6.37</x:v>
      </x:c>
      <x:c r="P408" s="150" t="n">
        <x:v>3.974</x:v>
      </x:c>
      <x:c r="Q408" s="86" t="n">
        <x:v>22</x:v>
      </x:c>
      <x:c r="R408" s="32"/>
      <x:c r="S408" s="32" t="str">
        <x:v>ok</x:v>
      </x:c>
      <x:c r="T408" s="32" t="str">
        <x:v>ok</x:v>
      </x:c>
      <x:c r="U408" s="32" t="str">
        <x:v>ok</x:v>
      </x:c>
      <x:c r="V408" s="32" t="str">
        <x:v>ok</x:v>
      </x:c>
      <x:c r="W408" s="154" t="str">
        <x:v>{"schema_version":1,"imei":"862323089930721","timestamp":1786019753,"report_sequence":17,"task_version":"rice_tension_soil_demo","sensor_mode":"tension_soil","soil_moisture_percent":40.3,"soil_temperature_c":25.4,"soil_ec_us_cm":1054,"soil_ph":6.37,"battery_mv":3974,"csq":22,"soil_rs485_status":"ok","cycle_status":"ok","soil_tension_kpa":-25.3,"soil_tension_rs485_status":"ok"}</x:v>
      </x:c>
    </x:row>
    <x:row r="409">
      <x:c r="A409" s="72" t="n">
        <x:v>46240.858252314814</x:v>
      </x:c>
      <x:c r="B409" s="72" t="n">
        <x:v>46240.8582662037</x:v>
      </x:c>
      <x:c r="C409" s="32" t="str">
        <x:v>P22</x:v>
      </x:c>
      <x:c r="D409" s="32" t="str">
        <x:v>B4-W1-V2</x:v>
      </x:c>
      <x:c r="E409" s="32" t="str">
        <x:v>B4</x:v>
      </x:c>
      <x:c r="F409" s="32" t="str">
        <x:v>W1</x:v>
      </x:c>
      <x:c r="G409" s="32" t="str">
        <x:v>V2</x:v>
      </x:c>
      <x:c r="H409" s="32" t="str">
        <x:v>tension_soil</x:v>
      </x:c>
      <x:c r="I409" s="32" t="str">
        <x:v>862323089930722</x:v>
      </x:c>
      <x:c r="J409" s="82"/>
      <x:c r="K409" s="82" t="n">
        <x:v>-26.6</x:v>
      </x:c>
      <x:c r="L409" s="82" t="n">
        <x:v>41.6</x:v>
      </x:c>
      <x:c r="M409" s="82" t="n">
        <x:v>25.5</x:v>
      </x:c>
      <x:c r="N409" s="86" t="n">
        <x:v>1072</x:v>
      </x:c>
      <x:c r="O409" s="90" t="n">
        <x:v>6.42</x:v>
      </x:c>
      <x:c r="P409" s="150" t="n">
        <x:v>3.992</x:v>
      </x:c>
      <x:c r="Q409" s="86" t="n">
        <x:v>23</x:v>
      </x:c>
      <x:c r="R409" s="32"/>
      <x:c r="S409" s="32" t="str">
        <x:v>ok</x:v>
      </x:c>
      <x:c r="T409" s="32" t="str">
        <x:v>ok</x:v>
      </x:c>
      <x:c r="U409" s="32" t="str">
        <x:v>ok</x:v>
      </x:c>
      <x:c r="V409" s="32" t="str">
        <x:v>ok</x:v>
      </x:c>
      <x:c r="W409" s="154" t="str">
        <x:v>{"schema_version":1,"imei":"862323089930722","timestamp":1786019753,"report_sequence":17,"task_version":"rice_tension_soil_demo","sensor_mode":"tension_soil","soil_moisture_percent":41.6,"soil_temperature_c":25.5,"soil_ec_us_cm":1072,"soil_ph":6.42,"battery_mv":3992,"csq":23,"soil_rs485_status":"ok","cycle_status":"ok","soil_tension_kpa":-26.6,"soil_tension_rs485_status":"ok"}</x:v>
      </x:c>
    </x:row>
    <x:row r="410">
      <x:c r="A410" s="72" t="n">
        <x:v>46240.858252314814</x:v>
      </x:c>
      <x:c r="B410" s="72" t="n">
        <x:v>46240.8582662037</x:v>
      </x:c>
      <x:c r="C410" s="32" t="str">
        <x:v>P23</x:v>
      </x:c>
      <x:c r="D410" s="32" t="str">
        <x:v>B4-W2-V1</x:v>
      </x:c>
      <x:c r="E410" s="32" t="str">
        <x:v>B4</x:v>
      </x:c>
      <x:c r="F410" s="32" t="str">
        <x:v>W2</x:v>
      </x:c>
      <x:c r="G410" s="32" t="str">
        <x:v>V1</x:v>
      </x:c>
      <x:c r="H410" s="32" t="str">
        <x:v>tension_soil</x:v>
      </x:c>
      <x:c r="I410" s="32" t="str">
        <x:v>862323089930723</x:v>
      </x:c>
      <x:c r="J410" s="82"/>
      <x:c r="K410" s="82" t="n">
        <x:v>-38.9</x:v>
      </x:c>
      <x:c r="L410" s="82" t="n">
        <x:v>42.9</x:v>
      </x:c>
      <x:c r="M410" s="82" t="n">
        <x:v>25.6</x:v>
      </x:c>
      <x:c r="N410" s="86" t="n">
        <x:v>1088</x:v>
      </x:c>
      <x:c r="O410" s="90" t="n">
        <x:v>6.48</x:v>
      </x:c>
      <x:c r="P410" s="150" t="n">
        <x:v>4.01</x:v>
      </x:c>
      <x:c r="Q410" s="86" t="n">
        <x:v>24</x:v>
      </x:c>
      <x:c r="R410" s="32"/>
      <x:c r="S410" s="32" t="str">
        <x:v>ok</x:v>
      </x:c>
      <x:c r="T410" s="32" t="str">
        <x:v>ok</x:v>
      </x:c>
      <x:c r="U410" s="32" t="str">
        <x:v>ok</x:v>
      </x:c>
      <x:c r="V410" s="32" t="str">
        <x:v>ok</x:v>
      </x:c>
      <x:c r="W410" s="154" t="str">
        <x:v>{"schema_version":1,"imei":"862323089930723","timestamp":1786019753,"report_sequence":17,"task_version":"rice_tension_soil_demo","sensor_mode":"tension_soil","soil_moisture_percent":42.9,"soil_temperature_c":25.6,"soil_ec_us_cm":1088,"soil_ph":6.48,"battery_mv":4010,"csq":24,"soil_rs485_status":"ok","cycle_status":"ok","soil_tension_kpa":-38.9,"soil_tension_rs485_status":"ok"}</x:v>
      </x:c>
    </x:row>
    <x:row r="411">
      <x:c r="A411" s="72" t="n">
        <x:v>46240.858252314814</x:v>
      </x:c>
      <x:c r="B411" s="72" t="n">
        <x:v>46240.8582662037</x:v>
      </x:c>
      <x:c r="C411" s="32" t="str">
        <x:v>P24</x:v>
      </x:c>
      <x:c r="D411" s="32" t="str">
        <x:v>B4-W2-V2</x:v>
      </x:c>
      <x:c r="E411" s="32" t="str">
        <x:v>B4</x:v>
      </x:c>
      <x:c r="F411" s="32" t="str">
        <x:v>W2</x:v>
      </x:c>
      <x:c r="G411" s="32" t="str">
        <x:v>V2</x:v>
      </x:c>
      <x:c r="H411" s="32" t="str">
        <x:v>tension_soil</x:v>
      </x:c>
      <x:c r="I411" s="32" t="str">
        <x:v>862323089930724</x:v>
      </x:c>
      <x:c r="J411" s="82"/>
      <x:c r="K411" s="82" t="n">
        <x:v>-40</x:v>
      </x:c>
      <x:c r="L411" s="82" t="n">
        <x:v>36</x:v>
      </x:c>
      <x:c r="M411" s="82" t="n">
        <x:v>25.6</x:v>
      </x:c>
      <x:c r="N411" s="86" t="n">
        <x:v>1103</x:v>
      </x:c>
      <x:c r="O411" s="90" t="n">
        <x:v>6.53</x:v>
      </x:c>
      <x:c r="P411" s="150" t="n">
        <x:v>3.92</x:v>
      </x:c>
      <x:c r="Q411" s="86" t="n">
        <x:v>17</x:v>
      </x:c>
      <x:c r="R411" s="32"/>
      <x:c r="S411" s="32" t="str">
        <x:v>ok</x:v>
      </x:c>
      <x:c r="T411" s="32" t="str">
        <x:v>ok</x:v>
      </x:c>
      <x:c r="U411" s="32" t="str">
        <x:v>ok</x:v>
      </x:c>
      <x:c r="V411" s="32" t="str">
        <x:v>ok</x:v>
      </x:c>
      <x:c r="W411" s="154" t="str">
        <x:v>{"schema_version":1,"imei":"862323089930724","timestamp":1786019753,"report_sequence":17,"task_version":"rice_tension_soil_demo","sensor_mode":"tension_soil","soil_moisture_percent":36,"soil_temperature_c":25.6,"soil_ec_us_cm":1103,"soil_ph":6.53,"battery_mv":3920,"csq":17,"soil_rs485_status":"ok","cycle_status":"ok","soil_tension_kpa":-40,"soil_tension_rs485_status":"ok"}</x:v>
      </x:c>
    </x:row>
    <x:row r="412">
      <x:c r="A412" s="72" t="n">
        <x:v>46240.86172453704</x:v>
      </x:c>
      <x:c r="B412" s="72" t="n">
        <x:v>46240.86173842593</x:v>
      </x:c>
      <x:c r="C412" s="32" t="str">
        <x:v>P01</x:v>
      </x:c>
      <x:c r="D412" s="32" t="str">
        <x:v>B1-W0-V1</x:v>
      </x:c>
      <x:c r="E412" s="32" t="str">
        <x:v>B1</x:v>
      </x:c>
      <x:c r="F412" s="32" t="str">
        <x:v>W0</x:v>
      </x:c>
      <x:c r="G412" s="32" t="str">
        <x:v>V1</x:v>
      </x:c>
      <x:c r="H412" s="32" t="str">
        <x:v>water_soil</x:v>
      </x:c>
      <x:c r="I412" s="32" t="str">
        <x:v>862323089930701</x:v>
      </x:c>
      <x:c r="J412" s="82" t="n">
        <x:v>35.9</x:v>
      </x:c>
      <x:c r="K412" s="82"/>
      <x:c r="L412" s="82" t="n">
        <x:v>37</x:v>
      </x:c>
      <x:c r="M412" s="82" t="n">
        <x:v>25.6</x:v>
      </x:c>
      <x:c r="N412" s="86" t="n">
        <x:v>827</x:v>
      </x:c>
      <x:c r="O412" s="90" t="n">
        <x:v>6.38</x:v>
      </x:c>
      <x:c r="P412" s="150" t="n">
        <x:v>3.938</x:v>
      </x:c>
      <x:c r="Q412" s="86" t="n">
        <x:v>18</x:v>
      </x:c>
      <x:c r="R412" s="32" t="str">
        <x:v>ok</x:v>
      </x:c>
      <x:c r="S412" s="32"/>
      <x:c r="T412" s="32" t="str">
        <x:v>ok</x:v>
      </x:c>
      <x:c r="U412" s="32" t="str">
        <x:v>ok</x:v>
      </x:c>
      <x:c r="V412" s="32" t="str">
        <x:v>ok</x:v>
      </x:c>
      <x:c r="W412" s="154" t="str">
        <x:v>{"schema_version":1,"imei":"862323089930701","timestamp":1786020053,"report_sequence":18,"task_version":"rice_w0_water_soil_demo","sensor_mode":"water_soil","soil_moisture_percent":37,"soil_temperature_c":25.6,"soil_ec_us_cm":827,"soil_ph":6.38,"battery_mv":3938,"csq":18,"soil_rs485_status":"ok","cycle_status":"ok","water_level_mm":35.9,"water_4_20ma_status":"ok"}</x:v>
      </x:c>
    </x:row>
    <x:row r="413">
      <x:c r="A413" s="72" t="n">
        <x:v>46240.86172453704</x:v>
      </x:c>
      <x:c r="B413" s="72" t="n">
        <x:v>46240.86173842593</x:v>
      </x:c>
      <x:c r="C413" s="32" t="str">
        <x:v>P02</x:v>
      </x:c>
      <x:c r="D413" s="32" t="str">
        <x:v>B1-W0-V2</x:v>
      </x:c>
      <x:c r="E413" s="32" t="str">
        <x:v>B1</x:v>
      </x:c>
      <x:c r="F413" s="32" t="str">
        <x:v>W0</x:v>
      </x:c>
      <x:c r="G413" s="32" t="str">
        <x:v>V2</x:v>
      </x:c>
      <x:c r="H413" s="32" t="str">
        <x:v>water_soil</x:v>
      </x:c>
      <x:c r="I413" s="32" t="str">
        <x:v>862323089930702</x:v>
      </x:c>
      <x:c r="J413" s="82" t="n">
        <x:v>38.6</x:v>
      </x:c>
      <x:c r="K413" s="82"/>
      <x:c r="L413" s="82" t="n">
        <x:v>37.8</x:v>
      </x:c>
      <x:c r="M413" s="82" t="n">
        <x:v>25.6</x:v>
      </x:c>
      <x:c r="N413" s="86" t="n">
        <x:v>836</x:v>
      </x:c>
      <x:c r="O413" s="90" t="n">
        <x:v>6.43</x:v>
      </x:c>
      <x:c r="P413" s="150" t="n">
        <x:v>3.956</x:v>
      </x:c>
      <x:c r="Q413" s="86" t="n">
        <x:v>19</x:v>
      </x:c>
      <x:c r="R413" s="32" t="str">
        <x:v>ok</x:v>
      </x:c>
      <x:c r="S413" s="32"/>
      <x:c r="T413" s="32" t="str">
        <x:v>ok</x:v>
      </x:c>
      <x:c r="U413" s="32" t="str">
        <x:v>ok</x:v>
      </x:c>
      <x:c r="V413" s="32" t="str">
        <x:v>ok</x:v>
      </x:c>
      <x:c r="W413" s="154" t="str">
        <x:v>{"schema_version":1,"imei":"862323089930702","timestamp":1786020053,"report_sequence":18,"task_version":"rice_w0_water_soil_demo","sensor_mode":"water_soil","soil_moisture_percent":37.8,"soil_temperature_c":25.6,"soil_ec_us_cm":836,"soil_ph":6.43,"battery_mv":3956,"csq":19,"soil_rs485_status":"ok","cycle_status":"ok","water_level_mm":38.6,"water_4_20ma_status":"ok"}</x:v>
      </x:c>
    </x:row>
    <x:row r="414">
      <x:c r="A414" s="72" t="n">
        <x:v>46240.86172453704</x:v>
      </x:c>
      <x:c r="B414" s="72" t="n">
        <x:v>46240.86173842593</x:v>
      </x:c>
      <x:c r="C414" s="32" t="str">
        <x:v>P03</x:v>
      </x:c>
      <x:c r="D414" s="32" t="str">
        <x:v>B1-W1-V1</x:v>
      </x:c>
      <x:c r="E414" s="32" t="str">
        <x:v>B1</x:v>
      </x:c>
      <x:c r="F414" s="32" t="str">
        <x:v>W1</x:v>
      </x:c>
      <x:c r="G414" s="32" t="str">
        <x:v>V1</x:v>
      </x:c>
      <x:c r="H414" s="32" t="str">
        <x:v>tension_soil</x:v>
      </x:c>
      <x:c r="I414" s="32" t="str">
        <x:v>862323089930703</x:v>
      </x:c>
      <x:c r="J414" s="82"/>
      <x:c r="K414" s="82" t="n">
        <x:v>-27.6</x:v>
      </x:c>
      <x:c r="L414" s="82" t="n">
        <x:v>38.6</x:v>
      </x:c>
      <x:c r="M414" s="82" t="n">
        <x:v>25.5</x:v>
      </x:c>
      <x:c r="N414" s="86" t="n">
        <x:v>844</x:v>
      </x:c>
      <x:c r="O414" s="90" t="n">
        <x:v>6.47</x:v>
      </x:c>
      <x:c r="P414" s="150" t="n">
        <x:v>3.974</x:v>
      </x:c>
      <x:c r="Q414" s="86" t="n">
        <x:v>20</x:v>
      </x:c>
      <x:c r="R414" s="32"/>
      <x:c r="S414" s="32" t="str">
        <x:v>ok</x:v>
      </x:c>
      <x:c r="T414" s="32" t="str">
        <x:v>ok</x:v>
      </x:c>
      <x:c r="U414" s="32" t="str">
        <x:v>ok</x:v>
      </x:c>
      <x:c r="V414" s="32" t="str">
        <x:v>ok</x:v>
      </x:c>
      <x:c r="W414" s="154" t="str">
        <x:v>{"schema_version":1,"imei":"862323089930703","timestamp":1786020053,"report_sequence":18,"task_version":"rice_tension_soil_demo","sensor_mode":"tension_soil","soil_moisture_percent":38.6,"soil_temperature_c":25.5,"soil_ec_us_cm":844,"soil_ph":6.47,"battery_mv":3974,"csq":20,"soil_rs485_status":"ok","cycle_status":"ok","soil_tension_kpa":-27.6,"soil_tension_rs485_status":"ok"}</x:v>
      </x:c>
    </x:row>
    <x:row r="415">
      <x:c r="A415" s="72" t="n">
        <x:v>46240.86172453704</x:v>
      </x:c>
      <x:c r="B415" s="72" t="n">
        <x:v>46240.86173842593</x:v>
      </x:c>
      <x:c r="C415" s="32" t="str">
        <x:v>P04</x:v>
      </x:c>
      <x:c r="D415" s="32" t="str">
        <x:v>B1-W1-V2</x:v>
      </x:c>
      <x:c r="E415" s="32" t="str">
        <x:v>B1</x:v>
      </x:c>
      <x:c r="F415" s="32" t="str">
        <x:v>W1</x:v>
      </x:c>
      <x:c r="G415" s="32" t="str">
        <x:v>V2</x:v>
      </x:c>
      <x:c r="H415" s="32" t="str">
        <x:v>tension_soil</x:v>
      </x:c>
      <x:c r="I415" s="32" t="str">
        <x:v>862323089930704</x:v>
      </x:c>
      <x:c r="J415" s="82"/>
      <x:c r="K415" s="82" t="n">
        <x:v>-28.2</x:v>
      </x:c>
      <x:c r="L415" s="82" t="n">
        <x:v>39.2</x:v>
      </x:c>
      <x:c r="M415" s="82" t="n">
        <x:v>25.4</x:v>
      </x:c>
      <x:c r="N415" s="86" t="n">
        <x:v>850</x:v>
      </x:c>
      <x:c r="O415" s="90" t="n">
        <x:v>6.52</x:v>
      </x:c>
      <x:c r="P415" s="150" t="n">
        <x:v>3.992</x:v>
      </x:c>
      <x:c r="Q415" s="86" t="n">
        <x:v>21</x:v>
      </x:c>
      <x:c r="R415" s="32"/>
      <x:c r="S415" s="32" t="str">
        <x:v>ok</x:v>
      </x:c>
      <x:c r="T415" s="32" t="str">
        <x:v>ok</x:v>
      </x:c>
      <x:c r="U415" s="32" t="str">
        <x:v>ok</x:v>
      </x:c>
      <x:c r="V415" s="32" t="str">
        <x:v>ok</x:v>
      </x:c>
      <x:c r="W415" s="154" t="str">
        <x:v>{"schema_version":1,"imei":"862323089930704","timestamp":1786020053,"report_sequence":18,"task_version":"rice_tension_soil_demo","sensor_mode":"tension_soil","soil_moisture_percent":39.2,"soil_temperature_c":25.4,"soil_ec_us_cm":850,"soil_ph":6.52,"battery_mv":3992,"csq":21,"soil_rs485_status":"ok","cycle_status":"ok","soil_tension_kpa":-28.2,"soil_tension_rs485_status":"ok"}</x:v>
      </x:c>
    </x:row>
    <x:row r="416">
      <x:c r="A416" s="72" t="n">
        <x:v>46240.86172453704</x:v>
      </x:c>
      <x:c r="B416" s="72" t="n">
        <x:v>46240.86173842593</x:v>
      </x:c>
      <x:c r="C416" s="32" t="str">
        <x:v>P05</x:v>
      </x:c>
      <x:c r="D416" s="32" t="str">
        <x:v>B1-W2-V1</x:v>
      </x:c>
      <x:c r="E416" s="32" t="str">
        <x:v>B1</x:v>
      </x:c>
      <x:c r="F416" s="32" t="str">
        <x:v>W2</x:v>
      </x:c>
      <x:c r="G416" s="32" t="str">
        <x:v>V1</x:v>
      </x:c>
      <x:c r="H416" s="32" t="str">
        <x:v>tension_soil</x:v>
      </x:c>
      <x:c r="I416" s="32" t="str">
        <x:v>862323089930705</x:v>
      </x:c>
      <x:c r="J416" s="82"/>
      <x:c r="K416" s="82" t="n">
        <x:v>-34.8</x:v>
      </x:c>
      <x:c r="L416" s="82" t="n">
        <x:v>39.8</x:v>
      </x:c>
      <x:c r="M416" s="82" t="n">
        <x:v>25.3</x:v>
      </x:c>
      <x:c r="N416" s="86" t="n">
        <x:v>854</x:v>
      </x:c>
      <x:c r="O416" s="90" t="n">
        <x:v>6.31</x:v>
      </x:c>
      <x:c r="P416" s="150" t="n">
        <x:v>4.01</x:v>
      </x:c>
      <x:c r="Q416" s="86" t="n">
        <x:v>22</x:v>
      </x:c>
      <x:c r="R416" s="32"/>
      <x:c r="S416" s="32" t="str">
        <x:v>ok</x:v>
      </x:c>
      <x:c r="T416" s="32" t="str">
        <x:v>ok</x:v>
      </x:c>
      <x:c r="U416" s="32" t="str">
        <x:v>ok</x:v>
      </x:c>
      <x:c r="V416" s="32" t="str">
        <x:v>ok</x:v>
      </x:c>
      <x:c r="W416" s="154" t="str">
        <x:v>{"schema_version":1,"imei":"862323089930705","timestamp":1786020053,"report_sequence":18,"task_version":"rice_tension_soil_demo","sensor_mode":"tension_soil","soil_moisture_percent":39.8,"soil_temperature_c":25.3,"soil_ec_us_cm":854,"soil_ph":6.31,"battery_mv":4010,"csq":22,"soil_rs485_status":"ok","cycle_status":"ok","soil_tension_kpa":-34.8,"soil_tension_rs485_status":"ok"}</x:v>
      </x:c>
    </x:row>
    <x:row r="417">
      <x:c r="A417" s="72" t="n">
        <x:v>46240.86172453704</x:v>
      </x:c>
      <x:c r="B417" s="72" t="n">
        <x:v>46240.86173842593</x:v>
      </x:c>
      <x:c r="C417" s="32" t="str">
        <x:v>P06</x:v>
      </x:c>
      <x:c r="D417" s="32" t="str">
        <x:v>B1-W2-V2</x:v>
      </x:c>
      <x:c r="E417" s="32" t="str">
        <x:v>B1</x:v>
      </x:c>
      <x:c r="F417" s="32" t="str">
        <x:v>W2</x:v>
      </x:c>
      <x:c r="G417" s="32" t="str">
        <x:v>V2</x:v>
      </x:c>
      <x:c r="H417" s="32" t="str">
        <x:v>tension_soil</x:v>
      </x:c>
      <x:c r="I417" s="32" t="str">
        <x:v>862323089930706</x:v>
      </x:c>
      <x:c r="J417" s="82"/>
      <x:c r="K417" s="82" t="n">
        <x:v>-35.3</x:v>
      </x:c>
      <x:c r="L417" s="82" t="n">
        <x:v>40.3</x:v>
      </x:c>
      <x:c r="M417" s="82" t="n">
        <x:v>25.2</x:v>
      </x:c>
      <x:c r="N417" s="86" t="n">
        <x:v>858</x:v>
      </x:c>
      <x:c r="O417" s="90" t="n">
        <x:v>6.36</x:v>
      </x:c>
      <x:c r="P417" s="150" t="n">
        <x:v>3.92</x:v>
      </x:c>
      <x:c r="Q417" s="86" t="n">
        <x:v>23</x:v>
      </x:c>
      <x:c r="R417" s="32"/>
      <x:c r="S417" s="32" t="str">
        <x:v>ok</x:v>
      </x:c>
      <x:c r="T417" s="32" t="str">
        <x:v>ok</x:v>
      </x:c>
      <x:c r="U417" s="32" t="str">
        <x:v>ok</x:v>
      </x:c>
      <x:c r="V417" s="32" t="str">
        <x:v>ok</x:v>
      </x:c>
      <x:c r="W417" s="154" t="str">
        <x:v>{"schema_version":1,"imei":"862323089930706","timestamp":1786020053,"report_sequence":18,"task_version":"rice_tension_soil_demo","sensor_mode":"tension_soil","soil_moisture_percent":40.3,"soil_temperature_c":25.2,"soil_ec_us_cm":858,"soil_ph":6.36,"battery_mv":3920,"csq":23,"soil_rs485_status":"ok","cycle_status":"ok","soil_tension_kpa":-35.3,"soil_tension_rs485_status":"ok"}</x:v>
      </x:c>
    </x:row>
    <x:row r="418">
      <x:c r="A418" s="72" t="n">
        <x:v>46240.86172453704</x:v>
      </x:c>
      <x:c r="B418" s="72" t="n">
        <x:v>46240.86173842593</x:v>
      </x:c>
      <x:c r="C418" s="32" t="str">
        <x:v>P07</x:v>
      </x:c>
      <x:c r="D418" s="32" t="str">
        <x:v>B2-W0-V1</x:v>
      </x:c>
      <x:c r="E418" s="32" t="str">
        <x:v>B2</x:v>
      </x:c>
      <x:c r="F418" s="32" t="str">
        <x:v>W0</x:v>
      </x:c>
      <x:c r="G418" s="32" t="str">
        <x:v>V1</x:v>
      </x:c>
      <x:c r="H418" s="32" t="str">
        <x:v>water_soil</x:v>
      </x:c>
      <x:c r="I418" s="32" t="str">
        <x:v>862323089930707</x:v>
      </x:c>
      <x:c r="J418" s="82" t="n">
        <x:v>36.6</x:v>
      </x:c>
      <x:c r="K418" s="82"/>
      <x:c r="L418" s="82" t="n">
        <x:v>40.8</x:v>
      </x:c>
      <x:c r="M418" s="82" t="n">
        <x:v>25.1</x:v>
      </x:c>
      <x:c r="N418" s="86" t="n">
        <x:v>861</x:v>
      </x:c>
      <x:c r="O418" s="90" t="n">
        <x:v>6.4</x:v>
      </x:c>
      <x:c r="P418" s="150" t="n">
        <x:v>3.938</x:v>
      </x:c>
      <x:c r="Q418" s="86" t="n">
        <x:v>24</x:v>
      </x:c>
      <x:c r="R418" s="32" t="str">
        <x:v>ok</x:v>
      </x:c>
      <x:c r="S418" s="32"/>
      <x:c r="T418" s="32" t="str">
        <x:v>ok</x:v>
      </x:c>
      <x:c r="U418" s="32" t="str">
        <x:v>ok</x:v>
      </x:c>
      <x:c r="V418" s="32" t="str">
        <x:v>ok</x:v>
      </x:c>
      <x:c r="W418" s="154" t="str">
        <x:v>{"schema_version":1,"imei":"862323089930707","timestamp":1786020053,"report_sequence":18,"task_version":"rice_w0_water_soil_demo","sensor_mode":"water_soil","soil_moisture_percent":40.8,"soil_temperature_c":25.1,"soil_ec_us_cm":861,"soil_ph":6.4,"battery_mv":3938,"csq":24,"soil_rs485_status":"ok","cycle_status":"ok","water_level_mm":36.6,"water_4_20ma_status":"ok"}</x:v>
      </x:c>
    </x:row>
    <x:row r="419">
      <x:c r="A419" s="72" t="n">
        <x:v>46240.86172453704</x:v>
      </x:c>
      <x:c r="B419" s="72" t="n">
        <x:v>46240.86173842593</x:v>
      </x:c>
      <x:c r="C419" s="32" t="str">
        <x:v>P08</x:v>
      </x:c>
      <x:c r="D419" s="32" t="str">
        <x:v>B2-W0-V2</x:v>
      </x:c>
      <x:c r="E419" s="32" t="str">
        <x:v>B2</x:v>
      </x:c>
      <x:c r="F419" s="32" t="str">
        <x:v>W0</x:v>
      </x:c>
      <x:c r="G419" s="32" t="str">
        <x:v>V2</x:v>
      </x:c>
      <x:c r="H419" s="32" t="str">
        <x:v>water_soil</x:v>
      </x:c>
      <x:c r="I419" s="32" t="str">
        <x:v>862323089930708</x:v>
      </x:c>
      <x:c r="J419" s="82" t="n">
        <x:v>26.4</x:v>
      </x:c>
      <x:c r="K419" s="82"/>
      <x:c r="L419" s="82" t="n">
        <x:v>33.4</x:v>
      </x:c>
      <x:c r="M419" s="82" t="n">
        <x:v>24.9</x:v>
      </x:c>
      <x:c r="N419" s="86" t="n">
        <x:v>865</x:v>
      </x:c>
      <x:c r="O419" s="90" t="n">
        <x:v>6.44</x:v>
      </x:c>
      <x:c r="P419" s="150" t="n">
        <x:v>3.956</x:v>
      </x:c>
      <x:c r="Q419" s="86" t="n">
        <x:v>17</x:v>
      </x:c>
      <x:c r="R419" s="32" t="str">
        <x:v>ok</x:v>
      </x:c>
      <x:c r="S419" s="32"/>
      <x:c r="T419" s="32" t="str">
        <x:v>ok</x:v>
      </x:c>
      <x:c r="U419" s="32" t="str">
        <x:v>ok</x:v>
      </x:c>
      <x:c r="V419" s="32" t="str">
        <x:v>ok</x:v>
      </x:c>
      <x:c r="W419" s="154" t="str">
        <x:v>{"schema_version":1,"imei":"862323089930708","timestamp":1786020053,"report_sequence":18,"task_version":"rice_w0_water_soil_demo","sensor_mode":"water_soil","soil_moisture_percent":33.4,"soil_temperature_c":24.9,"soil_ec_us_cm":865,"soil_ph":6.44,"battery_mv":3956,"csq":17,"soil_rs485_status":"ok","cycle_status":"ok","water_level_mm":26.4,"water_4_20ma_status":"ok"}</x:v>
      </x:c>
    </x:row>
    <x:row r="420">
      <x:c r="A420" s="72" t="n">
        <x:v>46240.86172453704</x:v>
      </x:c>
      <x:c r="B420" s="72" t="n">
        <x:v>46240.86173842593</x:v>
      </x:c>
      <x:c r="C420" s="32" t="str">
        <x:v>P09</x:v>
      </x:c>
      <x:c r="D420" s="32" t="str">
        <x:v>B2-W1-V1</x:v>
      </x:c>
      <x:c r="E420" s="32" t="str">
        <x:v>B2</x:v>
      </x:c>
      <x:c r="F420" s="32" t="str">
        <x:v>W1</x:v>
      </x:c>
      <x:c r="G420" s="32" t="str">
        <x:v>V1</x:v>
      </x:c>
      <x:c r="H420" s="32" t="str">
        <x:v>tension_soil</x:v>
      </x:c>
      <x:c r="I420" s="32" t="str">
        <x:v>862323089930709</x:v>
      </x:c>
      <x:c r="J420" s="82"/>
      <x:c r="K420" s="82" t="n">
        <x:v>-25.9</x:v>
      </x:c>
      <x:c r="L420" s="82" t="n">
        <x:v>33.9</x:v>
      </x:c>
      <x:c r="M420" s="82" t="n">
        <x:v>24.8</x:v>
      </x:c>
      <x:c r="N420" s="86" t="n">
        <x:v>869</x:v>
      </x:c>
      <x:c r="O420" s="90" t="n">
        <x:v>6.48</x:v>
      </x:c>
      <x:c r="P420" s="150" t="n">
        <x:v>3.974</x:v>
      </x:c>
      <x:c r="Q420" s="86" t="n">
        <x:v>18</x:v>
      </x:c>
      <x:c r="R420" s="32"/>
      <x:c r="S420" s="32" t="str">
        <x:v>ok</x:v>
      </x:c>
      <x:c r="T420" s="32" t="str">
        <x:v>ok</x:v>
      </x:c>
      <x:c r="U420" s="32" t="str">
        <x:v>ok</x:v>
      </x:c>
      <x:c r="V420" s="32" t="str">
        <x:v>ok</x:v>
      </x:c>
      <x:c r="W420" s="154" t="str">
        <x:v>{"schema_version":1,"imei":"862323089930709","timestamp":1786020053,"report_sequence":18,"task_version":"rice_tension_soil_demo","sensor_mode":"tension_soil","soil_moisture_percent":33.9,"soil_temperature_c":24.8,"soil_ec_us_cm":869,"soil_ph":6.48,"battery_mv":3974,"csq":18,"soil_rs485_status":"ok","cycle_status":"ok","soil_tension_kpa":-25.9,"soil_tension_rs485_status":"ok"}</x:v>
      </x:c>
    </x:row>
    <x:row r="421">
      <x:c r="A421" s="72" t="n">
        <x:v>46240.86172453704</x:v>
      </x:c>
      <x:c r="B421" s="72" t="n">
        <x:v>46240.86173842593</x:v>
      </x:c>
      <x:c r="C421" s="32" t="str">
        <x:v>P10</x:v>
      </x:c>
      <x:c r="D421" s="32" t="str">
        <x:v>B2-W1-V2</x:v>
      </x:c>
      <x:c r="E421" s="32" t="str">
        <x:v>B2</x:v>
      </x:c>
      <x:c r="F421" s="32" t="str">
        <x:v>W1</x:v>
      </x:c>
      <x:c r="G421" s="32" t="str">
        <x:v>V2</x:v>
      </x:c>
      <x:c r="H421" s="32" t="str">
        <x:v>tension_soil</x:v>
      </x:c>
      <x:c r="I421" s="32" t="str">
        <x:v>862323089930710</x:v>
      </x:c>
      <x:c r="J421" s="82"/>
      <x:c r="K421" s="82" t="n">
        <x:v>-21.5</x:v>
      </x:c>
      <x:c r="L421" s="82" t="n">
        <x:v>34.5</x:v>
      </x:c>
      <x:c r="M421" s="82" t="n">
        <x:v>24.7</x:v>
      </x:c>
      <x:c r="N421" s="86" t="n">
        <x:v>874</x:v>
      </x:c>
      <x:c r="O421" s="90" t="n">
        <x:v>6.28</x:v>
      </x:c>
      <x:c r="P421" s="150" t="n">
        <x:v>3.992</x:v>
      </x:c>
      <x:c r="Q421" s="86" t="n">
        <x:v>19</x:v>
      </x:c>
      <x:c r="R421" s="32"/>
      <x:c r="S421" s="32" t="str">
        <x:v>ok</x:v>
      </x:c>
      <x:c r="T421" s="32" t="str">
        <x:v>ok</x:v>
      </x:c>
      <x:c r="U421" s="32" t="str">
        <x:v>ok</x:v>
      </x:c>
      <x:c r="V421" s="32" t="str">
        <x:v>ok</x:v>
      </x:c>
      <x:c r="W421" s="154" t="str">
        <x:v>{"schema_version":1,"imei":"862323089930710","timestamp":1786020053,"report_sequence":18,"task_version":"rice_tension_soil_demo","sensor_mode":"tension_soil","soil_moisture_percent":34.5,"soil_temperature_c":24.7,"soil_ec_us_cm":874,"soil_ph":6.28,"battery_mv":3992,"csq":19,"soil_rs485_status":"ok","cycle_status":"ok","soil_tension_kpa":-21.5,"soil_tension_rs485_status":"ok"}</x:v>
      </x:c>
    </x:row>
    <x:row r="422">
      <x:c r="A422" s="72" t="n">
        <x:v>46240.86172453704</x:v>
      </x:c>
      <x:c r="B422" s="72" t="n">
        <x:v>46240.86173842593</x:v>
      </x:c>
      <x:c r="C422" s="32" t="str">
        <x:v>P11</x:v>
      </x:c>
      <x:c r="D422" s="32" t="str">
        <x:v>B2-W2-V1</x:v>
      </x:c>
      <x:c r="E422" s="32" t="str">
        <x:v>B2</x:v>
      </x:c>
      <x:c r="F422" s="32" t="str">
        <x:v>W2</x:v>
      </x:c>
      <x:c r="G422" s="32" t="str">
        <x:v>V1</x:v>
      </x:c>
      <x:c r="H422" s="32" t="str">
        <x:v>tension_soil</x:v>
      </x:c>
      <x:c r="I422" s="32" t="str">
        <x:v>862323089930711</x:v>
      </x:c>
      <x:c r="J422" s="82"/>
      <x:c r="K422" s="82" t="n">
        <x:v>-33.2</x:v>
      </x:c>
      <x:c r="L422" s="82" t="n">
        <x:v>35.2</x:v>
      </x:c>
      <x:c r="M422" s="82" t="n">
        <x:v>24.7</x:v>
      </x:c>
      <x:c r="N422" s="86" t="n">
        <x:v>881</x:v>
      </x:c>
      <x:c r="O422" s="90" t="n">
        <x:v>6.32</x:v>
      </x:c>
      <x:c r="P422" s="150" t="n">
        <x:v>4.01</x:v>
      </x:c>
      <x:c r="Q422" s="86" t="n">
        <x:v>20</x:v>
      </x:c>
      <x:c r="R422" s="32"/>
      <x:c r="S422" s="32" t="str">
        <x:v>ok</x:v>
      </x:c>
      <x:c r="T422" s="32" t="str">
        <x:v>ok</x:v>
      </x:c>
      <x:c r="U422" s="32" t="str">
        <x:v>ok</x:v>
      </x:c>
      <x:c r="V422" s="32" t="str">
        <x:v>ok</x:v>
      </x:c>
      <x:c r="W422" s="154" t="str">
        <x:v>{"schema_version":1,"imei":"862323089930711","timestamp":1786020053,"report_sequence":18,"task_version":"rice_tension_soil_demo","sensor_mode":"tension_soil","soil_moisture_percent":35.2,"soil_temperature_c":24.7,"soil_ec_us_cm":881,"soil_ph":6.32,"battery_mv":4010,"csq":20,"soil_rs485_status":"ok","cycle_status":"ok","soil_tension_kpa":-33.2,"soil_tension_rs485_status":"ok"}</x:v>
      </x:c>
    </x:row>
    <x:row r="423">
      <x:c r="A423" s="72" t="n">
        <x:v>46240.86172453704</x:v>
      </x:c>
      <x:c r="B423" s="72" t="n">
        <x:v>46240.86173842593</x:v>
      </x:c>
      <x:c r="C423" s="32" t="str">
        <x:v>P12</x:v>
      </x:c>
      <x:c r="D423" s="32" t="str">
        <x:v>B2-W2-V2</x:v>
      </x:c>
      <x:c r="E423" s="32" t="str">
        <x:v>B2</x:v>
      </x:c>
      <x:c r="F423" s="32" t="str">
        <x:v>W2</x:v>
      </x:c>
      <x:c r="G423" s="32" t="str">
        <x:v>V2</x:v>
      </x:c>
      <x:c r="H423" s="32" t="str">
        <x:v>tension_soil</x:v>
      </x:c>
      <x:c r="I423" s="32" t="str">
        <x:v>862323089930712</x:v>
      </x:c>
      <x:c r="J423" s="82"/>
      <x:c r="K423" s="82" t="n">
        <x:v>-34.1</x:v>
      </x:c>
      <x:c r="L423" s="82" t="n">
        <x:v>36.1</x:v>
      </x:c>
      <x:c r="M423" s="82" t="n">
        <x:v>24.6</x:v>
      </x:c>
      <x:c r="N423" s="86" t="n">
        <x:v>890</x:v>
      </x:c>
      <x:c r="O423" s="90" t="n">
        <x:v>6.37</x:v>
      </x:c>
      <x:c r="P423" s="150" t="n">
        <x:v>3.92</x:v>
      </x:c>
      <x:c r="Q423" s="86" t="n">
        <x:v>21</x:v>
      </x:c>
      <x:c r="R423" s="32"/>
      <x:c r="S423" s="32" t="str">
        <x:v>ok</x:v>
      </x:c>
      <x:c r="T423" s="32" t="str">
        <x:v>ok</x:v>
      </x:c>
      <x:c r="U423" s="32" t="str">
        <x:v>ok</x:v>
      </x:c>
      <x:c r="V423" s="32" t="str">
        <x:v>ok</x:v>
      </x:c>
      <x:c r="W423" s="154" t="str">
        <x:v>{"schema_version":1,"imei":"862323089930712","timestamp":1786020053,"report_sequence":18,"task_version":"rice_tension_soil_demo","sensor_mode":"tension_soil","soil_moisture_percent":36.1,"soil_temperature_c":24.6,"soil_ec_us_cm":890,"soil_ph":6.37,"battery_mv":3920,"csq":21,"soil_rs485_status":"ok","cycle_status":"ok","soil_tension_kpa":-34.1,"soil_tension_rs485_status":"ok"}</x:v>
      </x:c>
    </x:row>
    <x:row r="424">
      <x:c r="A424" s="72" t="n">
        <x:v>46240.86172453704</x:v>
      </x:c>
      <x:c r="B424" s="72" t="n">
        <x:v>46240.86173842593</x:v>
      </x:c>
      <x:c r="C424" s="32" t="str">
        <x:v>P13</x:v>
      </x:c>
      <x:c r="D424" s="32" t="str">
        <x:v>B3-W0-V1</x:v>
      </x:c>
      <x:c r="E424" s="32" t="str">
        <x:v>B3</x:v>
      </x:c>
      <x:c r="F424" s="32" t="str">
        <x:v>W0</x:v>
      </x:c>
      <x:c r="G424" s="32" t="str">
        <x:v>V1</x:v>
      </x:c>
      <x:c r="H424" s="32" t="str">
        <x:v>water_soil</x:v>
      </x:c>
      <x:c r="I424" s="32" t="str">
        <x:v>862323089930713</x:v>
      </x:c>
      <x:c r="J424" s="82" t="n">
        <x:v>26</x:v>
      </x:c>
      <x:c r="K424" s="82"/>
      <x:c r="L424" s="82" t="n">
        <x:v>37</x:v>
      </x:c>
      <x:c r="M424" s="82" t="n">
        <x:v>24.6</x:v>
      </x:c>
      <x:c r="N424" s="86" t="n">
        <x:v>901</x:v>
      </x:c>
      <x:c r="O424" s="90" t="n">
        <x:v>6.42</x:v>
      </x:c>
      <x:c r="P424" s="150" t="n">
        <x:v>3.938</x:v>
      </x:c>
      <x:c r="Q424" s="86" t="n">
        <x:v>22</x:v>
      </x:c>
      <x:c r="R424" s="32" t="str">
        <x:v>ok</x:v>
      </x:c>
      <x:c r="S424" s="32"/>
      <x:c r="T424" s="32" t="str">
        <x:v>ok</x:v>
      </x:c>
      <x:c r="U424" s="32" t="str">
        <x:v>ok</x:v>
      </x:c>
      <x:c r="V424" s="32" t="str">
        <x:v>ok</x:v>
      </x:c>
      <x:c r="W424" s="154" t="str">
        <x:v>{"schema_version":1,"imei":"862323089930713","timestamp":1786020053,"report_sequence":18,"task_version":"rice_w0_water_soil_demo","sensor_mode":"water_soil","soil_moisture_percent":37,"soil_temperature_c":24.6,"soil_ec_us_cm":901,"soil_ph":6.42,"battery_mv":3938,"csq":22,"soil_rs485_status":"ok","cycle_status":"ok","water_level_mm":26,"water_4_20ma_status":"ok"}</x:v>
      </x:c>
    </x:row>
    <x:row r="425">
      <x:c r="A425" s="72" t="n">
        <x:v>46240.86172453704</x:v>
      </x:c>
      <x:c r="B425" s="72" t="n">
        <x:v>46240.86173842593</x:v>
      </x:c>
      <x:c r="C425" s="32" t="str">
        <x:v>P14</x:v>
      </x:c>
      <x:c r="D425" s="32" t="str">
        <x:v>B3-W0-V2</x:v>
      </x:c>
      <x:c r="E425" s="32" t="str">
        <x:v>B3</x:v>
      </x:c>
      <x:c r="F425" s="32" t="str">
        <x:v>W0</x:v>
      </x:c>
      <x:c r="G425" s="32" t="str">
        <x:v>V2</x:v>
      </x:c>
      <x:c r="H425" s="32" t="str">
        <x:v>water_soil</x:v>
      </x:c>
      <x:c r="I425" s="32" t="str">
        <x:v>862323089930714</x:v>
      </x:c>
      <x:c r="J425" s="82" t="n">
        <x:v>29.2</x:v>
      </x:c>
      <x:c r="K425" s="82"/>
      <x:c r="L425" s="82" t="n">
        <x:v>38.1</x:v>
      </x:c>
      <x:c r="M425" s="82" t="n">
        <x:v>24.6</x:v>
      </x:c>
      <x:c r="N425" s="86" t="n">
        <x:v>914</x:v>
      </x:c>
      <x:c r="O425" s="90" t="n">
        <x:v>6.47</x:v>
      </x:c>
      <x:c r="P425" s="150" t="n">
        <x:v>3.956</x:v>
      </x:c>
      <x:c r="Q425" s="86" t="n">
        <x:v>23</x:v>
      </x:c>
      <x:c r="R425" s="32" t="str">
        <x:v>ok</x:v>
      </x:c>
      <x:c r="S425" s="32"/>
      <x:c r="T425" s="32" t="str">
        <x:v>ok</x:v>
      </x:c>
      <x:c r="U425" s="32" t="str">
        <x:v>ok</x:v>
      </x:c>
      <x:c r="V425" s="32" t="str">
        <x:v>ok</x:v>
      </x:c>
      <x:c r="W425" s="154" t="str">
        <x:v>{"schema_version":1,"imei":"862323089930714","timestamp":1786020053,"report_sequence":18,"task_version":"rice_w0_water_soil_demo","sensor_mode":"water_soil","soil_moisture_percent":38.1,"soil_temperature_c":24.6,"soil_ec_us_cm":914,"soil_ph":6.47,"battery_mv":3956,"csq":23,"soil_rs485_status":"ok","cycle_status":"ok","water_level_mm":29.2,"water_4_20ma_status":"ok"}</x:v>
      </x:c>
    </x:row>
    <x:row r="426">
      <x:c r="A426" s="72" t="n">
        <x:v>46240.86172453704</x:v>
      </x:c>
      <x:c r="B426" s="72" t="n">
        <x:v>46240.86173842593</x:v>
      </x:c>
      <x:c r="C426" s="32" t="str">
        <x:v>P15</x:v>
      </x:c>
      <x:c r="D426" s="32" t="str">
        <x:v>B3-W1-V1</x:v>
      </x:c>
      <x:c r="E426" s="32" t="str">
        <x:v>B3</x:v>
      </x:c>
      <x:c r="F426" s="32" t="str">
        <x:v>W1</x:v>
      </x:c>
      <x:c r="G426" s="32" t="str">
        <x:v>V1</x:v>
      </x:c>
      <x:c r="H426" s="32" t="str">
        <x:v>tension_soil</x:v>
      </x:c>
      <x:c r="I426" s="32" t="str">
        <x:v>862323089930715</x:v>
      </x:c>
      <x:c r="J426" s="82"/>
      <x:c r="K426" s="82" t="n">
        <x:v>-21.2</x:v>
      </x:c>
      <x:c r="L426" s="82" t="n">
        <x:v>39.2</x:v>
      </x:c>
      <x:c r="M426" s="82" t="n">
        <x:v>24.7</x:v>
      </x:c>
      <x:c r="N426" s="86" t="n">
        <x:v>929</x:v>
      </x:c>
      <x:c r="O426" s="90" t="n">
        <x:v>6.27</x:v>
      </x:c>
      <x:c r="P426" s="150" t="n">
        <x:v>3.974</x:v>
      </x:c>
      <x:c r="Q426" s="86" t="n">
        <x:v>24</x:v>
      </x:c>
      <x:c r="R426" s="32"/>
      <x:c r="S426" s="32" t="str">
        <x:v>ok</x:v>
      </x:c>
      <x:c r="T426" s="32" t="str">
        <x:v>ok</x:v>
      </x:c>
      <x:c r="U426" s="32" t="str">
        <x:v>ok</x:v>
      </x:c>
      <x:c r="V426" s="32" t="str">
        <x:v>ok</x:v>
      </x:c>
      <x:c r="W426" s="154" t="str">
        <x:v>{"schema_version":1,"imei":"862323089930715","timestamp":1786020053,"report_sequence":18,"task_version":"rice_tension_soil_demo","sensor_mode":"tension_soil","soil_moisture_percent":39.2,"soil_temperature_c":24.7,"soil_ec_us_cm":929,"soil_ph":6.27,"battery_mv":3974,"csq":24,"soil_rs485_status":"ok","cycle_status":"ok","soil_tension_kpa":-21.2,"soil_tension_rs485_status":"ok"}</x:v>
      </x:c>
    </x:row>
    <x:row r="427">
      <x:c r="A427" s="72" t="n">
        <x:v>46240.86172453704</x:v>
      </x:c>
      <x:c r="B427" s="72" t="n">
        <x:v>46240.86173842593</x:v>
      </x:c>
      <x:c r="C427" s="32" t="str">
        <x:v>P16</x:v>
      </x:c>
      <x:c r="D427" s="32" t="str">
        <x:v>B3-W1-V2</x:v>
      </x:c>
      <x:c r="E427" s="32" t="str">
        <x:v>B3</x:v>
      </x:c>
      <x:c r="F427" s="32" t="str">
        <x:v>W1</x:v>
      </x:c>
      <x:c r="G427" s="32" t="str">
        <x:v>V2</x:v>
      </x:c>
      <x:c r="H427" s="32" t="str">
        <x:v>tension_soil</x:v>
      </x:c>
      <x:c r="I427" s="32" t="str">
        <x:v>862323089930716</x:v>
      </x:c>
      <x:c r="J427" s="82"/>
      <x:c r="K427" s="82" t="n">
        <x:v>-22.5</x:v>
      </x:c>
      <x:c r="L427" s="82" t="n">
        <x:v>32.5</x:v>
      </x:c>
      <x:c r="M427" s="82" t="n">
        <x:v>24.7</x:v>
      </x:c>
      <x:c r="N427" s="86" t="n">
        <x:v>946</x:v>
      </x:c>
      <x:c r="O427" s="90" t="n">
        <x:v>6.33</x:v>
      </x:c>
      <x:c r="P427" s="150" t="n">
        <x:v>3.992</x:v>
      </x:c>
      <x:c r="Q427" s="86" t="n">
        <x:v>17</x:v>
      </x:c>
      <x:c r="R427" s="32"/>
      <x:c r="S427" s="32" t="str">
        <x:v>ok</x:v>
      </x:c>
      <x:c r="T427" s="32" t="str">
        <x:v>ok</x:v>
      </x:c>
      <x:c r="U427" s="32" t="str">
        <x:v>ok</x:v>
      </x:c>
      <x:c r="V427" s="32" t="str">
        <x:v>ok</x:v>
      </x:c>
      <x:c r="W427" s="154" t="str">
        <x:v>{"schema_version":1,"imei":"862323089930716","timestamp":1786020053,"report_sequence":18,"task_version":"rice_tension_soil_demo","sensor_mode":"tension_soil","soil_moisture_percent":32.5,"soil_temperature_c":24.7,"soil_ec_us_cm":946,"soil_ph":6.33,"battery_mv":3992,"csq":17,"soil_rs485_status":"ok","cycle_status":"ok","soil_tension_kpa":-22.5,"soil_tension_rs485_status":"ok"}</x:v>
      </x:c>
    </x:row>
    <x:row r="428">
      <x:c r="A428" s="72" t="n">
        <x:v>46240.86172453704</x:v>
      </x:c>
      <x:c r="B428" s="72" t="n">
        <x:v>46240.86173842593</x:v>
      </x:c>
      <x:c r="C428" s="32" t="str">
        <x:v>P17</x:v>
      </x:c>
      <x:c r="D428" s="32" t="str">
        <x:v>B3-W2-V1</x:v>
      </x:c>
      <x:c r="E428" s="32" t="str">
        <x:v>B3</x:v>
      </x:c>
      <x:c r="F428" s="32" t="str">
        <x:v>W2</x:v>
      </x:c>
      <x:c r="G428" s="32" t="str">
        <x:v>V1</x:v>
      </x:c>
      <x:c r="H428" s="32" t="str">
        <x:v>tension_soil</x:v>
      </x:c>
      <x:c r="I428" s="32" t="str">
        <x:v>862323089930717</x:v>
      </x:c>
      <x:c r="J428" s="82"/>
      <x:c r="K428" s="82" t="n">
        <x:v>-34.9</x:v>
      </x:c>
      <x:c r="L428" s="82" t="n">
        <x:v>33.9</x:v>
      </x:c>
      <x:c r="M428" s="82" t="n">
        <x:v>24.8</x:v>
      </x:c>
      <x:c r="N428" s="86" t="n">
        <x:v>965</x:v>
      </x:c>
      <x:c r="O428" s="90" t="n">
        <x:v>6.38</x:v>
      </x:c>
      <x:c r="P428" s="150" t="n">
        <x:v>4.01</x:v>
      </x:c>
      <x:c r="Q428" s="86" t="n">
        <x:v>18</x:v>
      </x:c>
      <x:c r="R428" s="32"/>
      <x:c r="S428" s="32" t="str">
        <x:v>ok</x:v>
      </x:c>
      <x:c r="T428" s="32" t="str">
        <x:v>ok</x:v>
      </x:c>
      <x:c r="U428" s="32" t="str">
        <x:v>ok</x:v>
      </x:c>
      <x:c r="V428" s="32" t="str">
        <x:v>ok</x:v>
      </x:c>
      <x:c r="W428" s="154" t="str">
        <x:v>{"schema_version":1,"imei":"862323089930717","timestamp":1786020053,"report_sequence":18,"task_version":"rice_tension_soil_demo","sensor_mode":"tension_soil","soil_moisture_percent":33.9,"soil_temperature_c":24.8,"soil_ec_us_cm":965,"soil_ph":6.38,"battery_mv":4010,"csq":18,"soil_rs485_status":"ok","cycle_status":"ok","soil_tension_kpa":-34.9,"soil_tension_rs485_status":"ok"}</x:v>
      </x:c>
    </x:row>
    <x:row r="429">
      <x:c r="A429" s="72" t="n">
        <x:v>46240.86172453704</x:v>
      </x:c>
      <x:c r="B429" s="72" t="n">
        <x:v>46240.86173842593</x:v>
      </x:c>
      <x:c r="C429" s="32" t="str">
        <x:v>P18</x:v>
      </x:c>
      <x:c r="D429" s="32" t="str">
        <x:v>B3-W2-V2</x:v>
      </x:c>
      <x:c r="E429" s="32" t="str">
        <x:v>B3</x:v>
      </x:c>
      <x:c r="F429" s="32" t="str">
        <x:v>W2</x:v>
      </x:c>
      <x:c r="G429" s="32" t="str">
        <x:v>V2</x:v>
      </x:c>
      <x:c r="H429" s="32" t="str">
        <x:v>tension_soil</x:v>
      </x:c>
      <x:c r="I429" s="32" t="str">
        <x:v>862323089930718</x:v>
      </x:c>
      <x:c r="J429" s="82"/>
      <x:c r="K429" s="82" t="n">
        <x:v>-36.4</x:v>
      </x:c>
      <x:c r="L429" s="82" t="n">
        <x:v>35.4</x:v>
      </x:c>
      <x:c r="M429" s="82" t="n">
        <x:v>24.9</x:v>
      </x:c>
      <x:c r="N429" s="86" t="n">
        <x:v>985</x:v>
      </x:c>
      <x:c r="O429" s="90" t="n">
        <x:v>6.44</x:v>
      </x:c>
      <x:c r="P429" s="150" t="n">
        <x:v>3.92</x:v>
      </x:c>
      <x:c r="Q429" s="86" t="n">
        <x:v>19</x:v>
      </x:c>
      <x:c r="R429" s="32"/>
      <x:c r="S429" s="32" t="str">
        <x:v>ok</x:v>
      </x:c>
      <x:c r="T429" s="32" t="str">
        <x:v>ok</x:v>
      </x:c>
      <x:c r="U429" s="32" t="str">
        <x:v>ok</x:v>
      </x:c>
      <x:c r="V429" s="32" t="str">
        <x:v>ok</x:v>
      </x:c>
      <x:c r="W429" s="154" t="str">
        <x:v>{"schema_version":1,"imei":"862323089930718","timestamp":1786020053,"report_sequence":18,"task_version":"rice_tension_soil_demo","sensor_mode":"tension_soil","soil_moisture_percent":35.4,"soil_temperature_c":24.9,"soil_ec_us_cm":985,"soil_ph":6.44,"battery_mv":3920,"csq":19,"soil_rs485_status":"ok","cycle_status":"ok","soil_tension_kpa":-36.4,"soil_tension_rs485_status":"ok"}</x:v>
      </x:c>
    </x:row>
    <x:row r="430">
      <x:c r="A430" s="72" t="n">
        <x:v>46240.86172453704</x:v>
      </x:c>
      <x:c r="B430" s="72" t="n">
        <x:v>46240.86173842593</x:v>
      </x:c>
      <x:c r="C430" s="32" t="str">
        <x:v>P19</x:v>
      </x:c>
      <x:c r="D430" s="32" t="str">
        <x:v>B4-W0-V1</x:v>
      </x:c>
      <x:c r="E430" s="32" t="str">
        <x:v>B4</x:v>
      </x:c>
      <x:c r="F430" s="32" t="str">
        <x:v>W0</x:v>
      </x:c>
      <x:c r="G430" s="32" t="str">
        <x:v>V1</x:v>
      </x:c>
      <x:c r="H430" s="32" t="str">
        <x:v>water_soil</x:v>
      </x:c>
      <x:c r="I430" s="32" t="str">
        <x:v>862323089930719</x:v>
      </x:c>
      <x:c r="J430" s="82" t="n">
        <x:v>36.7</x:v>
      </x:c>
      <x:c r="K430" s="82"/>
      <x:c r="L430" s="82" t="n">
        <x:v>36.9</x:v>
      </x:c>
      <x:c r="M430" s="82" t="n">
        <x:v>25.1</x:v>
      </x:c>
      <x:c r="N430" s="86" t="n">
        <x:v>1006</x:v>
      </x:c>
      <x:c r="O430" s="90" t="n">
        <x:v>6.5</x:v>
      </x:c>
      <x:c r="P430" s="150" t="n">
        <x:v>3.938</x:v>
      </x:c>
      <x:c r="Q430" s="86" t="n">
        <x:v>20</x:v>
      </x:c>
      <x:c r="R430" s="32" t="str">
        <x:v>ok</x:v>
      </x:c>
      <x:c r="S430" s="32"/>
      <x:c r="T430" s="32" t="str">
        <x:v>ok</x:v>
      </x:c>
      <x:c r="U430" s="32" t="str">
        <x:v>ok</x:v>
      </x:c>
      <x:c r="V430" s="32" t="str">
        <x:v>ok</x:v>
      </x:c>
      <x:c r="W430" s="154" t="str">
        <x:v>{"schema_version":1,"imei":"862323089930719","timestamp":1786020053,"report_sequence":18,"task_version":"rice_w0_water_soil_demo","sensor_mode":"water_soil","soil_moisture_percent":36.9,"soil_temperature_c":25.1,"soil_ec_us_cm":1006,"soil_ph":6.5,"battery_mv":3938,"csq":20,"soil_rs485_status":"ok","cycle_status":"ok","water_level_mm":36.7,"water_4_20ma_status":"ok"}</x:v>
      </x:c>
    </x:row>
    <x:row r="431">
      <x:c r="A431" s="72" t="n">
        <x:v>46240.86172453704</x:v>
      </x:c>
      <x:c r="B431" s="72" t="n">
        <x:v>46240.86173842593</x:v>
      </x:c>
      <x:c r="C431" s="32" t="str">
        <x:v>P20</x:v>
      </x:c>
      <x:c r="D431" s="32" t="str">
        <x:v>B4-W0-V2</x:v>
      </x:c>
      <x:c r="E431" s="32" t="str">
        <x:v>B4</x:v>
      </x:c>
      <x:c r="F431" s="32" t="str">
        <x:v>W0</x:v>
      </x:c>
      <x:c r="G431" s="32" t="str">
        <x:v>V2</x:v>
      </x:c>
      <x:c r="H431" s="32" t="str">
        <x:v>water_soil</x:v>
      </x:c>
      <x:c r="I431" s="32" t="str">
        <x:v>862323089930720</x:v>
      </x:c>
      <x:c r="J431" s="82" t="n">
        <x:v>28.9</x:v>
      </x:c>
      <x:c r="K431" s="82"/>
      <x:c r="L431" s="82" t="n">
        <x:v>38.4</x:v>
      </x:c>
      <x:c r="M431" s="82" t="n">
        <x:v>25.2</x:v>
      </x:c>
      <x:c r="N431" s="86" t="n">
        <x:v>1026</x:v>
      </x:c>
      <x:c r="O431" s="90" t="n">
        <x:v>6.31</x:v>
      </x:c>
      <x:c r="P431" s="150" t="n">
        <x:v>3.956</x:v>
      </x:c>
      <x:c r="Q431" s="86" t="n">
        <x:v>21</x:v>
      </x:c>
      <x:c r="R431" s="32" t="str">
        <x:v>ok</x:v>
      </x:c>
      <x:c r="S431" s="32"/>
      <x:c r="T431" s="32" t="str">
        <x:v>ok</x:v>
      </x:c>
      <x:c r="U431" s="32" t="str">
        <x:v>ok</x:v>
      </x:c>
      <x:c r="V431" s="32" t="str">
        <x:v>ok</x:v>
      </x:c>
      <x:c r="W431" s="154" t="str">
        <x:v>{"schema_version":1,"imei":"862323089930720","timestamp":1786020053,"report_sequence":18,"task_version":"rice_w0_water_soil_demo","sensor_mode":"water_soil","soil_moisture_percent":38.4,"soil_temperature_c":25.2,"soil_ec_us_cm":1026,"soil_ph":6.31,"battery_mv":3956,"csq":21,"soil_rs485_status":"ok","cycle_status":"ok","water_level_mm":28.9,"water_4_20ma_status":"ok"}</x:v>
      </x:c>
    </x:row>
    <x:row r="432">
      <x:c r="A432" s="72" t="n">
        <x:v>46240.86172453704</x:v>
      </x:c>
      <x:c r="B432" s="72" t="n">
        <x:v>46240.86173842593</x:v>
      </x:c>
      <x:c r="C432" s="32" t="str">
        <x:v>P21</x:v>
      </x:c>
      <x:c r="D432" s="32" t="str">
        <x:v>B4-W1-V1</x:v>
      </x:c>
      <x:c r="E432" s="32" t="str">
        <x:v>B4</x:v>
      </x:c>
      <x:c r="F432" s="32" t="str">
        <x:v>W1</x:v>
      </x:c>
      <x:c r="G432" s="32" t="str">
        <x:v>V1</x:v>
      </x:c>
      <x:c r="H432" s="32" t="str">
        <x:v>tension_soil</x:v>
      </x:c>
      <x:c r="I432" s="32" t="str">
        <x:v>862323089930721</x:v>
      </x:c>
      <x:c r="J432" s="82"/>
      <x:c r="K432" s="82" t="n">
        <x:v>-24.8</x:v>
      </x:c>
      <x:c r="L432" s="82" t="n">
        <x:v>39.8</x:v>
      </x:c>
      <x:c r="M432" s="82" t="n">
        <x:v>25.3</x:v>
      </x:c>
      <x:c r="N432" s="86" t="n">
        <x:v>1047</x:v>
      </x:c>
      <x:c r="O432" s="90" t="n">
        <x:v>6.36</x:v>
      </x:c>
      <x:c r="P432" s="150" t="n">
        <x:v>3.974</x:v>
      </x:c>
      <x:c r="Q432" s="86" t="n">
        <x:v>22</x:v>
      </x:c>
      <x:c r="R432" s="32"/>
      <x:c r="S432" s="32" t="str">
        <x:v>ok</x:v>
      </x:c>
      <x:c r="T432" s="32" t="str">
        <x:v>ok</x:v>
      </x:c>
      <x:c r="U432" s="32" t="str">
        <x:v>ok</x:v>
      </x:c>
      <x:c r="V432" s="32" t="str">
        <x:v>ok</x:v>
      </x:c>
      <x:c r="W432" s="154" t="str">
        <x:v>{"schema_version":1,"imei":"862323089930721","timestamp":1786020053,"report_sequence":18,"task_version":"rice_tension_soil_demo","sensor_mode":"tension_soil","soil_moisture_percent":39.8,"soil_temperature_c":25.3,"soil_ec_us_cm":1047,"soil_ph":6.36,"battery_mv":3974,"csq":22,"soil_rs485_status":"ok","cycle_status":"ok","soil_tension_kpa":-24.8,"soil_tension_rs485_status":"ok"}</x:v>
      </x:c>
    </x:row>
    <x:row r="433">
      <x:c r="A433" s="72" t="n">
        <x:v>46240.86172453704</x:v>
      </x:c>
      <x:c r="B433" s="72" t="n">
        <x:v>46240.86173842593</x:v>
      </x:c>
      <x:c r="C433" s="32" t="str">
        <x:v>P22</x:v>
      </x:c>
      <x:c r="D433" s="32" t="str">
        <x:v>B4-W1-V2</x:v>
      </x:c>
      <x:c r="E433" s="32" t="str">
        <x:v>B4</x:v>
      </x:c>
      <x:c r="F433" s="32" t="str">
        <x:v>W1</x:v>
      </x:c>
      <x:c r="G433" s="32" t="str">
        <x:v>V2</x:v>
      </x:c>
      <x:c r="H433" s="32" t="str">
        <x:v>tension_soil</x:v>
      </x:c>
      <x:c r="I433" s="32" t="str">
        <x:v>862323089930722</x:v>
      </x:c>
      <x:c r="J433" s="82"/>
      <x:c r="K433" s="82" t="n">
        <x:v>-26.3</x:v>
      </x:c>
      <x:c r="L433" s="82" t="n">
        <x:v>41.3</x:v>
      </x:c>
      <x:c r="M433" s="82" t="n">
        <x:v>25.4</x:v>
      </x:c>
      <x:c r="N433" s="86" t="n">
        <x:v>1066</x:v>
      </x:c>
      <x:c r="O433" s="90" t="n">
        <x:v>6.42</x:v>
      </x:c>
      <x:c r="P433" s="150" t="n">
        <x:v>3.992</x:v>
      </x:c>
      <x:c r="Q433" s="86" t="n">
        <x:v>23</x:v>
      </x:c>
      <x:c r="R433" s="32"/>
      <x:c r="S433" s="32" t="str">
        <x:v>ok</x:v>
      </x:c>
      <x:c r="T433" s="32" t="str">
        <x:v>ok</x:v>
      </x:c>
      <x:c r="U433" s="32" t="str">
        <x:v>ok</x:v>
      </x:c>
      <x:c r="V433" s="32" t="str">
        <x:v>ok</x:v>
      </x:c>
      <x:c r="W433" s="154" t="str">
        <x:v>{"schema_version":1,"imei":"862323089930722","timestamp":1786020053,"report_sequence":18,"task_version":"rice_tension_soil_demo","sensor_mode":"tension_soil","soil_moisture_percent":41.3,"soil_temperature_c":25.4,"soil_ec_us_cm":1066,"soil_ph":6.42,"battery_mv":3992,"csq":23,"soil_rs485_status":"ok","cycle_status":"ok","soil_tension_kpa":-26.3,"soil_tension_rs485_status":"ok"}</x:v>
      </x:c>
    </x:row>
    <x:row r="434">
      <x:c r="A434" s="72" t="n">
        <x:v>46240.86172453704</x:v>
      </x:c>
      <x:c r="B434" s="72" t="n">
        <x:v>46240.86173842593</x:v>
      </x:c>
      <x:c r="C434" s="32" t="str">
        <x:v>P23</x:v>
      </x:c>
      <x:c r="D434" s="32" t="str">
        <x:v>B4-W2-V1</x:v>
      </x:c>
      <x:c r="E434" s="32" t="str">
        <x:v>B4</x:v>
      </x:c>
      <x:c r="F434" s="32" t="str">
        <x:v>W2</x:v>
      </x:c>
      <x:c r="G434" s="32" t="str">
        <x:v>V1</x:v>
      </x:c>
      <x:c r="H434" s="32" t="str">
        <x:v>tension_soil</x:v>
      </x:c>
      <x:c r="I434" s="32" t="str">
        <x:v>862323089930723</x:v>
      </x:c>
      <x:c r="J434" s="82"/>
      <x:c r="K434" s="82" t="n">
        <x:v>-38.6</x:v>
      </x:c>
      <x:c r="L434" s="82" t="n">
        <x:v>42.6</x:v>
      </x:c>
      <x:c r="M434" s="82" t="n">
        <x:v>25.5</x:v>
      </x:c>
      <x:c r="N434" s="86" t="n">
        <x:v>1084</x:v>
      </x:c>
      <x:c r="O434" s="90" t="n">
        <x:v>6.47</x:v>
      </x:c>
      <x:c r="P434" s="150" t="n">
        <x:v>4.01</x:v>
      </x:c>
      <x:c r="Q434" s="86" t="n">
        <x:v>24</x:v>
      </x:c>
      <x:c r="R434" s="32"/>
      <x:c r="S434" s="32" t="str">
        <x:v>ok</x:v>
      </x:c>
      <x:c r="T434" s="32" t="str">
        <x:v>ok</x:v>
      </x:c>
      <x:c r="U434" s="32" t="str">
        <x:v>ok</x:v>
      </x:c>
      <x:c r="V434" s="32" t="str">
        <x:v>ok</x:v>
      </x:c>
      <x:c r="W434" s="154" t="str">
        <x:v>{"schema_version":1,"imei":"862323089930723","timestamp":1786020053,"report_sequence":18,"task_version":"rice_tension_soil_demo","sensor_mode":"tension_soil","soil_moisture_percent":42.6,"soil_temperature_c":25.5,"soil_ec_us_cm":1084,"soil_ph":6.47,"battery_mv":4010,"csq":24,"soil_rs485_status":"ok","cycle_status":"ok","soil_tension_kpa":-38.6,"soil_tension_rs485_status":"ok"}</x:v>
      </x:c>
    </x:row>
    <x:row r="435">
      <x:c r="A435" s="72" t="n">
        <x:v>46240.86172453704</x:v>
      </x:c>
      <x:c r="B435" s="72" t="n">
        <x:v>46240.86173842593</x:v>
      </x:c>
      <x:c r="C435" s="32" t="str">
        <x:v>P24</x:v>
      </x:c>
      <x:c r="D435" s="32" t="str">
        <x:v>B4-W2-V2</x:v>
      </x:c>
      <x:c r="E435" s="32" t="str">
        <x:v>B4</x:v>
      </x:c>
      <x:c r="F435" s="32" t="str">
        <x:v>W2</x:v>
      </x:c>
      <x:c r="G435" s="32" t="str">
        <x:v>V2</x:v>
      </x:c>
      <x:c r="H435" s="32" t="str">
        <x:v>tension_soil</x:v>
      </x:c>
      <x:c r="I435" s="32" t="str">
        <x:v>862323089930724</x:v>
      </x:c>
      <x:c r="J435" s="82"/>
      <x:c r="K435" s="82" t="n">
        <x:v>-39.9</x:v>
      </x:c>
      <x:c r="L435" s="82" t="n">
        <x:v>35.9</x:v>
      </x:c>
      <x:c r="M435" s="82" t="n">
        <x:v>25.6</x:v>
      </x:c>
      <x:c r="N435" s="86" t="n">
        <x:v>1100</x:v>
      </x:c>
      <x:c r="O435" s="90" t="n">
        <x:v>6.53</x:v>
      </x:c>
      <x:c r="P435" s="150" t="n">
        <x:v>3.92</x:v>
      </x:c>
      <x:c r="Q435" s="86" t="n">
        <x:v>17</x:v>
      </x:c>
      <x:c r="R435" s="32"/>
      <x:c r="S435" s="32" t="str">
        <x:v>ok</x:v>
      </x:c>
      <x:c r="T435" s="32" t="str">
        <x:v>ok</x:v>
      </x:c>
      <x:c r="U435" s="32" t="str">
        <x:v>ok</x:v>
      </x:c>
      <x:c r="V435" s="32" t="str">
        <x:v>ok</x:v>
      </x:c>
      <x:c r="W435" s="154" t="str">
        <x:v>{"schema_version":1,"imei":"862323089930724","timestamp":1786020053,"report_sequence":18,"task_version":"rice_tension_soil_demo","sensor_mode":"tension_soil","soil_moisture_percent":35.9,"soil_temperature_c":25.6,"soil_ec_us_cm":1100,"soil_ph":6.53,"battery_mv":3920,"csq":17,"soil_rs485_status":"ok","cycle_status":"ok","soil_tension_kpa":-39.9,"soil_tension_rs485_status":"ok"}</x:v>
      </x:c>
    </x:row>
    <x:row r="436">
      <x:c r="A436" s="72" t="n">
        <x:v>46240.86519675926</x:v>
      </x:c>
      <x:c r="B436" s="72" t="n">
        <x:v>46240.865210648146</x:v>
      </x:c>
      <x:c r="C436" s="32" t="str">
        <x:v>P01</x:v>
      </x:c>
      <x:c r="D436" s="32" t="str">
        <x:v>B1-W0-V1</x:v>
      </x:c>
      <x:c r="E436" s="32" t="str">
        <x:v>B1</x:v>
      </x:c>
      <x:c r="F436" s="32" t="str">
        <x:v>W0</x:v>
      </x:c>
      <x:c r="G436" s="32" t="str">
        <x:v>V1</x:v>
      </x:c>
      <x:c r="H436" s="32" t="str">
        <x:v>water_soil</x:v>
      </x:c>
      <x:c r="I436" s="32" t="str">
        <x:v>862323089930701</x:v>
      </x:c>
      <x:c r="J436" s="82" t="n">
        <x:v>36</x:v>
      </x:c>
      <x:c r="K436" s="82"/>
      <x:c r="L436" s="82" t="n">
        <x:v>37</x:v>
      </x:c>
      <x:c r="M436" s="82" t="n">
        <x:v>25.6</x:v>
      </x:c>
      <x:c r="N436" s="86" t="n">
        <x:v>827</x:v>
      </x:c>
      <x:c r="O436" s="90" t="n">
        <x:v>6.38</x:v>
      </x:c>
      <x:c r="P436" s="150" t="n">
        <x:v>3.938</x:v>
      </x:c>
      <x:c r="Q436" s="86" t="n">
        <x:v>18</x:v>
      </x:c>
      <x:c r="R436" s="32" t="str">
        <x:v>ok</x:v>
      </x:c>
      <x:c r="S436" s="32"/>
      <x:c r="T436" s="32" t="str">
        <x:v>ok</x:v>
      </x:c>
      <x:c r="U436" s="32" t="str">
        <x:v>ok</x:v>
      </x:c>
      <x:c r="V436" s="32" t="str">
        <x:v>ok</x:v>
      </x:c>
      <x:c r="W436" s="154" t="str">
        <x:v>{"schema_version":1,"imei":"862323089930701","timestamp":1786020353,"report_sequence":19,"task_version":"rice_w0_water_soil_demo","sensor_mode":"water_soil","soil_moisture_percent":37,"soil_temperature_c":25.6,"soil_ec_us_cm":827,"soil_ph":6.38,"battery_mv":3938,"csq":18,"soil_rs485_status":"ok","cycle_status":"ok","water_level_mm":36,"water_4_20ma_status":"ok"}</x:v>
      </x:c>
    </x:row>
    <x:row r="437">
      <x:c r="A437" s="72" t="n">
        <x:v>46240.86519675926</x:v>
      </x:c>
      <x:c r="B437" s="72" t="n">
        <x:v>46240.865210648146</x:v>
      </x:c>
      <x:c r="C437" s="32" t="str">
        <x:v>P02</x:v>
      </x:c>
      <x:c r="D437" s="32" t="str">
        <x:v>B1-W0-V2</x:v>
      </x:c>
      <x:c r="E437" s="32" t="str">
        <x:v>B1</x:v>
      </x:c>
      <x:c r="F437" s="32" t="str">
        <x:v>W0</x:v>
      </x:c>
      <x:c r="G437" s="32" t="str">
        <x:v>V2</x:v>
      </x:c>
      <x:c r="H437" s="32" t="str">
        <x:v>water_soil</x:v>
      </x:c>
      <x:c r="I437" s="32" t="str">
        <x:v>862323089930702</x:v>
      </x:c>
      <x:c r="J437" s="82" t="n">
        <x:v>38.9</x:v>
      </x:c>
      <x:c r="K437" s="82"/>
      <x:c r="L437" s="82" t="n">
        <x:v>38</x:v>
      </x:c>
      <x:c r="M437" s="82" t="n">
        <x:v>25.6</x:v>
      </x:c>
      <x:c r="N437" s="86" t="n">
        <x:v>839</x:v>
      </x:c>
      <x:c r="O437" s="90" t="n">
        <x:v>6.43</x:v>
      </x:c>
      <x:c r="P437" s="150" t="n">
        <x:v>3.956</x:v>
      </x:c>
      <x:c r="Q437" s="86" t="n">
        <x:v>19</x:v>
      </x:c>
      <x:c r="R437" s="32" t="str">
        <x:v>ok</x:v>
      </x:c>
      <x:c r="S437" s="32"/>
      <x:c r="T437" s="32" t="str">
        <x:v>ok</x:v>
      </x:c>
      <x:c r="U437" s="32" t="str">
        <x:v>ok</x:v>
      </x:c>
      <x:c r="V437" s="32" t="str">
        <x:v>ok</x:v>
      </x:c>
      <x:c r="W437" s="154" t="str">
        <x:v>{"schema_version":1,"imei":"862323089930702","timestamp":1786020353,"report_sequence":19,"task_version":"rice_w0_water_soil_demo","sensor_mode":"water_soil","soil_moisture_percent":38,"soil_temperature_c":25.6,"soil_ec_us_cm":839,"soil_ph":6.43,"battery_mv":3956,"csq":19,"soil_rs485_status":"ok","cycle_status":"ok","water_level_mm":38.9,"water_4_20ma_status":"ok"}</x:v>
      </x:c>
    </x:row>
    <x:row r="438">
      <x:c r="A438" s="72" t="n">
        <x:v>46240.86519675926</x:v>
      </x:c>
      <x:c r="B438" s="72" t="n">
        <x:v>46240.865210648146</x:v>
      </x:c>
      <x:c r="C438" s="32" t="str">
        <x:v>P03</x:v>
      </x:c>
      <x:c r="D438" s="32" t="str">
        <x:v>B1-W1-V1</x:v>
      </x:c>
      <x:c r="E438" s="32" t="str">
        <x:v>B1</x:v>
      </x:c>
      <x:c r="F438" s="32" t="str">
        <x:v>W1</x:v>
      </x:c>
      <x:c r="G438" s="32" t="str">
        <x:v>V1</x:v>
      </x:c>
      <x:c r="H438" s="32" t="str">
        <x:v>tension_soil</x:v>
      </x:c>
      <x:c r="I438" s="32" t="str">
        <x:v>862323089930703</x:v>
      </x:c>
      <x:c r="J438" s="82"/>
      <x:c r="K438" s="82" t="n">
        <x:v>-27.8</x:v>
      </x:c>
      <x:c r="L438" s="82" t="n">
        <x:v>38.8</x:v>
      </x:c>
      <x:c r="M438" s="82" t="n">
        <x:v>25.6</x:v>
      </x:c>
      <x:c r="N438" s="86" t="n">
        <x:v>848</x:v>
      </x:c>
      <x:c r="O438" s="90" t="n">
        <x:v>6.48</x:v>
      </x:c>
      <x:c r="P438" s="150" t="n">
        <x:v>3.974</x:v>
      </x:c>
      <x:c r="Q438" s="86" t="n">
        <x:v>20</x:v>
      </x:c>
      <x:c r="R438" s="32"/>
      <x:c r="S438" s="32" t="str">
        <x:v>ok</x:v>
      </x:c>
      <x:c r="T438" s="32" t="str">
        <x:v>ok</x:v>
      </x:c>
      <x:c r="U438" s="32" t="str">
        <x:v>ok</x:v>
      </x:c>
      <x:c r="V438" s="32" t="str">
        <x:v>ok</x:v>
      </x:c>
      <x:c r="W438" s="154" t="str">
        <x:v>{"schema_version":1,"imei":"862323089930703","timestamp":1786020353,"report_sequence":19,"task_version":"rice_tension_soil_demo","sensor_mode":"tension_soil","soil_moisture_percent":38.8,"soil_temperature_c":25.6,"soil_ec_us_cm":848,"soil_ph":6.48,"battery_mv":3974,"csq":20,"soil_rs485_status":"ok","cycle_status":"ok","soil_tension_kpa":-27.8,"soil_tension_rs485_status":"ok"}</x:v>
      </x:c>
    </x:row>
    <x:row r="439">
      <x:c r="A439" s="72" t="n">
        <x:v>46240.86519675926</x:v>
      </x:c>
      <x:c r="B439" s="72" t="n">
        <x:v>46240.865210648146</x:v>
      </x:c>
      <x:c r="C439" s="32" t="str">
        <x:v>P04</x:v>
      </x:c>
      <x:c r="D439" s="32" t="str">
        <x:v>B1-W1-V2</x:v>
      </x:c>
      <x:c r="E439" s="32" t="str">
        <x:v>B1</x:v>
      </x:c>
      <x:c r="F439" s="32" t="str">
        <x:v>W1</x:v>
      </x:c>
      <x:c r="G439" s="32" t="str">
        <x:v>V2</x:v>
      </x:c>
      <x:c r="H439" s="32" t="str">
        <x:v>tension_soil</x:v>
      </x:c>
      <x:c r="I439" s="32" t="str">
        <x:v>862323089930704</x:v>
      </x:c>
      <x:c r="J439" s="82"/>
      <x:c r="K439" s="82" t="n">
        <x:v>-28.6</x:v>
      </x:c>
      <x:c r="L439" s="82" t="n">
        <x:v>39.6</x:v>
      </x:c>
      <x:c r="M439" s="82" t="n">
        <x:v>25.5</x:v>
      </x:c>
      <x:c r="N439" s="86" t="n">
        <x:v>856</x:v>
      </x:c>
      <x:c r="O439" s="90" t="n">
        <x:v>6.52</x:v>
      </x:c>
      <x:c r="P439" s="150" t="n">
        <x:v>3.992</x:v>
      </x:c>
      <x:c r="Q439" s="86" t="n">
        <x:v>21</x:v>
      </x:c>
      <x:c r="R439" s="32"/>
      <x:c r="S439" s="32" t="str">
        <x:v>ok</x:v>
      </x:c>
      <x:c r="T439" s="32" t="str">
        <x:v>ok</x:v>
      </x:c>
      <x:c r="U439" s="32" t="str">
        <x:v>ok</x:v>
      </x:c>
      <x:c r="V439" s="32" t="str">
        <x:v>ok</x:v>
      </x:c>
      <x:c r="W439" s="154" t="str">
        <x:v>{"schema_version":1,"imei":"862323089930704","timestamp":1786020353,"report_sequence":19,"task_version":"rice_tension_soil_demo","sensor_mode":"tension_soil","soil_moisture_percent":39.6,"soil_temperature_c":25.5,"soil_ec_us_cm":856,"soil_ph":6.52,"battery_mv":3992,"csq":21,"soil_rs485_status":"ok","cycle_status":"ok","soil_tension_kpa":-28.6,"soil_tension_rs485_status":"ok"}</x:v>
      </x:c>
    </x:row>
    <x:row r="440">
      <x:c r="A440" s="72" t="n">
        <x:v>46240.86519675926</x:v>
      </x:c>
      <x:c r="B440" s="72" t="n">
        <x:v>46240.865210648146</x:v>
      </x:c>
      <x:c r="C440" s="32" t="str">
        <x:v>P05</x:v>
      </x:c>
      <x:c r="D440" s="32" t="str">
        <x:v>B1-W2-V1</x:v>
      </x:c>
      <x:c r="E440" s="32" t="str">
        <x:v>B1</x:v>
      </x:c>
      <x:c r="F440" s="32" t="str">
        <x:v>W2</x:v>
      </x:c>
      <x:c r="G440" s="32" t="str">
        <x:v>V1</x:v>
      </x:c>
      <x:c r="H440" s="32" t="str">
        <x:v>tension_soil</x:v>
      </x:c>
      <x:c r="I440" s="32" t="str">
        <x:v>862323089930705</x:v>
      </x:c>
      <x:c r="J440" s="82"/>
      <x:c r="K440" s="82" t="n">
        <x:v>-35.2</x:v>
      </x:c>
      <x:c r="L440" s="82" t="n">
        <x:v>40.2</x:v>
      </x:c>
      <x:c r="M440" s="82" t="n">
        <x:v>25.4</x:v>
      </x:c>
      <x:c r="N440" s="86" t="n">
        <x:v>862</x:v>
      </x:c>
      <x:c r="O440" s="90" t="n">
        <x:v>6.32</x:v>
      </x:c>
      <x:c r="P440" s="150" t="n">
        <x:v>4.01</x:v>
      </x:c>
      <x:c r="Q440" s="86" t="n">
        <x:v>22</x:v>
      </x:c>
      <x:c r="R440" s="32"/>
      <x:c r="S440" s="32" t="str">
        <x:v>ok</x:v>
      </x:c>
      <x:c r="T440" s="32" t="str">
        <x:v>ok</x:v>
      </x:c>
      <x:c r="U440" s="32" t="str">
        <x:v>ok</x:v>
      </x:c>
      <x:c r="V440" s="32" t="str">
        <x:v>ok</x:v>
      </x:c>
      <x:c r="W440" s="154" t="str">
        <x:v>{"schema_version":1,"imei":"862323089930705","timestamp":1786020353,"report_sequence":19,"task_version":"rice_tension_soil_demo","sensor_mode":"tension_soil","soil_moisture_percent":40.2,"soil_temperature_c":25.4,"soil_ec_us_cm":862,"soil_ph":6.32,"battery_mv":4010,"csq":22,"soil_rs485_status":"ok","cycle_status":"ok","soil_tension_kpa":-35.2,"soil_tension_rs485_status":"ok"}</x:v>
      </x:c>
    </x:row>
    <x:row r="441">
      <x:c r="A441" s="72" t="n">
        <x:v>46240.86519675926</x:v>
      </x:c>
      <x:c r="B441" s="72" t="n">
        <x:v>46240.865210648146</x:v>
      </x:c>
      <x:c r="C441" s="32" t="str">
        <x:v>P06</x:v>
      </x:c>
      <x:c r="D441" s="32" t="str">
        <x:v>B1-W2-V2</x:v>
      </x:c>
      <x:c r="E441" s="32" t="str">
        <x:v>B1</x:v>
      </x:c>
      <x:c r="F441" s="32" t="str">
        <x:v>W2</x:v>
      </x:c>
      <x:c r="G441" s="32" t="str">
        <x:v>V2</x:v>
      </x:c>
      <x:c r="H441" s="32" t="str">
        <x:v>tension_soil</x:v>
      </x:c>
      <x:c r="I441" s="32" t="str">
        <x:v>862323089930706</x:v>
      </x:c>
      <x:c r="J441" s="82"/>
      <x:c r="K441" s="82" t="n">
        <x:v>-35.8</x:v>
      </x:c>
      <x:c r="L441" s="82" t="n">
        <x:v>40.8</x:v>
      </x:c>
      <x:c r="M441" s="82" t="n">
        <x:v>25.3</x:v>
      </x:c>
      <x:c r="N441" s="86" t="n">
        <x:v>866</x:v>
      </x:c>
      <x:c r="O441" s="90" t="n">
        <x:v>6.36</x:v>
      </x:c>
      <x:c r="P441" s="150" t="n">
        <x:v>3.92</x:v>
      </x:c>
      <x:c r="Q441" s="86" t="n">
        <x:v>23</x:v>
      </x:c>
      <x:c r="R441" s="32"/>
      <x:c r="S441" s="32" t="str">
        <x:v>ok</x:v>
      </x:c>
      <x:c r="T441" s="32" t="str">
        <x:v>ok</x:v>
      </x:c>
      <x:c r="U441" s="32" t="str">
        <x:v>ok</x:v>
      </x:c>
      <x:c r="V441" s="32" t="str">
        <x:v>ok</x:v>
      </x:c>
      <x:c r="W441" s="154" t="str">
        <x:v>{"schema_version":1,"imei":"862323089930706","timestamp":1786020353,"report_sequence":19,"task_version":"rice_tension_soil_demo","sensor_mode":"tension_soil","soil_moisture_percent":40.8,"soil_temperature_c":25.3,"soil_ec_us_cm":866,"soil_ph":6.36,"battery_mv":3920,"csq":23,"soil_rs485_status":"ok","cycle_status":"ok","soil_tension_kpa":-35.8,"soil_tension_rs485_status":"ok"}</x:v>
      </x:c>
    </x:row>
    <x:row r="442">
      <x:c r="A442" s="72" t="n">
        <x:v>46240.86519675926</x:v>
      </x:c>
      <x:c r="B442" s="72" t="n">
        <x:v>46240.865210648146</x:v>
      </x:c>
      <x:c r="C442" s="32" t="str">
        <x:v>P07</x:v>
      </x:c>
      <x:c r="D442" s="32" t="str">
        <x:v>B2-W0-V1</x:v>
      </x:c>
      <x:c r="E442" s="32" t="str">
        <x:v>B2</x:v>
      </x:c>
      <x:c r="F442" s="32" t="str">
        <x:v>W0</x:v>
      </x:c>
      <x:c r="G442" s="32" t="str">
        <x:v>V1</x:v>
      </x:c>
      <x:c r="H442" s="32" t="str">
        <x:v>water_soil</x:v>
      </x:c>
      <x:c r="I442" s="32" t="str">
        <x:v>862323089930707</x:v>
      </x:c>
      <x:c r="J442" s="82" t="n">
        <x:v>37.9</x:v>
      </x:c>
      <x:c r="K442" s="82"/>
      <x:c r="L442" s="82" t="n">
        <x:v>41.3</x:v>
      </x:c>
      <x:c r="M442" s="82" t="n">
        <x:v>25.2</x:v>
      </x:c>
      <x:c r="N442" s="86" t="n">
        <x:v>870</x:v>
      </x:c>
      <x:c r="O442" s="90" t="n">
        <x:v>6.41</x:v>
      </x:c>
      <x:c r="P442" s="150" t="n">
        <x:v>3.938</x:v>
      </x:c>
      <x:c r="Q442" s="86" t="n">
        <x:v>24</x:v>
      </x:c>
      <x:c r="R442" s="32" t="str">
        <x:v>ok</x:v>
      </x:c>
      <x:c r="S442" s="32"/>
      <x:c r="T442" s="32" t="str">
        <x:v>ok</x:v>
      </x:c>
      <x:c r="U442" s="32" t="str">
        <x:v>ok</x:v>
      </x:c>
      <x:c r="V442" s="32" t="str">
        <x:v>ok</x:v>
      </x:c>
      <x:c r="W442" s="154" t="str">
        <x:v>{"schema_version":1,"imei":"862323089930707","timestamp":1786020353,"report_sequence":19,"task_version":"rice_w0_water_soil_demo","sensor_mode":"water_soil","soil_moisture_percent":41.3,"soil_temperature_c":25.2,"soil_ec_us_cm":870,"soil_ph":6.41,"battery_mv":3938,"csq":24,"soil_rs485_status":"ok","cycle_status":"ok","water_level_mm":37.9,"water_4_20ma_status":"ok"}</x:v>
      </x:c>
    </x:row>
    <x:row r="443">
      <x:c r="A443" s="72" t="n">
        <x:v>46240.86519675926</x:v>
      </x:c>
      <x:c r="B443" s="72" t="n">
        <x:v>46240.865210648146</x:v>
      </x:c>
      <x:c r="C443" s="32" t="str">
        <x:v>P08</x:v>
      </x:c>
      <x:c r="D443" s="32" t="str">
        <x:v>B2-W0-V2</x:v>
      </x:c>
      <x:c r="E443" s="32" t="str">
        <x:v>B2</x:v>
      </x:c>
      <x:c r="F443" s="32" t="str">
        <x:v>W0</x:v>
      </x:c>
      <x:c r="G443" s="32" t="str">
        <x:v>V2</x:v>
      </x:c>
      <x:c r="H443" s="32" t="str">
        <x:v>water_soil</x:v>
      </x:c>
      <x:c r="I443" s="32" t="str">
        <x:v>862323089930708</x:v>
      </x:c>
      <x:c r="J443" s="82" t="n">
        <x:v>27.6</x:v>
      </x:c>
      <x:c r="K443" s="82"/>
      <x:c r="L443" s="82" t="n">
        <x:v>33.8</x:v>
      </x:c>
      <x:c r="M443" s="82" t="n">
        <x:v>25.1</x:v>
      </x:c>
      <x:c r="N443" s="86" t="n">
        <x:v>873</x:v>
      </x:c>
      <x:c r="O443" s="90" t="n">
        <x:v>6.45</x:v>
      </x:c>
      <x:c r="P443" s="150" t="n">
        <x:v>3.956</x:v>
      </x:c>
      <x:c r="Q443" s="86" t="n">
        <x:v>17</x:v>
      </x:c>
      <x:c r="R443" s="32" t="str">
        <x:v>ok</x:v>
      </x:c>
      <x:c r="S443" s="32"/>
      <x:c r="T443" s="32" t="str">
        <x:v>ok</x:v>
      </x:c>
      <x:c r="U443" s="32" t="str">
        <x:v>ok</x:v>
      </x:c>
      <x:c r="V443" s="32" t="str">
        <x:v>ok</x:v>
      </x:c>
      <x:c r="W443" s="154" t="str">
        <x:v>{"schema_version":1,"imei":"862323089930708","timestamp":1786020353,"report_sequence":19,"task_version":"rice_w0_water_soil_demo","sensor_mode":"water_soil","soil_moisture_percent":33.8,"soil_temperature_c":25.1,"soil_ec_us_cm":873,"soil_ph":6.45,"battery_mv":3956,"csq":17,"soil_rs485_status":"ok","cycle_status":"ok","water_level_mm":27.6,"water_4_20ma_status":"ok"}</x:v>
      </x:c>
    </x:row>
    <x:row r="444">
      <x:c r="A444" s="72" t="n">
        <x:v>46240.86519675926</x:v>
      </x:c>
      <x:c r="B444" s="72" t="n">
        <x:v>46240.865210648146</x:v>
      </x:c>
      <x:c r="C444" s="32" t="str">
        <x:v>P09</x:v>
      </x:c>
      <x:c r="D444" s="32" t="str">
        <x:v>B2-W1-V1</x:v>
      </x:c>
      <x:c r="E444" s="32" t="str">
        <x:v>B2</x:v>
      </x:c>
      <x:c r="F444" s="32" t="str">
        <x:v>W1</x:v>
      </x:c>
      <x:c r="G444" s="32" t="str">
        <x:v>V1</x:v>
      </x:c>
      <x:c r="H444" s="32" t="str">
        <x:v>tension_soil</x:v>
      </x:c>
      <x:c r="I444" s="32" t="str">
        <x:v>862323089930709</x:v>
      </x:c>
      <x:c r="J444" s="82"/>
      <x:c r="K444" s="82" t="n">
        <x:v>-26.4</x:v>
      </x:c>
      <x:c r="L444" s="82" t="n">
        <x:v>34.4</x:v>
      </x:c>
      <x:c r="M444" s="82" t="n">
        <x:v>24.9</x:v>
      </x:c>
      <x:c r="N444" s="86" t="n">
        <x:v>877</x:v>
      </x:c>
      <x:c r="O444" s="90" t="n">
        <x:v>6.49</x:v>
      </x:c>
      <x:c r="P444" s="150" t="n">
        <x:v>3.974</x:v>
      </x:c>
      <x:c r="Q444" s="86" t="n">
        <x:v>18</x:v>
      </x:c>
      <x:c r="R444" s="32"/>
      <x:c r="S444" s="32" t="str">
        <x:v>ok</x:v>
      </x:c>
      <x:c r="T444" s="32" t="str">
        <x:v>ok</x:v>
      </x:c>
      <x:c r="U444" s="32" t="str">
        <x:v>ok</x:v>
      </x:c>
      <x:c r="V444" s="32" t="str">
        <x:v>ok</x:v>
      </x:c>
      <x:c r="W444" s="154" t="str">
        <x:v>{"schema_version":1,"imei":"862323089930709","timestamp":1786020353,"report_sequence":19,"task_version":"rice_tension_soil_demo","sensor_mode":"tension_soil","soil_moisture_percent":34.4,"soil_temperature_c":24.9,"soil_ec_us_cm":877,"soil_ph":6.49,"battery_mv":3974,"csq":18,"soil_rs485_status":"ok","cycle_status":"ok","soil_tension_kpa":-26.4,"soil_tension_rs485_status":"ok"}</x:v>
      </x:c>
    </x:row>
    <x:row r="445">
      <x:c r="A445" s="72" t="n">
        <x:v>46240.86519675926</x:v>
      </x:c>
      <x:c r="B445" s="72" t="n">
        <x:v>46240.865210648146</x:v>
      </x:c>
      <x:c r="C445" s="32" t="str">
        <x:v>P10</x:v>
      </x:c>
      <x:c r="D445" s="32" t="str">
        <x:v>B2-W1-V2</x:v>
      </x:c>
      <x:c r="E445" s="32" t="str">
        <x:v>B2</x:v>
      </x:c>
      <x:c r="F445" s="32" t="str">
        <x:v>W1</x:v>
      </x:c>
      <x:c r="G445" s="32" t="str">
        <x:v>V2</x:v>
      </x:c>
      <x:c r="H445" s="32" t="str">
        <x:v>tension_soil</x:v>
      </x:c>
      <x:c r="I445" s="32" t="str">
        <x:v>862323089930710</x:v>
      </x:c>
      <x:c r="J445" s="82"/>
      <x:c r="K445" s="82" t="n">
        <x:v>-21.9</x:v>
      </x:c>
      <x:c r="L445" s="82" t="n">
        <x:v>34.9</x:v>
      </x:c>
      <x:c r="M445" s="82" t="n">
        <x:v>24.8</x:v>
      </x:c>
      <x:c r="N445" s="86" t="n">
        <x:v>881</x:v>
      </x:c>
      <x:c r="O445" s="90" t="n">
        <x:v>6.28</x:v>
      </x:c>
      <x:c r="P445" s="150" t="n">
        <x:v>3.992</x:v>
      </x:c>
      <x:c r="Q445" s="86" t="n">
        <x:v>19</x:v>
      </x:c>
      <x:c r="R445" s="32"/>
      <x:c r="S445" s="32" t="str">
        <x:v>ok</x:v>
      </x:c>
      <x:c r="T445" s="32" t="str">
        <x:v>ok</x:v>
      </x:c>
      <x:c r="U445" s="32" t="str">
        <x:v>ok</x:v>
      </x:c>
      <x:c r="V445" s="32" t="str">
        <x:v>ok</x:v>
      </x:c>
      <x:c r="W445" s="154" t="str">
        <x:v>{"schema_version":1,"imei":"862323089930710","timestamp":1786020353,"report_sequence":19,"task_version":"rice_tension_soil_demo","sensor_mode":"tension_soil","soil_moisture_percent":34.9,"soil_temperature_c":24.8,"soil_ec_us_cm":881,"soil_ph":6.28,"battery_mv":3992,"csq":19,"soil_rs485_status":"ok","cycle_status":"ok","soil_tension_kpa":-21.9,"soil_tension_rs485_status":"ok"}</x:v>
      </x:c>
    </x:row>
    <x:row r="446">
      <x:c r="A446" s="72" t="n">
        <x:v>46240.86519675926</x:v>
      </x:c>
      <x:c r="B446" s="72" t="n">
        <x:v>46240.865210648146</x:v>
      </x:c>
      <x:c r="C446" s="32" t="str">
        <x:v>P11</x:v>
      </x:c>
      <x:c r="D446" s="32" t="str">
        <x:v>B2-W2-V1</x:v>
      </x:c>
      <x:c r="E446" s="32" t="str">
        <x:v>B2</x:v>
      </x:c>
      <x:c r="F446" s="32" t="str">
        <x:v>W2</x:v>
      </x:c>
      <x:c r="G446" s="32" t="str">
        <x:v>V1</x:v>
      </x:c>
      <x:c r="H446" s="32" t="str">
        <x:v>tension_soil</x:v>
      </x:c>
      <x:c r="I446" s="32" t="str">
        <x:v>862323089930711</x:v>
      </x:c>
      <x:c r="J446" s="82"/>
      <x:c r="K446" s="82" t="n">
        <x:v>-33.5</x:v>
      </x:c>
      <x:c r="L446" s="82" t="n">
        <x:v>35.5</x:v>
      </x:c>
      <x:c r="M446" s="82" t="n">
        <x:v>24.7</x:v>
      </x:c>
      <x:c r="N446" s="86" t="n">
        <x:v>886</x:v>
      </x:c>
      <x:c r="O446" s="90" t="n">
        <x:v>6.33</x:v>
      </x:c>
      <x:c r="P446" s="150" t="n">
        <x:v>4.01</x:v>
      </x:c>
      <x:c r="Q446" s="86" t="n">
        <x:v>20</x:v>
      </x:c>
      <x:c r="R446" s="32"/>
      <x:c r="S446" s="32" t="str">
        <x:v>ok</x:v>
      </x:c>
      <x:c r="T446" s="32" t="str">
        <x:v>ok</x:v>
      </x:c>
      <x:c r="U446" s="32" t="str">
        <x:v>ok</x:v>
      </x:c>
      <x:c r="V446" s="32" t="str">
        <x:v>ok</x:v>
      </x:c>
      <x:c r="W446" s="154" t="str">
        <x:v>{"schema_version":1,"imei":"862323089930711","timestamp":1786020353,"report_sequence":19,"task_version":"rice_tension_soil_demo","sensor_mode":"tension_soil","soil_moisture_percent":35.5,"soil_temperature_c":24.7,"soil_ec_us_cm":886,"soil_ph":6.33,"battery_mv":4010,"csq":20,"soil_rs485_status":"ok","cycle_status":"ok","soil_tension_kpa":-33.5,"soil_tension_rs485_status":"ok"}</x:v>
      </x:c>
    </x:row>
    <x:row r="447">
      <x:c r="A447" s="72" t="n">
        <x:v>46240.86519675926</x:v>
      </x:c>
      <x:c r="B447" s="72" t="n">
        <x:v>46240.865210648146</x:v>
      </x:c>
      <x:c r="C447" s="32" t="str">
        <x:v>P12</x:v>
      </x:c>
      <x:c r="D447" s="32" t="str">
        <x:v>B2-W2-V2</x:v>
      </x:c>
      <x:c r="E447" s="32" t="str">
        <x:v>B2</x:v>
      </x:c>
      <x:c r="F447" s="32" t="str">
        <x:v>W2</x:v>
      </x:c>
      <x:c r="G447" s="32" t="str">
        <x:v>V2</x:v>
      </x:c>
      <x:c r="H447" s="32" t="str">
        <x:v>tension_soil</x:v>
      </x:c>
      <x:c r="I447" s="32" t="str">
        <x:v>862323089930712</x:v>
      </x:c>
      <x:c r="J447" s="82"/>
      <x:c r="K447" s="82" t="n">
        <x:v>-34.2</x:v>
      </x:c>
      <x:c r="L447" s="82" t="n">
        <x:v>36.2</x:v>
      </x:c>
      <x:c r="M447" s="82" t="n">
        <x:v>24.7</x:v>
      </x:c>
      <x:c r="N447" s="86" t="n">
        <x:v>893</x:v>
      </x:c>
      <x:c r="O447" s="90" t="n">
        <x:v>6.37</x:v>
      </x:c>
      <x:c r="P447" s="150" t="n">
        <x:v>3.92</x:v>
      </x:c>
      <x:c r="Q447" s="86" t="n">
        <x:v>21</x:v>
      </x:c>
      <x:c r="R447" s="32"/>
      <x:c r="S447" s="32" t="str">
        <x:v>ok</x:v>
      </x:c>
      <x:c r="T447" s="32" t="str">
        <x:v>ok</x:v>
      </x:c>
      <x:c r="U447" s="32" t="str">
        <x:v>ok</x:v>
      </x:c>
      <x:c r="V447" s="32" t="str">
        <x:v>ok</x:v>
      </x:c>
      <x:c r="W447" s="154" t="str">
        <x:v>{"schema_version":1,"imei":"862323089930712","timestamp":1786020353,"report_sequence":19,"task_version":"rice_tension_soil_demo","sensor_mode":"tension_soil","soil_moisture_percent":36.2,"soil_temperature_c":24.7,"soil_ec_us_cm":893,"soil_ph":6.37,"battery_mv":3920,"csq":21,"soil_rs485_status":"ok","cycle_status":"ok","soil_tension_kpa":-34.2,"soil_tension_rs485_status":"ok"}</x:v>
      </x:c>
    </x:row>
    <x:row r="448">
      <x:c r="A448" s="72" t="n">
        <x:v>46240.86519675926</x:v>
      </x:c>
      <x:c r="B448" s="72" t="n">
        <x:v>46240.865210648146</x:v>
      </x:c>
      <x:c r="C448" s="32" t="str">
        <x:v>P13</x:v>
      </x:c>
      <x:c r="D448" s="32" t="str">
        <x:v>B3-W0-V1</x:v>
      </x:c>
      <x:c r="E448" s="32" t="str">
        <x:v>B3</x:v>
      </x:c>
      <x:c r="F448" s="32" t="str">
        <x:v>W0</x:v>
      </x:c>
      <x:c r="G448" s="32" t="str">
        <x:v>V1</x:v>
      </x:c>
      <x:c r="H448" s="32" t="str">
        <x:v>water_soil</x:v>
      </x:c>
      <x:c r="I448" s="32" t="str">
        <x:v>862323089930713</x:v>
      </x:c>
      <x:c r="J448" s="82" t="n">
        <x:v>26.2</x:v>
      </x:c>
      <x:c r="K448" s="82"/>
      <x:c r="L448" s="82" t="n">
        <x:v>37.1</x:v>
      </x:c>
      <x:c r="M448" s="82" t="n">
        <x:v>24.6</x:v>
      </x:c>
      <x:c r="N448" s="86" t="n">
        <x:v>902</x:v>
      </x:c>
      <x:c r="O448" s="90" t="n">
        <x:v>6.42</x:v>
      </x:c>
      <x:c r="P448" s="150" t="n">
        <x:v>3.938</x:v>
      </x:c>
      <x:c r="Q448" s="86" t="n">
        <x:v>22</x:v>
      </x:c>
      <x:c r="R448" s="32" t="str">
        <x:v>ok</x:v>
      </x:c>
      <x:c r="S448" s="32"/>
      <x:c r="T448" s="32" t="str">
        <x:v>ok</x:v>
      </x:c>
      <x:c r="U448" s="32" t="str">
        <x:v>ok</x:v>
      </x:c>
      <x:c r="V448" s="32" t="str">
        <x:v>ok</x:v>
      </x:c>
      <x:c r="W448" s="154" t="str">
        <x:v>{"schema_version":1,"imei":"862323089930713","timestamp":1786020353,"report_sequence":19,"task_version":"rice_w0_water_soil_demo","sensor_mode":"water_soil","soil_moisture_percent":37.1,"soil_temperature_c":24.6,"soil_ec_us_cm":902,"soil_ph":6.42,"battery_mv":3938,"csq":22,"soil_rs485_status":"ok","cycle_status":"ok","water_level_mm":26.2,"water_4_20ma_status":"ok"}</x:v>
      </x:c>
    </x:row>
    <x:row r="449">
      <x:c r="A449" s="72" t="n">
        <x:v>46240.86519675926</x:v>
      </x:c>
      <x:c r="B449" s="72" t="n">
        <x:v>46240.865210648146</x:v>
      </x:c>
      <x:c r="C449" s="32" t="str">
        <x:v>P14</x:v>
      </x:c>
      <x:c r="D449" s="32" t="str">
        <x:v>B3-W0-V2</x:v>
      </x:c>
      <x:c r="E449" s="32" t="str">
        <x:v>B3</x:v>
      </x:c>
      <x:c r="F449" s="32" t="str">
        <x:v>W0</x:v>
      </x:c>
      <x:c r="G449" s="32" t="str">
        <x:v>V2</x:v>
      </x:c>
      <x:c r="H449" s="32" t="str">
        <x:v>water_soil</x:v>
      </x:c>
      <x:c r="I449" s="32" t="str">
        <x:v>862323089930714</x:v>
      </x:c>
      <x:c r="J449" s="82" t="n">
        <x:v>29</x:v>
      </x:c>
      <x:c r="K449" s="82"/>
      <x:c r="L449" s="82" t="n">
        <x:v>38</x:v>
      </x:c>
      <x:c r="M449" s="82" t="n">
        <x:v>24.6</x:v>
      </x:c>
      <x:c r="N449" s="86" t="n">
        <x:v>913</x:v>
      </x:c>
      <x:c r="O449" s="90" t="n">
        <x:v>6.47</x:v>
      </x:c>
      <x:c r="P449" s="150" t="n">
        <x:v>3.956</x:v>
      </x:c>
      <x:c r="Q449" s="86" t="n">
        <x:v>23</x:v>
      </x:c>
      <x:c r="R449" s="32" t="str">
        <x:v>ok</x:v>
      </x:c>
      <x:c r="S449" s="32"/>
      <x:c r="T449" s="32" t="str">
        <x:v>ok</x:v>
      </x:c>
      <x:c r="U449" s="32" t="str">
        <x:v>ok</x:v>
      </x:c>
      <x:c r="V449" s="32" t="str">
        <x:v>ok</x:v>
      </x:c>
      <x:c r="W449" s="154" t="str">
        <x:v>{"schema_version":1,"imei":"862323089930714","timestamp":1786020353,"report_sequence":19,"task_version":"rice_w0_water_soil_demo","sensor_mode":"water_soil","soil_moisture_percent":38,"soil_temperature_c":24.6,"soil_ec_us_cm":913,"soil_ph":6.47,"battery_mv":3956,"csq":23,"soil_rs485_status":"ok","cycle_status":"ok","water_level_mm":29,"water_4_20ma_status":"ok"}</x:v>
      </x:c>
    </x:row>
    <x:row r="450">
      <x:c r="A450" s="72" t="n">
        <x:v>46240.86519675926</x:v>
      </x:c>
      <x:c r="B450" s="72" t="n">
        <x:v>46240.865210648146</x:v>
      </x:c>
      <x:c r="C450" s="32" t="str">
        <x:v>P15</x:v>
      </x:c>
      <x:c r="D450" s="32" t="str">
        <x:v>B3-W1-V1</x:v>
      </x:c>
      <x:c r="E450" s="32" t="str">
        <x:v>B3</x:v>
      </x:c>
      <x:c r="F450" s="32" t="str">
        <x:v>W1</x:v>
      </x:c>
      <x:c r="G450" s="32" t="str">
        <x:v>V1</x:v>
      </x:c>
      <x:c r="H450" s="32" t="str">
        <x:v>tension_soil</x:v>
      </x:c>
      <x:c r="I450" s="32" t="str">
        <x:v>862323089930715</x:v>
      </x:c>
      <x:c r="J450" s="82"/>
      <x:c r="K450" s="82" t="n">
        <x:v>-21.1</x:v>
      </x:c>
      <x:c r="L450" s="82" t="n">
        <x:v>39.1</x:v>
      </x:c>
      <x:c r="M450" s="82" t="n">
        <x:v>24.6</x:v>
      </x:c>
      <x:c r="N450" s="86" t="n">
        <x:v>926</x:v>
      </x:c>
      <x:c r="O450" s="90" t="n">
        <x:v>6.27</x:v>
      </x:c>
      <x:c r="P450" s="150" t="n">
        <x:v>3.974</x:v>
      </x:c>
      <x:c r="Q450" s="86" t="n">
        <x:v>24</x:v>
      </x:c>
      <x:c r="R450" s="32"/>
      <x:c r="S450" s="32" t="str">
        <x:v>ok</x:v>
      </x:c>
      <x:c r="T450" s="32" t="str">
        <x:v>ok</x:v>
      </x:c>
      <x:c r="U450" s="32" t="str">
        <x:v>ok</x:v>
      </x:c>
      <x:c r="V450" s="32" t="str">
        <x:v>ok</x:v>
      </x:c>
      <x:c r="W450" s="154" t="str">
        <x:v>{"schema_version":1,"imei":"862323089930715","timestamp":1786020353,"report_sequence":19,"task_version":"rice_tension_soil_demo","sensor_mode":"tension_soil","soil_moisture_percent":39.1,"soil_temperature_c":24.6,"soil_ec_us_cm":926,"soil_ph":6.27,"battery_mv":3974,"csq":24,"soil_rs485_status":"ok","cycle_status":"ok","soil_tension_kpa":-21.1,"soil_tension_rs485_status":"ok"}</x:v>
      </x:c>
    </x:row>
    <x:row r="451">
      <x:c r="A451" s="72" t="n">
        <x:v>46240.86519675926</x:v>
      </x:c>
      <x:c r="B451" s="72" t="n">
        <x:v>46240.865210648146</x:v>
      </x:c>
      <x:c r="C451" s="32" t="str">
        <x:v>P16</x:v>
      </x:c>
      <x:c r="D451" s="32" t="str">
        <x:v>B3-W1-V2</x:v>
      </x:c>
      <x:c r="E451" s="32" t="str">
        <x:v>B3</x:v>
      </x:c>
      <x:c r="F451" s="32" t="str">
        <x:v>W1</x:v>
      </x:c>
      <x:c r="G451" s="32" t="str">
        <x:v>V2</x:v>
      </x:c>
      <x:c r="H451" s="32" t="str">
        <x:v>tension_soil</x:v>
      </x:c>
      <x:c r="I451" s="32" t="str">
        <x:v>862323089930716</x:v>
      </x:c>
      <x:c r="J451" s="82"/>
      <x:c r="K451" s="82" t="n">
        <x:v>-22.2</x:v>
      </x:c>
      <x:c r="L451" s="82" t="n">
        <x:v>32.2</x:v>
      </x:c>
      <x:c r="M451" s="82" t="n">
        <x:v>24.7</x:v>
      </x:c>
      <x:c r="N451" s="86" t="n">
        <x:v>941</x:v>
      </x:c>
      <x:c r="O451" s="90" t="n">
        <x:v>6.32</x:v>
      </x:c>
      <x:c r="P451" s="150" t="n">
        <x:v>3.992</x:v>
      </x:c>
      <x:c r="Q451" s="86" t="n">
        <x:v>17</x:v>
      </x:c>
      <x:c r="R451" s="32"/>
      <x:c r="S451" s="32" t="str">
        <x:v>ok</x:v>
      </x:c>
      <x:c r="T451" s="32" t="str">
        <x:v>ok</x:v>
      </x:c>
      <x:c r="U451" s="32" t="str">
        <x:v>ok</x:v>
      </x:c>
      <x:c r="V451" s="32" t="str">
        <x:v>ok</x:v>
      </x:c>
      <x:c r="W451" s="154" t="str">
        <x:v>{"schema_version":1,"imei":"862323089930716","timestamp":1786020353,"report_sequence":19,"task_version":"rice_tension_soil_demo","sensor_mode":"tension_soil","soil_moisture_percent":32.2,"soil_temperature_c":24.7,"soil_ec_us_cm":941,"soil_ph":6.32,"battery_mv":3992,"csq":17,"soil_rs485_status":"ok","cycle_status":"ok","soil_tension_kpa":-22.2,"soil_tension_rs485_status":"ok"}</x:v>
      </x:c>
    </x:row>
    <x:row r="452">
      <x:c r="A452" s="72" t="n">
        <x:v>46240.86519675926</x:v>
      </x:c>
      <x:c r="B452" s="72" t="n">
        <x:v>46240.865210648146</x:v>
      </x:c>
      <x:c r="C452" s="32" t="str">
        <x:v>P17</x:v>
      </x:c>
      <x:c r="D452" s="32" t="str">
        <x:v>B3-W2-V1</x:v>
      </x:c>
      <x:c r="E452" s="32" t="str">
        <x:v>B3</x:v>
      </x:c>
      <x:c r="F452" s="32" t="str">
        <x:v>W2</x:v>
      </x:c>
      <x:c r="G452" s="32" t="str">
        <x:v>V1</x:v>
      </x:c>
      <x:c r="H452" s="32" t="str">
        <x:v>tension_soil</x:v>
      </x:c>
      <x:c r="I452" s="32" t="str">
        <x:v>862323089930717</x:v>
      </x:c>
      <x:c r="J452" s="82"/>
      <x:c r="K452" s="82" t="n">
        <x:v>-34.5</x:v>
      </x:c>
      <x:c r="L452" s="82" t="n">
        <x:v>33.5</x:v>
      </x:c>
      <x:c r="M452" s="82" t="n">
        <x:v>24.7</x:v>
      </x:c>
      <x:c r="N452" s="86" t="n">
        <x:v>958</x:v>
      </x:c>
      <x:c r="O452" s="90" t="n">
        <x:v>6.38</x:v>
      </x:c>
      <x:c r="P452" s="150" t="n">
        <x:v>4.01</x:v>
      </x:c>
      <x:c r="Q452" s="86" t="n">
        <x:v>18</x:v>
      </x:c>
      <x:c r="R452" s="32"/>
      <x:c r="S452" s="32" t="str">
        <x:v>ok</x:v>
      </x:c>
      <x:c r="T452" s="32" t="str">
        <x:v>ok</x:v>
      </x:c>
      <x:c r="U452" s="32" t="str">
        <x:v>ok</x:v>
      </x:c>
      <x:c r="V452" s="32" t="str">
        <x:v>ok</x:v>
      </x:c>
      <x:c r="W452" s="154" t="str">
        <x:v>{"schema_version":1,"imei":"862323089930717","timestamp":1786020353,"report_sequence":19,"task_version":"rice_tension_soil_demo","sensor_mode":"tension_soil","soil_moisture_percent":33.5,"soil_temperature_c":24.7,"soil_ec_us_cm":958,"soil_ph":6.38,"battery_mv":4010,"csq":18,"soil_rs485_status":"ok","cycle_status":"ok","soil_tension_kpa":-34.5,"soil_tension_rs485_status":"ok"}</x:v>
      </x:c>
    </x:row>
    <x:row r="453">
      <x:c r="A453" s="72" t="n">
        <x:v>46240.86519675926</x:v>
      </x:c>
      <x:c r="B453" s="72" t="n">
        <x:v>46240.865210648146</x:v>
      </x:c>
      <x:c r="C453" s="32" t="str">
        <x:v>P18</x:v>
      </x:c>
      <x:c r="D453" s="32" t="str">
        <x:v>B3-W2-V2</x:v>
      </x:c>
      <x:c r="E453" s="32" t="str">
        <x:v>B3</x:v>
      </x:c>
      <x:c r="F453" s="32" t="str">
        <x:v>W2</x:v>
      </x:c>
      <x:c r="G453" s="32" t="str">
        <x:v>V2</x:v>
      </x:c>
      <x:c r="H453" s="32" t="str">
        <x:v>tension_soil</x:v>
      </x:c>
      <x:c r="I453" s="32" t="str">
        <x:v>862323089930718</x:v>
      </x:c>
      <x:c r="J453" s="82"/>
      <x:c r="K453" s="82" t="n">
        <x:v>-35.9</x:v>
      </x:c>
      <x:c r="L453" s="82" t="n">
        <x:v>34.9</x:v>
      </x:c>
      <x:c r="M453" s="82" t="n">
        <x:v>24.8</x:v>
      </x:c>
      <x:c r="N453" s="86" t="n">
        <x:v>977</x:v>
      </x:c>
      <x:c r="O453" s="90" t="n">
        <x:v>6.43</x:v>
      </x:c>
      <x:c r="P453" s="150" t="n">
        <x:v>3.92</x:v>
      </x:c>
      <x:c r="Q453" s="86" t="n">
        <x:v>19</x:v>
      </x:c>
      <x:c r="R453" s="32"/>
      <x:c r="S453" s="32" t="str">
        <x:v>ok</x:v>
      </x:c>
      <x:c r="T453" s="32" t="str">
        <x:v>ok</x:v>
      </x:c>
      <x:c r="U453" s="32" t="str">
        <x:v>ok</x:v>
      </x:c>
      <x:c r="V453" s="32" t="str">
        <x:v>ok</x:v>
      </x:c>
      <x:c r="W453" s="154" t="str">
        <x:v>{"schema_version":1,"imei":"862323089930718","timestamp":1786020353,"report_sequence":19,"task_version":"rice_tension_soil_demo","sensor_mode":"tension_soil","soil_moisture_percent":34.9,"soil_temperature_c":24.8,"soil_ec_us_cm":977,"soil_ph":6.43,"battery_mv":3920,"csq":19,"soil_rs485_status":"ok","cycle_status":"ok","soil_tension_kpa":-35.9,"soil_tension_rs485_status":"ok"}</x:v>
      </x:c>
    </x:row>
    <x:row r="454">
      <x:c r="A454" s="72" t="n">
        <x:v>46240.86519675926</x:v>
      </x:c>
      <x:c r="B454" s="72" t="n">
        <x:v>46240.865210648146</x:v>
      </x:c>
      <x:c r="C454" s="32" t="str">
        <x:v>P19</x:v>
      </x:c>
      <x:c r="D454" s="32" t="str">
        <x:v>B4-W0-V1</x:v>
      </x:c>
      <x:c r="E454" s="32" t="str">
        <x:v>B4</x:v>
      </x:c>
      <x:c r="F454" s="32" t="str">
        <x:v>W0</x:v>
      </x:c>
      <x:c r="G454" s="32" t="str">
        <x:v>V1</x:v>
      </x:c>
      <x:c r="H454" s="32" t="str">
        <x:v>water_soil</x:v>
      </x:c>
      <x:c r="I454" s="32" t="str">
        <x:v>862323089930719</x:v>
      </x:c>
      <x:c r="J454" s="82" t="n">
        <x:v>35.4</x:v>
      </x:c>
      <x:c r="K454" s="82"/>
      <x:c r="L454" s="82" t="n">
        <x:v>36.4</x:v>
      </x:c>
      <x:c r="M454" s="82" t="n">
        <x:v>24.9</x:v>
      </x:c>
      <x:c r="N454" s="86" t="n">
        <x:v>997</x:v>
      </x:c>
      <x:c r="O454" s="90" t="n">
        <x:v>6.49</x:v>
      </x:c>
      <x:c r="P454" s="150" t="n">
        <x:v>3.938</x:v>
      </x:c>
      <x:c r="Q454" s="86" t="n">
        <x:v>20</x:v>
      </x:c>
      <x:c r="R454" s="32" t="str">
        <x:v>ok</x:v>
      </x:c>
      <x:c r="S454" s="32"/>
      <x:c r="T454" s="32" t="str">
        <x:v>ok</x:v>
      </x:c>
      <x:c r="U454" s="32" t="str">
        <x:v>ok</x:v>
      </x:c>
      <x:c r="V454" s="32" t="str">
        <x:v>ok</x:v>
      </x:c>
      <x:c r="W454" s="154" t="str">
        <x:v>{"schema_version":1,"imei":"862323089930719","timestamp":1786020353,"report_sequence":19,"task_version":"rice_w0_water_soil_demo","sensor_mode":"water_soil","soil_moisture_percent":36.4,"soil_temperature_c":24.9,"soil_ec_us_cm":997,"soil_ph":6.49,"battery_mv":3938,"csq":20,"soil_rs485_status":"ok","cycle_status":"ok","water_level_mm":35.4,"water_4_20ma_status":"ok"}</x:v>
      </x:c>
    </x:row>
    <x:row r="455">
      <x:c r="A455" s="72" t="n">
        <x:v>46240.86519675926</x:v>
      </x:c>
      <x:c r="B455" s="72" t="n">
        <x:v>46240.865210648146</x:v>
      </x:c>
      <x:c r="C455" s="32" t="str">
        <x:v>P20</x:v>
      </x:c>
      <x:c r="D455" s="32" t="str">
        <x:v>B4-W0-V2</x:v>
      </x:c>
      <x:c r="E455" s="32" t="str">
        <x:v>B4</x:v>
      </x:c>
      <x:c r="F455" s="32" t="str">
        <x:v>W0</x:v>
      </x:c>
      <x:c r="G455" s="32" t="str">
        <x:v>V2</x:v>
      </x:c>
      <x:c r="H455" s="32" t="str">
        <x:v>water_soil</x:v>
      </x:c>
      <x:c r="I455" s="32" t="str">
        <x:v>862323089930720</x:v>
      </x:c>
      <x:c r="J455" s="82" t="n">
        <x:v>27.7</x:v>
      </x:c>
      <x:c r="K455" s="82"/>
      <x:c r="L455" s="82" t="n">
        <x:v>37.9</x:v>
      </x:c>
      <x:c r="M455" s="82" t="n">
        <x:v>25.1</x:v>
      </x:c>
      <x:c r="N455" s="86" t="n">
        <x:v>1018</x:v>
      </x:c>
      <x:c r="O455" s="90" t="n">
        <x:v>6.3</x:v>
      </x:c>
      <x:c r="P455" s="150" t="n">
        <x:v>3.956</x:v>
      </x:c>
      <x:c r="Q455" s="86" t="n">
        <x:v>21</x:v>
      </x:c>
      <x:c r="R455" s="32" t="str">
        <x:v>ok</x:v>
      </x:c>
      <x:c r="S455" s="32"/>
      <x:c r="T455" s="32" t="str">
        <x:v>ok</x:v>
      </x:c>
      <x:c r="U455" s="32" t="str">
        <x:v>ok</x:v>
      </x:c>
      <x:c r="V455" s="32" t="str">
        <x:v>ok</x:v>
      </x:c>
      <x:c r="W455" s="154" t="str">
        <x:v>{"schema_version":1,"imei":"862323089930720","timestamp":1786020353,"report_sequence":19,"task_version":"rice_w0_water_soil_demo","sensor_mode":"water_soil","soil_moisture_percent":37.9,"soil_temperature_c":25.1,"soil_ec_us_cm":1018,"soil_ph":6.3,"battery_mv":3956,"csq":21,"soil_rs485_status":"ok","cycle_status":"ok","water_level_mm":27.7,"water_4_20ma_status":"ok"}</x:v>
      </x:c>
    </x:row>
    <x:row r="456">
      <x:c r="A456" s="72" t="n">
        <x:v>46240.86519675926</x:v>
      </x:c>
      <x:c r="B456" s="72" t="n">
        <x:v>46240.865210648146</x:v>
      </x:c>
      <x:c r="C456" s="32" t="str">
        <x:v>P21</x:v>
      </x:c>
      <x:c r="D456" s="32" t="str">
        <x:v>B4-W1-V1</x:v>
      </x:c>
      <x:c r="E456" s="32" t="str">
        <x:v>B4</x:v>
      </x:c>
      <x:c r="F456" s="32" t="str">
        <x:v>W1</x:v>
      </x:c>
      <x:c r="G456" s="32" t="str">
        <x:v>V1</x:v>
      </x:c>
      <x:c r="H456" s="32" t="str">
        <x:v>tension_soil</x:v>
      </x:c>
      <x:c r="I456" s="32" t="str">
        <x:v>862323089930721</x:v>
      </x:c>
      <x:c r="J456" s="82"/>
      <x:c r="K456" s="82" t="n">
        <x:v>-24.4</x:v>
      </x:c>
      <x:c r="L456" s="82" t="n">
        <x:v>39.4</x:v>
      </x:c>
      <x:c r="M456" s="82" t="n">
        <x:v>25.2</x:v>
      </x:c>
      <x:c r="N456" s="86" t="n">
        <x:v>1038</x:v>
      </x:c>
      <x:c r="O456" s="90" t="n">
        <x:v>6.36</x:v>
      </x:c>
      <x:c r="P456" s="150" t="n">
        <x:v>3.974</x:v>
      </x:c>
      <x:c r="Q456" s="86" t="n">
        <x:v>22</x:v>
      </x:c>
      <x:c r="R456" s="32"/>
      <x:c r="S456" s="32" t="str">
        <x:v>ok</x:v>
      </x:c>
      <x:c r="T456" s="32" t="str">
        <x:v>ok</x:v>
      </x:c>
      <x:c r="U456" s="32" t="str">
        <x:v>ok</x:v>
      </x:c>
      <x:c r="V456" s="32" t="str">
        <x:v>ok</x:v>
      </x:c>
      <x:c r="W456" s="154" t="str">
        <x:v>{"schema_version":1,"imei":"862323089930721","timestamp":1786020353,"report_sequence":19,"task_version":"rice_tension_soil_demo","sensor_mode":"tension_soil","soil_moisture_percent":39.4,"soil_temperature_c":25.2,"soil_ec_us_cm":1038,"soil_ph":6.36,"battery_mv":3974,"csq":22,"soil_rs485_status":"ok","cycle_status":"ok","soil_tension_kpa":-24.4,"soil_tension_rs485_status":"ok"}</x:v>
      </x:c>
    </x:row>
    <x:row r="457">
      <x:c r="A457" s="72" t="n">
        <x:v>46240.86519675926</x:v>
      </x:c>
      <x:c r="B457" s="72" t="n">
        <x:v>46240.865210648146</x:v>
      </x:c>
      <x:c r="C457" s="32" t="str">
        <x:v>P22</x:v>
      </x:c>
      <x:c r="D457" s="32" t="str">
        <x:v>B4-W1-V2</x:v>
      </x:c>
      <x:c r="E457" s="32" t="str">
        <x:v>B4</x:v>
      </x:c>
      <x:c r="F457" s="32" t="str">
        <x:v>W1</x:v>
      </x:c>
      <x:c r="G457" s="32" t="str">
        <x:v>V2</x:v>
      </x:c>
      <x:c r="H457" s="32" t="str">
        <x:v>tension_soil</x:v>
      </x:c>
      <x:c r="I457" s="32" t="str">
        <x:v>862323089930722</x:v>
      </x:c>
      <x:c r="J457" s="82"/>
      <x:c r="K457" s="82" t="n">
        <x:v>-25.8</x:v>
      </x:c>
      <x:c r="L457" s="82" t="n">
        <x:v>40.8</x:v>
      </x:c>
      <x:c r="M457" s="82" t="n">
        <x:v>25.3</x:v>
      </x:c>
      <x:c r="N457" s="86" t="n">
        <x:v>1059</x:v>
      </x:c>
      <x:c r="O457" s="90" t="n">
        <x:v>6.41</x:v>
      </x:c>
      <x:c r="P457" s="150" t="n">
        <x:v>3.992</x:v>
      </x:c>
      <x:c r="Q457" s="86" t="n">
        <x:v>23</x:v>
      </x:c>
      <x:c r="R457" s="32"/>
      <x:c r="S457" s="32" t="str">
        <x:v>ok</x:v>
      </x:c>
      <x:c r="T457" s="32" t="str">
        <x:v>ok</x:v>
      </x:c>
      <x:c r="U457" s="32" t="str">
        <x:v>ok</x:v>
      </x:c>
      <x:c r="V457" s="32" t="str">
        <x:v>ok</x:v>
      </x:c>
      <x:c r="W457" s="154" t="str">
        <x:v>{"schema_version":1,"imei":"862323089930722","timestamp":1786020353,"report_sequence":19,"task_version":"rice_tension_soil_demo","sensor_mode":"tension_soil","soil_moisture_percent":40.8,"soil_temperature_c":25.3,"soil_ec_us_cm":1059,"soil_ph":6.41,"battery_mv":3992,"csq":23,"soil_rs485_status":"ok","cycle_status":"ok","soil_tension_kpa":-25.8,"soil_tension_rs485_status":"ok"}</x:v>
      </x:c>
    </x:row>
    <x:row r="458">
      <x:c r="A458" s="72" t="n">
        <x:v>46240.86519675926</x:v>
      </x:c>
      <x:c r="B458" s="72" t="n">
        <x:v>46240.865210648146</x:v>
      </x:c>
      <x:c r="C458" s="32" t="str">
        <x:v>P23</x:v>
      </x:c>
      <x:c r="D458" s="32" t="str">
        <x:v>B4-W2-V1</x:v>
      </x:c>
      <x:c r="E458" s="32" t="str">
        <x:v>B4</x:v>
      </x:c>
      <x:c r="F458" s="32" t="str">
        <x:v>W2</x:v>
      </x:c>
      <x:c r="G458" s="32" t="str">
        <x:v>V1</x:v>
      </x:c>
      <x:c r="H458" s="32" t="str">
        <x:v>tension_soil</x:v>
      </x:c>
      <x:c r="I458" s="32" t="str">
        <x:v>862323089930723</x:v>
      </x:c>
      <x:c r="J458" s="82"/>
      <x:c r="K458" s="82" t="n">
        <x:v>-38.3</x:v>
      </x:c>
      <x:c r="L458" s="82" t="n">
        <x:v>42.3</x:v>
      </x:c>
      <x:c r="M458" s="82" t="n">
        <x:v>25.4</x:v>
      </x:c>
      <x:c r="N458" s="86" t="n">
        <x:v>1078</x:v>
      </x:c>
      <x:c r="O458" s="90" t="n">
        <x:v>6.47</x:v>
      </x:c>
      <x:c r="P458" s="150" t="n">
        <x:v>4.01</x:v>
      </x:c>
      <x:c r="Q458" s="86" t="n">
        <x:v>24</x:v>
      </x:c>
      <x:c r="R458" s="32"/>
      <x:c r="S458" s="32" t="str">
        <x:v>ok</x:v>
      </x:c>
      <x:c r="T458" s="32" t="str">
        <x:v>ok</x:v>
      </x:c>
      <x:c r="U458" s="32" t="str">
        <x:v>ok</x:v>
      </x:c>
      <x:c r="V458" s="32" t="str">
        <x:v>ok</x:v>
      </x:c>
      <x:c r="W458" s="154" t="str">
        <x:v>{"schema_version":1,"imei":"862323089930723","timestamp":1786020353,"report_sequence":19,"task_version":"rice_tension_soil_demo","sensor_mode":"tension_soil","soil_moisture_percent":42.3,"soil_temperature_c":25.4,"soil_ec_us_cm":1078,"soil_ph":6.47,"battery_mv":4010,"csq":24,"soil_rs485_status":"ok","cycle_status":"ok","soil_tension_kpa":-38.3,"soil_tension_rs485_status":"ok"}</x:v>
      </x:c>
    </x:row>
    <x:row r="459">
      <x:c r="A459" s="72" t="n">
        <x:v>46240.86519675926</x:v>
      </x:c>
      <x:c r="B459" s="72" t="n">
        <x:v>46240.865210648146</x:v>
      </x:c>
      <x:c r="C459" s="32" t="str">
        <x:v>P24</x:v>
      </x:c>
      <x:c r="D459" s="32" t="str">
        <x:v>B4-W2-V2</x:v>
      </x:c>
      <x:c r="E459" s="32" t="str">
        <x:v>B4</x:v>
      </x:c>
      <x:c r="F459" s="32" t="str">
        <x:v>W2</x:v>
      </x:c>
      <x:c r="G459" s="32" t="str">
        <x:v>V2</x:v>
      </x:c>
      <x:c r="H459" s="32" t="str">
        <x:v>tension_soil</x:v>
      </x:c>
      <x:c r="I459" s="32" t="str">
        <x:v>862323089930724</x:v>
      </x:c>
      <x:c r="J459" s="82"/>
      <x:c r="K459" s="82" t="n">
        <x:v>-39.6</x:v>
      </x:c>
      <x:c r="L459" s="82" t="n">
        <x:v>35.6</x:v>
      </x:c>
      <x:c r="M459" s="82" t="n">
        <x:v>25.5</x:v>
      </x:c>
      <x:c r="N459" s="86" t="n">
        <x:v>1096</x:v>
      </x:c>
      <x:c r="O459" s="90" t="n">
        <x:v>6.52</x:v>
      </x:c>
      <x:c r="P459" s="150" t="n">
        <x:v>3.92</x:v>
      </x:c>
      <x:c r="Q459" s="86" t="n">
        <x:v>17</x:v>
      </x:c>
      <x:c r="R459" s="32"/>
      <x:c r="S459" s="32" t="str">
        <x:v>ok</x:v>
      </x:c>
      <x:c r="T459" s="32" t="str">
        <x:v>ok</x:v>
      </x:c>
      <x:c r="U459" s="32" t="str">
        <x:v>ok</x:v>
      </x:c>
      <x:c r="V459" s="32" t="str">
        <x:v>ok</x:v>
      </x:c>
      <x:c r="W459" s="154" t="str">
        <x:v>{"schema_version":1,"imei":"862323089930724","timestamp":1786020353,"report_sequence":19,"task_version":"rice_tension_soil_demo","sensor_mode":"tension_soil","soil_moisture_percent":35.6,"soil_temperature_c":25.5,"soil_ec_us_cm":1096,"soil_ph":6.52,"battery_mv":3920,"csq":17,"soil_rs485_status":"ok","cycle_status":"ok","soil_tension_kpa":-39.6,"soil_tension_rs485_status":"ok"}</x:v>
      </x:c>
    </x:row>
    <x:row r="460">
      <x:c r="A460" s="72" t="n">
        <x:v>46240.86866898148</x:v>
      </x:c>
      <x:c r="B460" s="72" t="n">
        <x:v>46240.86868287037</x:v>
      </x:c>
      <x:c r="C460" s="32" t="str">
        <x:v>P01</x:v>
      </x:c>
      <x:c r="D460" s="32" t="str">
        <x:v>B1-W0-V1</x:v>
      </x:c>
      <x:c r="E460" s="32" t="str">
        <x:v>B1</x:v>
      </x:c>
      <x:c r="F460" s="32" t="str">
        <x:v>W0</x:v>
      </x:c>
      <x:c r="G460" s="32" t="str">
        <x:v>V1</x:v>
      </x:c>
      <x:c r="H460" s="32" t="str">
        <x:v>water_soil</x:v>
      </x:c>
      <x:c r="I460" s="32" t="str">
        <x:v>862323089930701</x:v>
      </x:c>
      <x:c r="J460" s="82" t="n">
        <x:v>35.7</x:v>
      </x:c>
      <x:c r="K460" s="82"/>
      <x:c r="L460" s="82" t="n">
        <x:v>36.9</x:v>
      </x:c>
      <x:c r="M460" s="82" t="n">
        <x:v>25.6</x:v>
      </x:c>
      <x:c r="N460" s="86" t="n">
        <x:v>825</x:v>
      </x:c>
      <x:c r="O460" s="90" t="n">
        <x:v>6.38</x:v>
      </x:c>
      <x:c r="P460" s="150" t="n">
        <x:v>3.938</x:v>
      </x:c>
      <x:c r="Q460" s="86" t="n">
        <x:v>18</x:v>
      </x:c>
      <x:c r="R460" s="32" t="str">
        <x:v>ok</x:v>
      </x:c>
      <x:c r="S460" s="32"/>
      <x:c r="T460" s="32" t="str">
        <x:v>ok</x:v>
      </x:c>
      <x:c r="U460" s="32" t="str">
        <x:v>ok</x:v>
      </x:c>
      <x:c r="V460" s="32" t="str">
        <x:v>ok</x:v>
      </x:c>
      <x:c r="W460" s="154" t="str">
        <x:v>{"schema_version":1,"imei":"862323089930701","timestamp":1786020653,"report_sequence":20,"task_version":"rice_w0_water_soil_demo","sensor_mode":"water_soil","soil_moisture_percent":36.9,"soil_temperature_c":25.6,"soil_ec_us_cm":825,"soil_ph":6.38,"battery_mv":3938,"csq":18,"soil_rs485_status":"ok","cycle_status":"ok","water_level_mm":35.7,"water_4_20ma_status":"ok"}</x:v>
      </x:c>
    </x:row>
    <x:row r="461">
      <x:c r="A461" s="72" t="n">
        <x:v>46240.86866898148</x:v>
      </x:c>
      <x:c r="B461" s="72" t="n">
        <x:v>46240.86868287037</x:v>
      </x:c>
      <x:c r="C461" s="32" t="str">
        <x:v>P02</x:v>
      </x:c>
      <x:c r="D461" s="32" t="str">
        <x:v>B1-W0-V2</x:v>
      </x:c>
      <x:c r="E461" s="32" t="str">
        <x:v>B1</x:v>
      </x:c>
      <x:c r="F461" s="32" t="str">
        <x:v>W0</x:v>
      </x:c>
      <x:c r="G461" s="32" t="str">
        <x:v>V2</x:v>
      </x:c>
      <x:c r="H461" s="32" t="str">
        <x:v>water_soil</x:v>
      </x:c>
      <x:c r="I461" s="32" t="str">
        <x:v>862323089930702</x:v>
      </x:c>
      <x:c r="J461" s="82" t="n">
        <x:v>39</x:v>
      </x:c>
      <x:c r="K461" s="82"/>
      <x:c r="L461" s="82" t="n">
        <x:v>38</x:v>
      </x:c>
      <x:c r="M461" s="82" t="n">
        <x:v>25.6</x:v>
      </x:c>
      <x:c r="N461" s="86" t="n">
        <x:v>839</x:v>
      </x:c>
      <x:c r="O461" s="90" t="n">
        <x:v>6.43</x:v>
      </x:c>
      <x:c r="P461" s="150" t="n">
        <x:v>3.956</x:v>
      </x:c>
      <x:c r="Q461" s="86" t="n">
        <x:v>19</x:v>
      </x:c>
      <x:c r="R461" s="32" t="str">
        <x:v>ok</x:v>
      </x:c>
      <x:c r="S461" s="32"/>
      <x:c r="T461" s="32" t="str">
        <x:v>ok</x:v>
      </x:c>
      <x:c r="U461" s="32" t="str">
        <x:v>ok</x:v>
      </x:c>
      <x:c r="V461" s="32" t="str">
        <x:v>ok</x:v>
      </x:c>
      <x:c r="W461" s="154" t="str">
        <x:v>{"schema_version":1,"imei":"862323089930702","timestamp":1786020653,"report_sequence":20,"task_version":"rice_w0_water_soil_demo","sensor_mode":"water_soil","soil_moisture_percent":38,"soil_temperature_c":25.6,"soil_ec_us_cm":839,"soil_ph":6.43,"battery_mv":3956,"csq":19,"soil_rs485_status":"ok","cycle_status":"ok","water_level_mm":39,"water_4_20ma_status":"ok"}</x:v>
      </x:c>
    </x:row>
    <x:row r="462">
      <x:c r="A462" s="72" t="n">
        <x:v>46240.86866898148</x:v>
      </x:c>
      <x:c r="B462" s="72" t="n">
        <x:v>46240.86868287037</x:v>
      </x:c>
      <x:c r="C462" s="32" t="str">
        <x:v>P03</x:v>
      </x:c>
      <x:c r="D462" s="32" t="str">
        <x:v>B1-W1-V1</x:v>
      </x:c>
      <x:c r="E462" s="32" t="str">
        <x:v>B1</x:v>
      </x:c>
      <x:c r="F462" s="32" t="str">
        <x:v>W1</x:v>
      </x:c>
      <x:c r="G462" s="32" t="str">
        <x:v>V1</x:v>
      </x:c>
      <x:c r="H462" s="32" t="str">
        <x:v>tension_soil</x:v>
      </x:c>
      <x:c r="I462" s="32" t="str">
        <x:v>862323089930703</x:v>
      </x:c>
      <x:c r="J462" s="82"/>
      <x:c r="K462" s="82" t="n">
        <x:v>-28</x:v>
      </x:c>
      <x:c r="L462" s="82" t="n">
        <x:v>39</x:v>
      </x:c>
      <x:c r="M462" s="82" t="n">
        <x:v>25.6</x:v>
      </x:c>
      <x:c r="N462" s="86" t="n">
        <x:v>851</x:v>
      </x:c>
      <x:c r="O462" s="90" t="n">
        <x:v>6.48</x:v>
      </x:c>
      <x:c r="P462" s="150" t="n">
        <x:v>3.974</x:v>
      </x:c>
      <x:c r="Q462" s="86" t="n">
        <x:v>20</x:v>
      </x:c>
      <x:c r="R462" s="32"/>
      <x:c r="S462" s="32" t="str">
        <x:v>ok</x:v>
      </x:c>
      <x:c r="T462" s="32" t="str">
        <x:v>ok</x:v>
      </x:c>
      <x:c r="U462" s="32" t="str">
        <x:v>ok</x:v>
      </x:c>
      <x:c r="V462" s="32" t="str">
        <x:v>ok</x:v>
      </x:c>
      <x:c r="W462" s="154" t="str">
        <x:v>{"schema_version":1,"imei":"862323089930703","timestamp":1786020653,"report_sequence":20,"task_version":"rice_tension_soil_demo","sensor_mode":"tension_soil","soil_moisture_percent":39,"soil_temperature_c":25.6,"soil_ec_us_cm":851,"soil_ph":6.48,"battery_mv":3974,"csq":20,"soil_rs485_status":"ok","cycle_status":"ok","soil_tension_kpa":-28,"soil_tension_rs485_status":"ok"}</x:v>
      </x:c>
    </x:row>
    <x:row r="463">
      <x:c r="A463" s="72" t="n">
        <x:v>46240.86866898148</x:v>
      </x:c>
      <x:c r="B463" s="72" t="n">
        <x:v>46240.86868287037</x:v>
      </x:c>
      <x:c r="C463" s="32" t="str">
        <x:v>P04</x:v>
      </x:c>
      <x:c r="D463" s="32" t="str">
        <x:v>B1-W1-V2</x:v>
      </x:c>
      <x:c r="E463" s="32" t="str">
        <x:v>B1</x:v>
      </x:c>
      <x:c r="F463" s="32" t="str">
        <x:v>W1</x:v>
      </x:c>
      <x:c r="G463" s="32" t="str">
        <x:v>V2</x:v>
      </x:c>
      <x:c r="H463" s="32" t="str">
        <x:v>tension_soil</x:v>
      </x:c>
      <x:c r="I463" s="32" t="str">
        <x:v>862323089930704</x:v>
      </x:c>
      <x:c r="J463" s="82"/>
      <x:c r="K463" s="82" t="n">
        <x:v>-28.8</x:v>
      </x:c>
      <x:c r="L463" s="82" t="n">
        <x:v>39.8</x:v>
      </x:c>
      <x:c r="M463" s="82" t="n">
        <x:v>25.6</x:v>
      </x:c>
      <x:c r="N463" s="86" t="n">
        <x:v>860</x:v>
      </x:c>
      <x:c r="O463" s="90" t="n">
        <x:v>6.53</x:v>
      </x:c>
      <x:c r="P463" s="150" t="n">
        <x:v>3.992</x:v>
      </x:c>
      <x:c r="Q463" s="86" t="n">
        <x:v>21</x:v>
      </x:c>
      <x:c r="R463" s="32"/>
      <x:c r="S463" s="32" t="str">
        <x:v>ok</x:v>
      </x:c>
      <x:c r="T463" s="32" t="str">
        <x:v>ok</x:v>
      </x:c>
      <x:c r="U463" s="32" t="str">
        <x:v>ok</x:v>
      </x:c>
      <x:c r="V463" s="32" t="str">
        <x:v>ok</x:v>
      </x:c>
      <x:c r="W463" s="154" t="str">
        <x:v>{"schema_version":1,"imei":"862323089930704","timestamp":1786020653,"report_sequence":20,"task_version":"rice_tension_soil_demo","sensor_mode":"tension_soil","soil_moisture_percent":39.8,"soil_temperature_c":25.6,"soil_ec_us_cm":860,"soil_ph":6.53,"battery_mv":3992,"csq":21,"soil_rs485_status":"ok","cycle_status":"ok","soil_tension_kpa":-28.8,"soil_tension_rs485_status":"ok"}</x:v>
      </x:c>
    </x:row>
    <x:row r="464">
      <x:c r="A464" s="72" t="n">
        <x:v>46240.86866898148</x:v>
      </x:c>
      <x:c r="B464" s="72" t="n">
        <x:v>46240.86868287037</x:v>
      </x:c>
      <x:c r="C464" s="32" t="str">
        <x:v>P05</x:v>
      </x:c>
      <x:c r="D464" s="32" t="str">
        <x:v>B1-W2-V1</x:v>
      </x:c>
      <x:c r="E464" s="32" t="str">
        <x:v>B1</x:v>
      </x:c>
      <x:c r="F464" s="32" t="str">
        <x:v>W2</x:v>
      </x:c>
      <x:c r="G464" s="32" t="str">
        <x:v>V1</x:v>
      </x:c>
      <x:c r="H464" s="32" t="str">
        <x:v>tension_soil</x:v>
      </x:c>
      <x:c r="I464" s="32" t="str">
        <x:v>862323089930705</x:v>
      </x:c>
      <x:c r="J464" s="82"/>
      <x:c r="K464" s="82" t="n">
        <x:v>-35.6</x:v>
      </x:c>
      <x:c r="L464" s="82" t="n">
        <x:v>40.6</x:v>
      </x:c>
      <x:c r="M464" s="82" t="n">
        <x:v>25.5</x:v>
      </x:c>
      <x:c r="N464" s="86" t="n">
        <x:v>868</x:v>
      </x:c>
      <x:c r="O464" s="90" t="n">
        <x:v>6.32</x:v>
      </x:c>
      <x:c r="P464" s="150" t="n">
        <x:v>4.01</x:v>
      </x:c>
      <x:c r="Q464" s="86" t="n">
        <x:v>22</x:v>
      </x:c>
      <x:c r="R464" s="32"/>
      <x:c r="S464" s="32" t="str">
        <x:v>ok</x:v>
      </x:c>
      <x:c r="T464" s="32" t="str">
        <x:v>ok</x:v>
      </x:c>
      <x:c r="U464" s="32" t="str">
        <x:v>ok</x:v>
      </x:c>
      <x:c r="V464" s="32" t="str">
        <x:v>ok</x:v>
      </x:c>
      <x:c r="W464" s="154" t="str">
        <x:v>{"schema_version":1,"imei":"862323089930705","timestamp":1786020653,"report_sequence":20,"task_version":"rice_tension_soil_demo","sensor_mode":"tension_soil","soil_moisture_percent":40.6,"soil_temperature_c":25.5,"soil_ec_us_cm":868,"soil_ph":6.32,"battery_mv":4010,"csq":22,"soil_rs485_status":"ok","cycle_status":"ok","soil_tension_kpa":-35.6,"soil_tension_rs485_status":"ok"}</x:v>
      </x:c>
    </x:row>
    <x:row r="465">
      <x:c r="A465" s="72" t="n">
        <x:v>46240.86866898148</x:v>
      </x:c>
      <x:c r="B465" s="72" t="n">
        <x:v>46240.86868287037</x:v>
      </x:c>
      <x:c r="C465" s="32" t="str">
        <x:v>P06</x:v>
      </x:c>
      <x:c r="D465" s="32" t="str">
        <x:v>B1-W2-V2</x:v>
      </x:c>
      <x:c r="E465" s="32" t="str">
        <x:v>B1</x:v>
      </x:c>
      <x:c r="F465" s="32" t="str">
        <x:v>W2</x:v>
      </x:c>
      <x:c r="G465" s="32" t="str">
        <x:v>V2</x:v>
      </x:c>
      <x:c r="H465" s="32" t="str">
        <x:v>tension_soil</x:v>
      </x:c>
      <x:c r="I465" s="32" t="str">
        <x:v>862323089930706</x:v>
      </x:c>
      <x:c r="J465" s="82"/>
      <x:c r="K465" s="82" t="n">
        <x:v>-36.2</x:v>
      </x:c>
      <x:c r="L465" s="82" t="n">
        <x:v>41.2</x:v>
      </x:c>
      <x:c r="M465" s="82" t="n">
        <x:v>25.4</x:v>
      </x:c>
      <x:c r="N465" s="86" t="n">
        <x:v>874</x:v>
      </x:c>
      <x:c r="O465" s="90" t="n">
        <x:v>6.37</x:v>
      </x:c>
      <x:c r="P465" s="150" t="n">
        <x:v>3.92</x:v>
      </x:c>
      <x:c r="Q465" s="86" t="n">
        <x:v>23</x:v>
      </x:c>
      <x:c r="R465" s="32"/>
      <x:c r="S465" s="32" t="str">
        <x:v>ok</x:v>
      </x:c>
      <x:c r="T465" s="32" t="str">
        <x:v>ok</x:v>
      </x:c>
      <x:c r="U465" s="32" t="str">
        <x:v>ok</x:v>
      </x:c>
      <x:c r="V465" s="32" t="str">
        <x:v>ok</x:v>
      </x:c>
      <x:c r="W465" s="154" t="str">
        <x:v>{"schema_version":1,"imei":"862323089930706","timestamp":1786020653,"report_sequence":20,"task_version":"rice_tension_soil_demo","sensor_mode":"tension_soil","soil_moisture_percent":41.2,"soil_temperature_c":25.4,"soil_ec_us_cm":874,"soil_ph":6.37,"battery_mv":3920,"csq":23,"soil_rs485_status":"ok","cycle_status":"ok","soil_tension_kpa":-36.2,"soil_tension_rs485_status":"ok"}</x:v>
      </x:c>
    </x:row>
    <x:row r="466">
      <x:c r="A466" s="72" t="n">
        <x:v>46240.86866898148</x:v>
      </x:c>
      <x:c r="B466" s="72" t="n">
        <x:v>46240.86868287037</x:v>
      </x:c>
      <x:c r="C466" s="32" t="str">
        <x:v>P07</x:v>
      </x:c>
      <x:c r="D466" s="32" t="str">
        <x:v>B2-W0-V1</x:v>
      </x:c>
      <x:c r="E466" s="32" t="str">
        <x:v>B2</x:v>
      </x:c>
      <x:c r="F466" s="32" t="str">
        <x:v>W0</x:v>
      </x:c>
      <x:c r="G466" s="32" t="str">
        <x:v>V1</x:v>
      </x:c>
      <x:c r="H466" s="32" t="str">
        <x:v>water_soil</x:v>
      </x:c>
      <x:c r="I466" s="32" t="str">
        <x:v>862323089930707</x:v>
      </x:c>
      <x:c r="J466" s="82" t="n">
        <x:v>39.1</x:v>
      </x:c>
      <x:c r="K466" s="82"/>
      <x:c r="L466" s="82" t="n">
        <x:v>41.8</x:v>
      </x:c>
      <x:c r="M466" s="82" t="n">
        <x:v>25.3</x:v>
      </x:c>
      <x:c r="N466" s="86" t="n">
        <x:v>878</x:v>
      </x:c>
      <x:c r="O466" s="90" t="n">
        <x:v>6.41</x:v>
      </x:c>
      <x:c r="P466" s="150" t="n">
        <x:v>3.938</x:v>
      </x:c>
      <x:c r="Q466" s="86" t="n">
        <x:v>24</x:v>
      </x:c>
      <x:c r="R466" s="32" t="str">
        <x:v>ok</x:v>
      </x:c>
      <x:c r="S466" s="32"/>
      <x:c r="T466" s="32" t="str">
        <x:v>ok</x:v>
      </x:c>
      <x:c r="U466" s="32" t="str">
        <x:v>ok</x:v>
      </x:c>
      <x:c r="V466" s="32" t="str">
        <x:v>ok</x:v>
      </x:c>
      <x:c r="W466" s="154" t="str">
        <x:v>{"schema_version":1,"imei":"862323089930707","timestamp":1786020653,"report_sequence":20,"task_version":"rice_w0_water_soil_demo","sensor_mode":"water_soil","soil_moisture_percent":41.8,"soil_temperature_c":25.3,"soil_ec_us_cm":878,"soil_ph":6.41,"battery_mv":3938,"csq":24,"soil_rs485_status":"ok","cycle_status":"ok","water_level_mm":39.1,"water_4_20ma_status":"ok"}</x:v>
      </x:c>
    </x:row>
    <x:row r="467">
      <x:c r="A467" s="72" t="n">
        <x:v>46240.86866898148</x:v>
      </x:c>
      <x:c r="B467" s="72" t="n">
        <x:v>46240.86868287037</x:v>
      </x:c>
      <x:c r="C467" s="32" t="str">
        <x:v>P08</x:v>
      </x:c>
      <x:c r="D467" s="32" t="str">
        <x:v>B2-W0-V2</x:v>
      </x:c>
      <x:c r="E467" s="32" t="str">
        <x:v>B2</x:v>
      </x:c>
      <x:c r="F467" s="32" t="str">
        <x:v>W0</x:v>
      </x:c>
      <x:c r="G467" s="32" t="str">
        <x:v>V2</x:v>
      </x:c>
      <x:c r="H467" s="32" t="str">
        <x:v>water_soil</x:v>
      </x:c>
      <x:c r="I467" s="32" t="str">
        <x:v>862323089930708</x:v>
      </x:c>
      <x:c r="J467" s="82" t="n">
        <x:v>28.9</x:v>
      </x:c>
      <x:c r="K467" s="82"/>
      <x:c r="L467" s="82" t="n">
        <x:v>34.3</x:v>
      </x:c>
      <x:c r="M467" s="82" t="n">
        <x:v>25.2</x:v>
      </x:c>
      <x:c r="N467" s="86" t="n">
        <x:v>882</x:v>
      </x:c>
      <x:c r="O467" s="90" t="n">
        <x:v>6.46</x:v>
      </x:c>
      <x:c r="P467" s="150" t="n">
        <x:v>3.956</x:v>
      </x:c>
      <x:c r="Q467" s="86" t="n">
        <x:v>17</x:v>
      </x:c>
      <x:c r="R467" s="32" t="str">
        <x:v>ok</x:v>
      </x:c>
      <x:c r="S467" s="32"/>
      <x:c r="T467" s="32" t="str">
        <x:v>ok</x:v>
      </x:c>
      <x:c r="U467" s="32" t="str">
        <x:v>ok</x:v>
      </x:c>
      <x:c r="V467" s="32" t="str">
        <x:v>ok</x:v>
      </x:c>
      <x:c r="W467" s="154" t="str">
        <x:v>{"schema_version":1,"imei":"862323089930708","timestamp":1786020653,"report_sequence":20,"task_version":"rice_w0_water_soil_demo","sensor_mode":"water_soil","soil_moisture_percent":34.3,"soil_temperature_c":25.2,"soil_ec_us_cm":882,"soil_ph":6.46,"battery_mv":3956,"csq":17,"soil_rs485_status":"ok","cycle_status":"ok","water_level_mm":28.9,"water_4_20ma_status":"ok"}</x:v>
      </x:c>
    </x:row>
    <x:row r="468">
      <x:c r="A468" s="72" t="n">
        <x:v>46240.86866898148</x:v>
      </x:c>
      <x:c r="B468" s="72" t="n">
        <x:v>46240.86868287037</x:v>
      </x:c>
      <x:c r="C468" s="32" t="str">
        <x:v>P09</x:v>
      </x:c>
      <x:c r="D468" s="32" t="str">
        <x:v>B2-W1-V1</x:v>
      </x:c>
      <x:c r="E468" s="32" t="str">
        <x:v>B2</x:v>
      </x:c>
      <x:c r="F468" s="32" t="str">
        <x:v>W1</x:v>
      </x:c>
      <x:c r="G468" s="32" t="str">
        <x:v>V1</x:v>
      </x:c>
      <x:c r="H468" s="32" t="str">
        <x:v>tension_soil</x:v>
      </x:c>
      <x:c r="I468" s="32" t="str">
        <x:v>862323089930709</x:v>
      </x:c>
      <x:c r="J468" s="82"/>
      <x:c r="K468" s="82" t="n">
        <x:v>-26.8</x:v>
      </x:c>
      <x:c r="L468" s="82" t="n">
        <x:v>34.8</x:v>
      </x:c>
      <x:c r="M468" s="82" t="n">
        <x:v>25.1</x:v>
      </x:c>
      <x:c r="N468" s="86" t="n">
        <x:v>885</x:v>
      </x:c>
      <x:c r="O468" s="90" t="n">
        <x:v>6.5</x:v>
      </x:c>
      <x:c r="P468" s="150" t="n">
        <x:v>3.974</x:v>
      </x:c>
      <x:c r="Q468" s="86" t="n">
        <x:v>18</x:v>
      </x:c>
      <x:c r="R468" s="32"/>
      <x:c r="S468" s="32" t="str">
        <x:v>ok</x:v>
      </x:c>
      <x:c r="T468" s="32" t="str">
        <x:v>ok</x:v>
      </x:c>
      <x:c r="U468" s="32" t="str">
        <x:v>ok</x:v>
      </x:c>
      <x:c r="V468" s="32" t="str">
        <x:v>ok</x:v>
      </x:c>
      <x:c r="W468" s="154" t="str">
        <x:v>{"schema_version":1,"imei":"862323089930709","timestamp":1786020653,"report_sequence":20,"task_version":"rice_tension_soil_demo","sensor_mode":"tension_soil","soil_moisture_percent":34.8,"soil_temperature_c":25.1,"soil_ec_us_cm":885,"soil_ph":6.5,"battery_mv":3974,"csq":18,"soil_rs485_status":"ok","cycle_status":"ok","soil_tension_kpa":-26.8,"soil_tension_rs485_status":"ok"}</x:v>
      </x:c>
    </x:row>
    <x:row r="469">
      <x:c r="A469" s="72" t="n">
        <x:v>46240.86866898148</x:v>
      </x:c>
      <x:c r="B469" s="72" t="n">
        <x:v>46240.86868287037</x:v>
      </x:c>
      <x:c r="C469" s="32" t="str">
        <x:v>P10</x:v>
      </x:c>
      <x:c r="D469" s="32" t="str">
        <x:v>B2-W1-V2</x:v>
      </x:c>
      <x:c r="E469" s="32" t="str">
        <x:v>B2</x:v>
      </x:c>
      <x:c r="F469" s="32" t="str">
        <x:v>W1</x:v>
      </x:c>
      <x:c r="G469" s="32" t="str">
        <x:v>V2</x:v>
      </x:c>
      <x:c r="H469" s="32" t="str">
        <x:v>tension_soil</x:v>
      </x:c>
      <x:c r="I469" s="32" t="str">
        <x:v>862323089930710</x:v>
      </x:c>
      <x:c r="J469" s="82"/>
      <x:c r="K469" s="82" t="n">
        <x:v>-22.4</x:v>
      </x:c>
      <x:c r="L469" s="82" t="n">
        <x:v>35.4</x:v>
      </x:c>
      <x:c r="M469" s="82" t="n">
        <x:v>24.9</x:v>
      </x:c>
      <x:c r="N469" s="86" t="n">
        <x:v>889</x:v>
      </x:c>
      <x:c r="O469" s="90" t="n">
        <x:v>6.29</x:v>
      </x:c>
      <x:c r="P469" s="150" t="n">
        <x:v>3.992</x:v>
      </x:c>
      <x:c r="Q469" s="86" t="n">
        <x:v>19</x:v>
      </x:c>
      <x:c r="R469" s="32"/>
      <x:c r="S469" s="32" t="str">
        <x:v>ok</x:v>
      </x:c>
      <x:c r="T469" s="32" t="str">
        <x:v>ok</x:v>
      </x:c>
      <x:c r="U469" s="32" t="str">
        <x:v>ok</x:v>
      </x:c>
      <x:c r="V469" s="32" t="str">
        <x:v>ok</x:v>
      </x:c>
      <x:c r="W469" s="154" t="str">
        <x:v>{"schema_version":1,"imei":"862323089930710","timestamp":1786020653,"report_sequence":20,"task_version":"rice_tension_soil_demo","sensor_mode":"tension_soil","soil_moisture_percent":35.4,"soil_temperature_c":24.9,"soil_ec_us_cm":889,"soil_ph":6.29,"battery_mv":3992,"csq":19,"soil_rs485_status":"ok","cycle_status":"ok","soil_tension_kpa":-22.4,"soil_tension_rs485_status":"ok"}</x:v>
      </x:c>
    </x:row>
    <x:row r="470">
      <x:c r="A470" s="72" t="n">
        <x:v>46240.86866898148</x:v>
      </x:c>
      <x:c r="B470" s="72" t="n">
        <x:v>46240.86868287037</x:v>
      </x:c>
      <x:c r="C470" s="32" t="str">
        <x:v>P11</x:v>
      </x:c>
      <x:c r="D470" s="32" t="str">
        <x:v>B2-W2-V1</x:v>
      </x:c>
      <x:c r="E470" s="32" t="str">
        <x:v>B2</x:v>
      </x:c>
      <x:c r="F470" s="32" t="str">
        <x:v>W2</x:v>
      </x:c>
      <x:c r="G470" s="32" t="str">
        <x:v>V1</x:v>
      </x:c>
      <x:c r="H470" s="32" t="str">
        <x:v>tension_soil</x:v>
      </x:c>
      <x:c r="I470" s="32" t="str">
        <x:v>862323089930711</x:v>
      </x:c>
      <x:c r="J470" s="82"/>
      <x:c r="K470" s="82" t="n">
        <x:v>-33.9</x:v>
      </x:c>
      <x:c r="L470" s="82" t="n">
        <x:v>35.9</x:v>
      </x:c>
      <x:c r="M470" s="82" t="n">
        <x:v>24.8</x:v>
      </x:c>
      <x:c r="N470" s="86" t="n">
        <x:v>893</x:v>
      </x:c>
      <x:c r="O470" s="90" t="n">
        <x:v>6.33</x:v>
      </x:c>
      <x:c r="P470" s="150" t="n">
        <x:v>4.01</x:v>
      </x:c>
      <x:c r="Q470" s="86" t="n">
        <x:v>20</x:v>
      </x:c>
      <x:c r="R470" s="32"/>
      <x:c r="S470" s="32" t="str">
        <x:v>ok</x:v>
      </x:c>
      <x:c r="T470" s="32" t="str">
        <x:v>ok</x:v>
      </x:c>
      <x:c r="U470" s="32" t="str">
        <x:v>ok</x:v>
      </x:c>
      <x:c r="V470" s="32" t="str">
        <x:v>ok</x:v>
      </x:c>
      <x:c r="W470" s="154" t="str">
        <x:v>{"schema_version":1,"imei":"862323089930711","timestamp":1786020653,"report_sequence":20,"task_version":"rice_tension_soil_demo","sensor_mode":"tension_soil","soil_moisture_percent":35.9,"soil_temperature_c":24.8,"soil_ec_us_cm":893,"soil_ph":6.33,"battery_mv":4010,"csq":20,"soil_rs485_status":"ok","cycle_status":"ok","soil_tension_kpa":-33.9,"soil_tension_rs485_status":"ok"}</x:v>
      </x:c>
    </x:row>
    <x:row r="471">
      <x:c r="A471" s="72" t="n">
        <x:v>46240.86866898148</x:v>
      </x:c>
      <x:c r="B471" s="72" t="n">
        <x:v>46240.86868287037</x:v>
      </x:c>
      <x:c r="C471" s="32" t="str">
        <x:v>P12</x:v>
      </x:c>
      <x:c r="D471" s="32" t="str">
        <x:v>B2-W2-V2</x:v>
      </x:c>
      <x:c r="E471" s="32" t="str">
        <x:v>B2</x:v>
      </x:c>
      <x:c r="F471" s="32" t="str">
        <x:v>W2</x:v>
      </x:c>
      <x:c r="G471" s="32" t="str">
        <x:v>V2</x:v>
      </x:c>
      <x:c r="H471" s="32" t="str">
        <x:v>tension_soil</x:v>
      </x:c>
      <x:c r="I471" s="32" t="str">
        <x:v>862323089930712</x:v>
      </x:c>
      <x:c r="J471" s="82"/>
      <x:c r="K471" s="82" t="n">
        <x:v>-34.5</x:v>
      </x:c>
      <x:c r="L471" s="82" t="n">
        <x:v>36.5</x:v>
      </x:c>
      <x:c r="M471" s="82" t="n">
        <x:v>24.7</x:v>
      </x:c>
      <x:c r="N471" s="86" t="n">
        <x:v>898</x:v>
      </x:c>
      <x:c r="O471" s="90" t="n">
        <x:v>6.38</x:v>
      </x:c>
      <x:c r="P471" s="150" t="n">
        <x:v>3.92</x:v>
      </x:c>
      <x:c r="Q471" s="86" t="n">
        <x:v>21</x:v>
      </x:c>
      <x:c r="R471" s="32"/>
      <x:c r="S471" s="32" t="str">
        <x:v>ok</x:v>
      </x:c>
      <x:c r="T471" s="32" t="str">
        <x:v>ok</x:v>
      </x:c>
      <x:c r="U471" s="32" t="str">
        <x:v>ok</x:v>
      </x:c>
      <x:c r="V471" s="32" t="str">
        <x:v>ok</x:v>
      </x:c>
      <x:c r="W471" s="154" t="str">
        <x:v>{"schema_version":1,"imei":"862323089930712","timestamp":1786020653,"report_sequence":20,"task_version":"rice_tension_soil_demo","sensor_mode":"tension_soil","soil_moisture_percent":36.5,"soil_temperature_c":24.7,"soil_ec_us_cm":898,"soil_ph":6.38,"battery_mv":3920,"csq":21,"soil_rs485_status":"ok","cycle_status":"ok","soil_tension_kpa":-34.5,"soil_tension_rs485_status":"ok"}</x:v>
      </x:c>
    </x:row>
    <x:row r="472">
      <x:c r="A472" s="72" t="n">
        <x:v>46240.86866898148</x:v>
      </x:c>
      <x:c r="B472" s="72" t="n">
        <x:v>46240.86868287037</x:v>
      </x:c>
      <x:c r="C472" s="32" t="str">
        <x:v>P13</x:v>
      </x:c>
      <x:c r="D472" s="32" t="str">
        <x:v>B3-W0-V1</x:v>
      </x:c>
      <x:c r="E472" s="32" t="str">
        <x:v>B3</x:v>
      </x:c>
      <x:c r="F472" s="32" t="str">
        <x:v>W0</x:v>
      </x:c>
      <x:c r="G472" s="32" t="str">
        <x:v>V1</x:v>
      </x:c>
      <x:c r="H472" s="32" t="str">
        <x:v>water_soil</x:v>
      </x:c>
      <x:c r="I472" s="32" t="str">
        <x:v>862323089930713</x:v>
      </x:c>
      <x:c r="J472" s="82" t="n">
        <x:v>26.6</x:v>
      </x:c>
      <x:c r="K472" s="82"/>
      <x:c r="L472" s="82" t="n">
        <x:v>37.2</x:v>
      </x:c>
      <x:c r="M472" s="82" t="n">
        <x:v>24.7</x:v>
      </x:c>
      <x:c r="N472" s="86" t="n">
        <x:v>905</x:v>
      </x:c>
      <x:c r="O472" s="90" t="n">
        <x:v>6.42</x:v>
      </x:c>
      <x:c r="P472" s="150" t="n">
        <x:v>3.938</x:v>
      </x:c>
      <x:c r="Q472" s="86" t="n">
        <x:v>22</x:v>
      </x:c>
      <x:c r="R472" s="32" t="str">
        <x:v>ok</x:v>
      </x:c>
      <x:c r="S472" s="32"/>
      <x:c r="T472" s="32" t="str">
        <x:v>ok</x:v>
      </x:c>
      <x:c r="U472" s="32" t="str">
        <x:v>ok</x:v>
      </x:c>
      <x:c r="V472" s="32" t="str">
        <x:v>ok</x:v>
      </x:c>
      <x:c r="W472" s="154" t="str">
        <x:v>{"schema_version":1,"imei":"862323089930713","timestamp":1786020653,"report_sequence":20,"task_version":"rice_w0_water_soil_demo","sensor_mode":"water_soil","soil_moisture_percent":37.2,"soil_temperature_c":24.7,"soil_ec_us_cm":905,"soil_ph":6.42,"battery_mv":3938,"csq":22,"soil_rs485_status":"ok","cycle_status":"ok","water_level_mm":26.6,"water_4_20ma_status":"ok"}</x:v>
      </x:c>
    </x:row>
    <x:row r="473">
      <x:c r="A473" s="72" t="n">
        <x:v>46240.86866898148</x:v>
      </x:c>
      <x:c r="B473" s="72" t="n">
        <x:v>46240.86868287037</x:v>
      </x:c>
      <x:c r="C473" s="32" t="str">
        <x:v>P14</x:v>
      </x:c>
      <x:c r="D473" s="32" t="str">
        <x:v>B3-W0-V2</x:v>
      </x:c>
      <x:c r="E473" s="32" t="str">
        <x:v>B3</x:v>
      </x:c>
      <x:c r="F473" s="32" t="str">
        <x:v>W0</x:v>
      </x:c>
      <x:c r="G473" s="32" t="str">
        <x:v>V2</x:v>
      </x:c>
      <x:c r="H473" s="32" t="str">
        <x:v>water_soil</x:v>
      </x:c>
      <x:c r="I473" s="32" t="str">
        <x:v>862323089930714</x:v>
      </x:c>
      <x:c r="J473" s="82" t="n">
        <x:v>29.2</x:v>
      </x:c>
      <x:c r="K473" s="82"/>
      <x:c r="L473" s="82" t="n">
        <x:v>38.1</x:v>
      </x:c>
      <x:c r="M473" s="82" t="n">
        <x:v>24.6</x:v>
      </x:c>
      <x:c r="N473" s="86" t="n">
        <x:v>914</x:v>
      </x:c>
      <x:c r="O473" s="90" t="n">
        <x:v>6.47</x:v>
      </x:c>
      <x:c r="P473" s="150" t="n">
        <x:v>3.956</x:v>
      </x:c>
      <x:c r="Q473" s="86" t="n">
        <x:v>23</x:v>
      </x:c>
      <x:c r="R473" s="32" t="str">
        <x:v>ok</x:v>
      </x:c>
      <x:c r="S473" s="32"/>
      <x:c r="T473" s="32" t="str">
        <x:v>ok</x:v>
      </x:c>
      <x:c r="U473" s="32" t="str">
        <x:v>ok</x:v>
      </x:c>
      <x:c r="V473" s="32" t="str">
        <x:v>ok</x:v>
      </x:c>
      <x:c r="W473" s="154" t="str">
        <x:v>{"schema_version":1,"imei":"862323089930714","timestamp":1786020653,"report_sequence":20,"task_version":"rice_w0_water_soil_demo","sensor_mode":"water_soil","soil_moisture_percent":38.1,"soil_temperature_c":24.6,"soil_ec_us_cm":914,"soil_ph":6.47,"battery_mv":3956,"csq":23,"soil_rs485_status":"ok","cycle_status":"ok","water_level_mm":29.2,"water_4_20ma_status":"ok"}</x:v>
      </x:c>
    </x:row>
    <x:row r="474">
      <x:c r="A474" s="72" t="n">
        <x:v>46240.86866898148</x:v>
      </x:c>
      <x:c r="B474" s="72" t="n">
        <x:v>46240.86868287037</x:v>
      </x:c>
      <x:c r="C474" s="32" t="str">
        <x:v>P15</x:v>
      </x:c>
      <x:c r="D474" s="32" t="str">
        <x:v>B3-W1-V1</x:v>
      </x:c>
      <x:c r="E474" s="32" t="str">
        <x:v>B3</x:v>
      </x:c>
      <x:c r="F474" s="32" t="str">
        <x:v>W1</x:v>
      </x:c>
      <x:c r="G474" s="32" t="str">
        <x:v>V1</x:v>
      </x:c>
      <x:c r="H474" s="32" t="str">
        <x:v>tension_soil</x:v>
      </x:c>
      <x:c r="I474" s="32" t="str">
        <x:v>862323089930715</x:v>
      </x:c>
      <x:c r="J474" s="82"/>
      <x:c r="K474" s="82" t="n">
        <x:v>-21</x:v>
      </x:c>
      <x:c r="L474" s="82" t="n">
        <x:v>39</x:v>
      </x:c>
      <x:c r="M474" s="82" t="n">
        <x:v>24.6</x:v>
      </x:c>
      <x:c r="N474" s="86" t="n">
        <x:v>925</x:v>
      </x:c>
      <x:c r="O474" s="90" t="n">
        <x:v>6.27</x:v>
      </x:c>
      <x:c r="P474" s="150" t="n">
        <x:v>3.974</x:v>
      </x:c>
      <x:c r="Q474" s="86" t="n">
        <x:v>24</x:v>
      </x:c>
      <x:c r="R474" s="32"/>
      <x:c r="S474" s="32" t="str">
        <x:v>ok</x:v>
      </x:c>
      <x:c r="T474" s="32" t="str">
        <x:v>ok</x:v>
      </x:c>
      <x:c r="U474" s="32" t="str">
        <x:v>ok</x:v>
      </x:c>
      <x:c r="V474" s="32" t="str">
        <x:v>ok</x:v>
      </x:c>
      <x:c r="W474" s="154" t="str">
        <x:v>{"schema_version":1,"imei":"862323089930715","timestamp":1786020653,"report_sequence":20,"task_version":"rice_tension_soil_demo","sensor_mode":"tension_soil","soil_moisture_percent":39,"soil_temperature_c":24.6,"soil_ec_us_cm":925,"soil_ph":6.27,"battery_mv":3974,"csq":24,"soil_rs485_status":"ok","cycle_status":"ok","soil_tension_kpa":-21,"soil_tension_rs485_status":"ok"}</x:v>
      </x:c>
    </x:row>
    <x:row r="475">
      <x:c r="A475" s="72" t="n">
        <x:v>46240.86866898148</x:v>
      </x:c>
      <x:c r="B475" s="72" t="n">
        <x:v>46240.86868287037</x:v>
      </x:c>
      <x:c r="C475" s="32" t="str">
        <x:v>P16</x:v>
      </x:c>
      <x:c r="D475" s="32" t="str">
        <x:v>B3-W1-V2</x:v>
      </x:c>
      <x:c r="E475" s="32" t="str">
        <x:v>B3</x:v>
      </x:c>
      <x:c r="F475" s="32" t="str">
        <x:v>W1</x:v>
      </x:c>
      <x:c r="G475" s="32" t="str">
        <x:v>V2</x:v>
      </x:c>
      <x:c r="H475" s="32" t="str">
        <x:v>tension_soil</x:v>
      </x:c>
      <x:c r="I475" s="32" t="str">
        <x:v>862323089930716</x:v>
      </x:c>
      <x:c r="J475" s="82"/>
      <x:c r="K475" s="82" t="n">
        <x:v>-22.1</x:v>
      </x:c>
      <x:c r="L475" s="82" t="n">
        <x:v>32.1</x:v>
      </x:c>
      <x:c r="M475" s="82" t="n">
        <x:v>24.6</x:v>
      </x:c>
      <x:c r="N475" s="86" t="n">
        <x:v>938</x:v>
      </x:c>
      <x:c r="O475" s="90" t="n">
        <x:v>6.32</x:v>
      </x:c>
      <x:c r="P475" s="150" t="n">
        <x:v>3.992</x:v>
      </x:c>
      <x:c r="Q475" s="86" t="n">
        <x:v>17</x:v>
      </x:c>
      <x:c r="R475" s="32"/>
      <x:c r="S475" s="32" t="str">
        <x:v>ok</x:v>
      </x:c>
      <x:c r="T475" s="32" t="str">
        <x:v>ok</x:v>
      </x:c>
      <x:c r="U475" s="32" t="str">
        <x:v>ok</x:v>
      </x:c>
      <x:c r="V475" s="32" t="str">
        <x:v>ok</x:v>
      </x:c>
      <x:c r="W475" s="154" t="str">
        <x:v>{"schema_version":1,"imei":"862323089930716","timestamp":1786020653,"report_sequence":20,"task_version":"rice_tension_soil_demo","sensor_mode":"tension_soil","soil_moisture_percent":32.1,"soil_temperature_c":24.6,"soil_ec_us_cm":938,"soil_ph":6.32,"battery_mv":3992,"csq":17,"soil_rs485_status":"ok","cycle_status":"ok","soil_tension_kpa":-22.1,"soil_tension_rs485_status":"ok"}</x:v>
      </x:c>
    </x:row>
    <x:row r="476">
      <x:c r="A476" s="72" t="n">
        <x:v>46240.86866898148</x:v>
      </x:c>
      <x:c r="B476" s="72" t="n">
        <x:v>46240.86868287037</x:v>
      </x:c>
      <x:c r="C476" s="32" t="str">
        <x:v>P17</x:v>
      </x:c>
      <x:c r="D476" s="32" t="str">
        <x:v>B3-W2-V1</x:v>
      </x:c>
      <x:c r="E476" s="32" t="str">
        <x:v>B3</x:v>
      </x:c>
      <x:c r="F476" s="32" t="str">
        <x:v>W2</x:v>
      </x:c>
      <x:c r="G476" s="32" t="str">
        <x:v>V1</x:v>
      </x:c>
      <x:c r="H476" s="32" t="str">
        <x:v>tension_soil</x:v>
      </x:c>
      <x:c r="I476" s="32" t="str">
        <x:v>862323089930717</x:v>
      </x:c>
      <x:c r="J476" s="82"/>
      <x:c r="K476" s="82" t="n">
        <x:v>-34.2</x:v>
      </x:c>
      <x:c r="L476" s="82" t="n">
        <x:v>33.2</x:v>
      </x:c>
      <x:c r="M476" s="82" t="n">
        <x:v>24.7</x:v>
      </x:c>
      <x:c r="N476" s="86" t="n">
        <x:v>953</x:v>
      </x:c>
      <x:c r="O476" s="90" t="n">
        <x:v>6.37</x:v>
      </x:c>
      <x:c r="P476" s="150" t="n">
        <x:v>4.01</x:v>
      </x:c>
      <x:c r="Q476" s="86" t="n">
        <x:v>18</x:v>
      </x:c>
      <x:c r="R476" s="32"/>
      <x:c r="S476" s="32" t="str">
        <x:v>ok</x:v>
      </x:c>
      <x:c r="T476" s="32" t="str">
        <x:v>ok</x:v>
      </x:c>
      <x:c r="U476" s="32" t="str">
        <x:v>ok</x:v>
      </x:c>
      <x:c r="V476" s="32" t="str">
        <x:v>ok</x:v>
      </x:c>
      <x:c r="W476" s="154" t="str">
        <x:v>{"schema_version":1,"imei":"862323089930717","timestamp":1786020653,"report_sequence":20,"task_version":"rice_tension_soil_demo","sensor_mode":"tension_soil","soil_moisture_percent":33.2,"soil_temperature_c":24.7,"soil_ec_us_cm":953,"soil_ph":6.37,"battery_mv":4010,"csq":18,"soil_rs485_status":"ok","cycle_status":"ok","soil_tension_kpa":-34.2,"soil_tension_rs485_status":"ok"}</x:v>
      </x:c>
    </x:row>
    <x:row r="477">
      <x:c r="A477" s="72" t="n">
        <x:v>46240.86866898148</x:v>
      </x:c>
      <x:c r="B477" s="72" t="n">
        <x:v>46240.86868287037</x:v>
      </x:c>
      <x:c r="C477" s="32" t="str">
        <x:v>P18</x:v>
      </x:c>
      <x:c r="D477" s="32" t="str">
        <x:v>B3-W2-V2</x:v>
      </x:c>
      <x:c r="E477" s="32" t="str">
        <x:v>B3</x:v>
      </x:c>
      <x:c r="F477" s="32" t="str">
        <x:v>W2</x:v>
      </x:c>
      <x:c r="G477" s="32" t="str">
        <x:v>V2</x:v>
      </x:c>
      <x:c r="H477" s="32" t="str">
        <x:v>tension_soil</x:v>
      </x:c>
      <x:c r="I477" s="32" t="str">
        <x:v>862323089930718</x:v>
      </x:c>
      <x:c r="J477" s="82"/>
      <x:c r="K477" s="82" t="n">
        <x:v>-35.5</x:v>
      </x:c>
      <x:c r="L477" s="82" t="n">
        <x:v>34.5</x:v>
      </x:c>
      <x:c r="M477" s="82" t="n">
        <x:v>24.7</x:v>
      </x:c>
      <x:c r="N477" s="86" t="n">
        <x:v>970</x:v>
      </x:c>
      <x:c r="O477" s="90" t="n">
        <x:v>6.43</x:v>
      </x:c>
      <x:c r="P477" s="150" t="n">
        <x:v>3.92</x:v>
      </x:c>
      <x:c r="Q477" s="86" t="n">
        <x:v>19</x:v>
      </x:c>
      <x:c r="R477" s="32"/>
      <x:c r="S477" s="32" t="str">
        <x:v>ok</x:v>
      </x:c>
      <x:c r="T477" s="32" t="str">
        <x:v>ok</x:v>
      </x:c>
      <x:c r="U477" s="32" t="str">
        <x:v>ok</x:v>
      </x:c>
      <x:c r="V477" s="32" t="str">
        <x:v>ok</x:v>
      </x:c>
      <x:c r="W477" s="154" t="str">
        <x:v>{"schema_version":1,"imei":"862323089930718","timestamp":1786020653,"report_sequence":20,"task_version":"rice_tension_soil_demo","sensor_mode":"tension_soil","soil_moisture_percent":34.5,"soil_temperature_c":24.7,"soil_ec_us_cm":970,"soil_ph":6.43,"battery_mv":3920,"csq":19,"soil_rs485_status":"ok","cycle_status":"ok","soil_tension_kpa":-35.5,"soil_tension_rs485_status":"ok"}</x:v>
      </x:c>
    </x:row>
    <x:row r="478">
      <x:c r="A478" s="72" t="n">
        <x:v>46240.86866898148</x:v>
      </x:c>
      <x:c r="B478" s="72" t="n">
        <x:v>46240.86868287037</x:v>
      </x:c>
      <x:c r="C478" s="32" t="str">
        <x:v>P19</x:v>
      </x:c>
      <x:c r="D478" s="32" t="str">
        <x:v>B4-W0-V1</x:v>
      </x:c>
      <x:c r="E478" s="32" t="str">
        <x:v>B4</x:v>
      </x:c>
      <x:c r="F478" s="32" t="str">
        <x:v>W0</x:v>
      </x:c>
      <x:c r="G478" s="32" t="str">
        <x:v>V1</x:v>
      </x:c>
      <x:c r="H478" s="32" t="str">
        <x:v>water_soil</x:v>
      </x:c>
      <x:c r="I478" s="32" t="str">
        <x:v>862323089930719</x:v>
      </x:c>
      <x:c r="J478" s="82" t="n">
        <x:v>34.3</x:v>
      </x:c>
      <x:c r="K478" s="82"/>
      <x:c r="L478" s="82" t="n">
        <x:v>35.9</x:v>
      </x:c>
      <x:c r="M478" s="82" t="n">
        <x:v>24.8</x:v>
      </x:c>
      <x:c r="N478" s="86" t="n">
        <x:v>989</x:v>
      </x:c>
      <x:c r="O478" s="90" t="n">
        <x:v>6.48</x:v>
      </x:c>
      <x:c r="P478" s="150" t="n">
        <x:v>3.938</x:v>
      </x:c>
      <x:c r="Q478" s="86" t="n">
        <x:v>20</x:v>
      </x:c>
      <x:c r="R478" s="32" t="str">
        <x:v>ok</x:v>
      </x:c>
      <x:c r="S478" s="32"/>
      <x:c r="T478" s="32" t="str">
        <x:v>ok</x:v>
      </x:c>
      <x:c r="U478" s="32" t="str">
        <x:v>ok</x:v>
      </x:c>
      <x:c r="V478" s="32" t="str">
        <x:v>ok</x:v>
      </x:c>
      <x:c r="W478" s="154" t="str">
        <x:v>{"schema_version":1,"imei":"862323089930719","timestamp":1786020653,"report_sequence":20,"task_version":"rice_w0_water_soil_demo","sensor_mode":"water_soil","soil_moisture_percent":35.9,"soil_temperature_c":24.8,"soil_ec_us_cm":989,"soil_ph":6.48,"battery_mv":3938,"csq":20,"soil_rs485_status":"ok","cycle_status":"ok","water_level_mm":34.3,"water_4_20ma_status":"ok"}</x:v>
      </x:c>
    </x:row>
    <x:row r="479">
      <x:c r="A479" s="72" t="n">
        <x:v>46240.86866898148</x:v>
      </x:c>
      <x:c r="B479" s="72" t="n">
        <x:v>46240.86868287037</x:v>
      </x:c>
      <x:c r="C479" s="32" t="str">
        <x:v>P20</x:v>
      </x:c>
      <x:c r="D479" s="32" t="str">
        <x:v>B4-W0-V2</x:v>
      </x:c>
      <x:c r="E479" s="32" t="str">
        <x:v>B4</x:v>
      </x:c>
      <x:c r="F479" s="32" t="str">
        <x:v>W0</x:v>
      </x:c>
      <x:c r="G479" s="32" t="str">
        <x:v>V2</x:v>
      </x:c>
      <x:c r="H479" s="32" t="str">
        <x:v>water_soil</x:v>
      </x:c>
      <x:c r="I479" s="32" t="str">
        <x:v>862323089930720</x:v>
      </x:c>
      <x:c r="J479" s="82" t="n">
        <x:v>26.4</x:v>
      </x:c>
      <x:c r="K479" s="82"/>
      <x:c r="L479" s="82" t="n">
        <x:v>37.4</x:v>
      </x:c>
      <x:c r="M479" s="82" t="n">
        <x:v>24.9</x:v>
      </x:c>
      <x:c r="N479" s="86" t="n">
        <x:v>1009</x:v>
      </x:c>
      <x:c r="O479" s="90" t="n">
        <x:v>6.29</x:v>
      </x:c>
      <x:c r="P479" s="150" t="n">
        <x:v>3.956</x:v>
      </x:c>
      <x:c r="Q479" s="86" t="n">
        <x:v>21</x:v>
      </x:c>
      <x:c r="R479" s="32" t="str">
        <x:v>ok</x:v>
      </x:c>
      <x:c r="S479" s="32"/>
      <x:c r="T479" s="32" t="str">
        <x:v>ok</x:v>
      </x:c>
      <x:c r="U479" s="32" t="str">
        <x:v>ok</x:v>
      </x:c>
      <x:c r="V479" s="32" t="str">
        <x:v>ok</x:v>
      </x:c>
      <x:c r="W479" s="154" t="str">
        <x:v>{"schema_version":1,"imei":"862323089930720","timestamp":1786020653,"report_sequence":20,"task_version":"rice_w0_water_soil_demo","sensor_mode":"water_soil","soil_moisture_percent":37.4,"soil_temperature_c":24.9,"soil_ec_us_cm":1009,"soil_ph":6.29,"battery_mv":3956,"csq":21,"soil_rs485_status":"ok","cycle_status":"ok","water_level_mm":26.4,"water_4_20ma_status":"ok"}</x:v>
      </x:c>
    </x:row>
    <x:row r="480">
      <x:c r="A480" s="72" t="n">
        <x:v>46240.86866898148</x:v>
      </x:c>
      <x:c r="B480" s="72" t="n">
        <x:v>46240.86868287037</x:v>
      </x:c>
      <x:c r="C480" s="32" t="str">
        <x:v>P21</x:v>
      </x:c>
      <x:c r="D480" s="32" t="str">
        <x:v>B4-W1-V1</x:v>
      </x:c>
      <x:c r="E480" s="32" t="str">
        <x:v>B4</x:v>
      </x:c>
      <x:c r="F480" s="32" t="str">
        <x:v>W1</x:v>
      </x:c>
      <x:c r="G480" s="32" t="str">
        <x:v>V1</x:v>
      </x:c>
      <x:c r="H480" s="32" t="str">
        <x:v>tension_soil</x:v>
      </x:c>
      <x:c r="I480" s="32" t="str">
        <x:v>862323089930721</x:v>
      </x:c>
      <x:c r="J480" s="82"/>
      <x:c r="K480" s="82" t="n">
        <x:v>-23.9</x:v>
      </x:c>
      <x:c r="L480" s="82" t="n">
        <x:v>38.9</x:v>
      </x:c>
      <x:c r="M480" s="82" t="n">
        <x:v>25.1</x:v>
      </x:c>
      <x:c r="N480" s="86" t="n">
        <x:v>1030</x:v>
      </x:c>
      <x:c r="O480" s="90" t="n">
        <x:v>6.35</x:v>
      </x:c>
      <x:c r="P480" s="150" t="n">
        <x:v>3.974</x:v>
      </x:c>
      <x:c r="Q480" s="86" t="n">
        <x:v>22</x:v>
      </x:c>
      <x:c r="R480" s="32"/>
      <x:c r="S480" s="32" t="str">
        <x:v>ok</x:v>
      </x:c>
      <x:c r="T480" s="32" t="str">
        <x:v>ok</x:v>
      </x:c>
      <x:c r="U480" s="32" t="str">
        <x:v>ok</x:v>
      </x:c>
      <x:c r="V480" s="32" t="str">
        <x:v>ok</x:v>
      </x:c>
      <x:c r="W480" s="154" t="str">
        <x:v>{"schema_version":1,"imei":"862323089930721","timestamp":1786020653,"report_sequence":20,"task_version":"rice_tension_soil_demo","sensor_mode":"tension_soil","soil_moisture_percent":38.9,"soil_temperature_c":25.1,"soil_ec_us_cm":1030,"soil_ph":6.35,"battery_mv":3974,"csq":22,"soil_rs485_status":"ok","cycle_status":"ok","soil_tension_kpa":-23.9,"soil_tension_rs485_status":"ok"}</x:v>
      </x:c>
    </x:row>
    <x:row r="481">
      <x:c r="A481" s="72" t="n">
        <x:v>46240.86866898148</x:v>
      </x:c>
      <x:c r="B481" s="72" t="n">
        <x:v>46240.86868287037</x:v>
      </x:c>
      <x:c r="C481" s="32" t="str">
        <x:v>P22</x:v>
      </x:c>
      <x:c r="D481" s="32" t="str">
        <x:v>B4-W1-V2</x:v>
      </x:c>
      <x:c r="E481" s="32" t="str">
        <x:v>B4</x:v>
      </x:c>
      <x:c r="F481" s="32" t="str">
        <x:v>W1</x:v>
      </x:c>
      <x:c r="G481" s="32" t="str">
        <x:v>V2</x:v>
      </x:c>
      <x:c r="H481" s="32" t="str">
        <x:v>tension_soil</x:v>
      </x:c>
      <x:c r="I481" s="32" t="str">
        <x:v>862323089930722</x:v>
      </x:c>
      <x:c r="J481" s="82"/>
      <x:c r="K481" s="82" t="n">
        <x:v>-25.4</x:v>
      </x:c>
      <x:c r="L481" s="82" t="n">
        <x:v>40.4</x:v>
      </x:c>
      <x:c r="M481" s="82" t="n">
        <x:v>25.2</x:v>
      </x:c>
      <x:c r="N481" s="86" t="n">
        <x:v>1050</x:v>
      </x:c>
      <x:c r="O481" s="90" t="n">
        <x:v>6.41</x:v>
      </x:c>
      <x:c r="P481" s="150" t="n">
        <x:v>3.992</x:v>
      </x:c>
      <x:c r="Q481" s="86" t="n">
        <x:v>23</x:v>
      </x:c>
      <x:c r="R481" s="32"/>
      <x:c r="S481" s="32" t="str">
        <x:v>ok</x:v>
      </x:c>
      <x:c r="T481" s="32" t="str">
        <x:v>ok</x:v>
      </x:c>
      <x:c r="U481" s="32" t="str">
        <x:v>ok</x:v>
      </x:c>
      <x:c r="V481" s="32" t="str">
        <x:v>ok</x:v>
      </x:c>
      <x:c r="W481" s="154" t="str">
        <x:v>{"schema_version":1,"imei":"862323089930722","timestamp":1786020653,"report_sequence":20,"task_version":"rice_tension_soil_demo","sensor_mode":"tension_soil","soil_moisture_percent":40.4,"soil_temperature_c":25.2,"soil_ec_us_cm":1050,"soil_ph":6.41,"battery_mv":3992,"csq":23,"soil_rs485_status":"ok","cycle_status":"ok","soil_tension_kpa":-25.4,"soil_tension_rs485_status":"ok"}</x:v>
      </x:c>
    </x:row>
    <x:row r="482">
      <x:c r="A482" s="72" t="n">
        <x:v>46240.86866898148</x:v>
      </x:c>
      <x:c r="B482" s="72" t="n">
        <x:v>46240.86868287037</x:v>
      </x:c>
      <x:c r="C482" s="32" t="str">
        <x:v>P23</x:v>
      </x:c>
      <x:c r="D482" s="32" t="str">
        <x:v>B4-W2-V1</x:v>
      </x:c>
      <x:c r="E482" s="32" t="str">
        <x:v>B4</x:v>
      </x:c>
      <x:c r="F482" s="32" t="str">
        <x:v>W2</x:v>
      </x:c>
      <x:c r="G482" s="32" t="str">
        <x:v>V1</x:v>
      </x:c>
      <x:c r="H482" s="32" t="str">
        <x:v>tension_soil</x:v>
      </x:c>
      <x:c r="I482" s="32" t="str">
        <x:v>862323089930723</x:v>
      </x:c>
      <x:c r="J482" s="82"/>
      <x:c r="K482" s="82" t="n">
        <x:v>-37.8</x:v>
      </x:c>
      <x:c r="L482" s="82" t="n">
        <x:v>41.8</x:v>
      </x:c>
      <x:c r="M482" s="82" t="n">
        <x:v>25.3</x:v>
      </x:c>
      <x:c r="N482" s="86" t="n">
        <x:v>1071</x:v>
      </x:c>
      <x:c r="O482" s="90" t="n">
        <x:v>6.46</x:v>
      </x:c>
      <x:c r="P482" s="150" t="n">
        <x:v>4.01</x:v>
      </x:c>
      <x:c r="Q482" s="86" t="n">
        <x:v>24</x:v>
      </x:c>
      <x:c r="R482" s="32"/>
      <x:c r="S482" s="32" t="str">
        <x:v>ok</x:v>
      </x:c>
      <x:c r="T482" s="32" t="str">
        <x:v>ok</x:v>
      </x:c>
      <x:c r="U482" s="32" t="str">
        <x:v>ok</x:v>
      </x:c>
      <x:c r="V482" s="32" t="str">
        <x:v>ok</x:v>
      </x:c>
      <x:c r="W482" s="154" t="str">
        <x:v>{"schema_version":1,"imei":"862323089930723","timestamp":1786020653,"report_sequence":20,"task_version":"rice_tension_soil_demo","sensor_mode":"tension_soil","soil_moisture_percent":41.8,"soil_temperature_c":25.3,"soil_ec_us_cm":1071,"soil_ph":6.46,"battery_mv":4010,"csq":24,"soil_rs485_status":"ok","cycle_status":"ok","soil_tension_kpa":-37.8,"soil_tension_rs485_status":"ok"}</x:v>
      </x:c>
    </x:row>
    <x:row r="483">
      <x:c r="A483" s="72" t="n">
        <x:v>46240.86866898148</x:v>
      </x:c>
      <x:c r="B483" s="72" t="n">
        <x:v>46240.86868287037</x:v>
      </x:c>
      <x:c r="C483" s="32" t="str">
        <x:v>P24</x:v>
      </x:c>
      <x:c r="D483" s="32" t="str">
        <x:v>B4-W2-V2</x:v>
      </x:c>
      <x:c r="E483" s="32" t="str">
        <x:v>B4</x:v>
      </x:c>
      <x:c r="F483" s="32" t="str">
        <x:v>W2</x:v>
      </x:c>
      <x:c r="G483" s="32" t="str">
        <x:v>V2</x:v>
      </x:c>
      <x:c r="H483" s="32" t="str">
        <x:v>tension_soil</x:v>
      </x:c>
      <x:c r="I483" s="32" t="str">
        <x:v>862323089930724</x:v>
      </x:c>
      <x:c r="J483" s="82"/>
      <x:c r="K483" s="82" t="n">
        <x:v>-39.3</x:v>
      </x:c>
      <x:c r="L483" s="82" t="n">
        <x:v>35.3</x:v>
      </x:c>
      <x:c r="M483" s="82" t="n">
        <x:v>25.4</x:v>
      </x:c>
      <x:c r="N483" s="86" t="n">
        <x:v>1090</x:v>
      </x:c>
      <x:c r="O483" s="90" t="n">
        <x:v>6.52</x:v>
      </x:c>
      <x:c r="P483" s="150" t="n">
        <x:v>3.92</x:v>
      </x:c>
      <x:c r="Q483" s="86" t="n">
        <x:v>17</x:v>
      </x:c>
      <x:c r="R483" s="32"/>
      <x:c r="S483" s="32" t="str">
        <x:v>ok</x:v>
      </x:c>
      <x:c r="T483" s="32" t="str">
        <x:v>ok</x:v>
      </x:c>
      <x:c r="U483" s="32" t="str">
        <x:v>ok</x:v>
      </x:c>
      <x:c r="V483" s="32" t="str">
        <x:v>ok</x:v>
      </x:c>
      <x:c r="W483" s="154" t="str">
        <x:v>{"schema_version":1,"imei":"862323089930724","timestamp":1786020653,"report_sequence":20,"task_version":"rice_tension_soil_demo","sensor_mode":"tension_soil","soil_moisture_percent":35.3,"soil_temperature_c":25.4,"soil_ec_us_cm":1090,"soil_ph":6.52,"battery_mv":3920,"csq":17,"soil_rs485_status":"ok","cycle_status":"ok","soil_tension_kpa":-39.3,"soil_tension_rs485_status":"ok"}</x:v>
      </x:c>
    </x:row>
    <x:row r="484">
      <x:c r="A484" s="72" t="n">
        <x:v>46240.872141203705</x:v>
      </x:c>
      <x:c r="B484" s="72" t="n">
        <x:v>46240.87215509259</x:v>
      </x:c>
      <x:c r="C484" s="32" t="str">
        <x:v>P01</x:v>
      </x:c>
      <x:c r="D484" s="32" t="str">
        <x:v>B1-W0-V1</x:v>
      </x:c>
      <x:c r="E484" s="32" t="str">
        <x:v>B1</x:v>
      </x:c>
      <x:c r="F484" s="32" t="str">
        <x:v>W0</x:v>
      </x:c>
      <x:c r="G484" s="32" t="str">
        <x:v>V1</x:v>
      </x:c>
      <x:c r="H484" s="32" t="str">
        <x:v>water_soil</x:v>
      </x:c>
      <x:c r="I484" s="32" t="str">
        <x:v>862323089930701</x:v>
      </x:c>
      <x:c r="J484" s="82" t="n">
        <x:v>35.1</x:v>
      </x:c>
      <x:c r="K484" s="82"/>
      <x:c r="L484" s="82" t="n">
        <x:v>36.6</x:v>
      </x:c>
      <x:c r="M484" s="82" t="n">
        <x:v>25.5</x:v>
      </x:c>
      <x:c r="N484" s="86" t="n">
        <x:v>821</x:v>
      </x:c>
      <x:c r="O484" s="90" t="n">
        <x:v>6.37</x:v>
      </x:c>
      <x:c r="P484" s="150" t="n">
        <x:v>3.938</x:v>
      </x:c>
      <x:c r="Q484" s="86" t="n">
        <x:v>18</x:v>
      </x:c>
      <x:c r="R484" s="32" t="str">
        <x:v>ok</x:v>
      </x:c>
      <x:c r="S484" s="32"/>
      <x:c r="T484" s="32" t="str">
        <x:v>ok</x:v>
      </x:c>
      <x:c r="U484" s="32" t="str">
        <x:v>ok</x:v>
      </x:c>
      <x:c r="V484" s="32" t="str">
        <x:v>ok</x:v>
      </x:c>
      <x:c r="W484" s="154" t="str">
        <x:v>{"schema_version":1,"imei":"862323089930701","timestamp":1786020953,"report_sequence":21,"task_version":"rice_w0_water_soil_demo","sensor_mode":"water_soil","soil_moisture_percent":36.6,"soil_temperature_c":25.5,"soil_ec_us_cm":821,"soil_ph":6.37,"battery_mv":3938,"csq":18,"soil_rs485_status":"ok","cycle_status":"ok","water_level_mm":35.1,"water_4_20ma_status":"ok"}</x:v>
      </x:c>
    </x:row>
    <x:row r="485">
      <x:c r="A485" s="72" t="n">
        <x:v>46240.872141203705</x:v>
      </x:c>
      <x:c r="B485" s="72" t="n">
        <x:v>46240.87215509259</x:v>
      </x:c>
      <x:c r="C485" s="32" t="str">
        <x:v>P02</x:v>
      </x:c>
      <x:c r="D485" s="32" t="str">
        <x:v>B1-W0-V2</x:v>
      </x:c>
      <x:c r="E485" s="32" t="str">
        <x:v>B1</x:v>
      </x:c>
      <x:c r="F485" s="32" t="str">
        <x:v>W0</x:v>
      </x:c>
      <x:c r="G485" s="32" t="str">
        <x:v>V2</x:v>
      </x:c>
      <x:c r="H485" s="32" t="str">
        <x:v>water_soil</x:v>
      </x:c>
      <x:c r="I485" s="32" t="str">
        <x:v>862323089930702</x:v>
      </x:c>
      <x:c r="J485" s="82" t="n">
        <x:v>38.7</x:v>
      </x:c>
      <x:c r="K485" s="82"/>
      <x:c r="L485" s="82" t="n">
        <x:v>37.9</x:v>
      </x:c>
      <x:c r="M485" s="82" t="n">
        <x:v>25.6</x:v>
      </x:c>
      <x:c r="N485" s="86" t="n">
        <x:v>837</x:v>
      </x:c>
      <x:c r="O485" s="90" t="n">
        <x:v>6.43</x:v>
      </x:c>
      <x:c r="P485" s="150" t="n">
        <x:v>3.956</x:v>
      </x:c>
      <x:c r="Q485" s="86" t="n">
        <x:v>19</x:v>
      </x:c>
      <x:c r="R485" s="32" t="str">
        <x:v>ok</x:v>
      </x:c>
      <x:c r="S485" s="32"/>
      <x:c r="T485" s="32" t="str">
        <x:v>ok</x:v>
      </x:c>
      <x:c r="U485" s="32" t="str">
        <x:v>ok</x:v>
      </x:c>
      <x:c r="V485" s="32" t="str">
        <x:v>ok</x:v>
      </x:c>
      <x:c r="W485" s="154" t="str">
        <x:v>{"schema_version":1,"imei":"862323089930702","timestamp":1786020953,"report_sequence":21,"task_version":"rice_w0_water_soil_demo","sensor_mode":"water_soil","soil_moisture_percent":37.9,"soil_temperature_c":25.6,"soil_ec_us_cm":837,"soil_ph":6.43,"battery_mv":3956,"csq":19,"soil_rs485_status":"ok","cycle_status":"ok","water_level_mm":38.7,"water_4_20ma_status":"ok"}</x:v>
      </x:c>
    </x:row>
    <x:row r="486">
      <x:c r="A486" s="72" t="n">
        <x:v>46240.872141203705</x:v>
      </x:c>
      <x:c r="B486" s="72" t="n">
        <x:v>46240.87215509259</x:v>
      </x:c>
      <x:c r="C486" s="32" t="str">
        <x:v>P03</x:v>
      </x:c>
      <x:c r="D486" s="32" t="str">
        <x:v>B1-W1-V1</x:v>
      </x:c>
      <x:c r="E486" s="32" t="str">
        <x:v>B1</x:v>
      </x:c>
      <x:c r="F486" s="32" t="str">
        <x:v>W1</x:v>
      </x:c>
      <x:c r="G486" s="32" t="str">
        <x:v>V1</x:v>
      </x:c>
      <x:c r="H486" s="32" t="str">
        <x:v>tension_soil</x:v>
      </x:c>
      <x:c r="I486" s="32" t="str">
        <x:v>862323089930703</x:v>
      </x:c>
      <x:c r="J486" s="82"/>
      <x:c r="K486" s="82" t="n">
        <x:v>-28</x:v>
      </x:c>
      <x:c r="L486" s="82" t="n">
        <x:v>39</x:v>
      </x:c>
      <x:c r="M486" s="82" t="n">
        <x:v>25.6</x:v>
      </x:c>
      <x:c r="N486" s="86" t="n">
        <x:v>851</x:v>
      </x:c>
      <x:c r="O486" s="90" t="n">
        <x:v>6.48</x:v>
      </x:c>
      <x:c r="P486" s="150" t="n">
        <x:v>3.974</x:v>
      </x:c>
      <x:c r="Q486" s="86" t="n">
        <x:v>20</x:v>
      </x:c>
      <x:c r="R486" s="32"/>
      <x:c r="S486" s="32" t="str">
        <x:v>ok</x:v>
      </x:c>
      <x:c r="T486" s="32" t="str">
        <x:v>ok</x:v>
      </x:c>
      <x:c r="U486" s="32" t="str">
        <x:v>ok</x:v>
      </x:c>
      <x:c r="V486" s="32" t="str">
        <x:v>ok</x:v>
      </x:c>
      <x:c r="W486" s="154" t="str">
        <x:v>{"schema_version":1,"imei":"862323089930703","timestamp":1786020953,"report_sequence":21,"task_version":"rice_tension_soil_demo","sensor_mode":"tension_soil","soil_moisture_percent":39,"soil_temperature_c":25.6,"soil_ec_us_cm":851,"soil_ph":6.48,"battery_mv":3974,"csq":20,"soil_rs485_status":"ok","cycle_status":"ok","soil_tension_kpa":-28,"soil_tension_rs485_status":"ok"}</x:v>
      </x:c>
    </x:row>
    <x:row r="487">
      <x:c r="A487" s="72" t="n">
        <x:v>46240.872141203705</x:v>
      </x:c>
      <x:c r="B487" s="72" t="n">
        <x:v>46240.87215509259</x:v>
      </x:c>
      <x:c r="C487" s="32" t="str">
        <x:v>P04</x:v>
      </x:c>
      <x:c r="D487" s="32" t="str">
        <x:v>B1-W1-V2</x:v>
      </x:c>
      <x:c r="E487" s="32" t="str">
        <x:v>B1</x:v>
      </x:c>
      <x:c r="F487" s="32" t="str">
        <x:v>W1</x:v>
      </x:c>
      <x:c r="G487" s="32" t="str">
        <x:v>V2</x:v>
      </x:c>
      <x:c r="H487" s="32" t="str">
        <x:v>tension_soil</x:v>
      </x:c>
      <x:c r="I487" s="32" t="str">
        <x:v>862323089930704</x:v>
      </x:c>
      <x:c r="J487" s="82"/>
      <x:c r="K487" s="82" t="n">
        <x:v>-29</x:v>
      </x:c>
      <x:c r="L487" s="82" t="n">
        <x:v>40</x:v>
      </x:c>
      <x:c r="M487" s="82" t="n">
        <x:v>25.6</x:v>
      </x:c>
      <x:c r="N487" s="86" t="n">
        <x:v>863</x:v>
      </x:c>
      <x:c r="O487" s="90" t="n">
        <x:v>6.53</x:v>
      </x:c>
      <x:c r="P487" s="150" t="n">
        <x:v>3.992</x:v>
      </x:c>
      <x:c r="Q487" s="86" t="n">
        <x:v>21</x:v>
      </x:c>
      <x:c r="R487" s="32"/>
      <x:c r="S487" s="32" t="str">
        <x:v>ok</x:v>
      </x:c>
      <x:c r="T487" s="32" t="str">
        <x:v>ok</x:v>
      </x:c>
      <x:c r="U487" s="32" t="str">
        <x:v>ok</x:v>
      </x:c>
      <x:c r="V487" s="32" t="str">
        <x:v>ok</x:v>
      </x:c>
      <x:c r="W487" s="154" t="str">
        <x:v>{"schema_version":1,"imei":"862323089930704","timestamp":1786020953,"report_sequence":21,"task_version":"rice_tension_soil_demo","sensor_mode":"tension_soil","soil_moisture_percent":40,"soil_temperature_c":25.6,"soil_ec_us_cm":863,"soil_ph":6.53,"battery_mv":3992,"csq":21,"soil_rs485_status":"ok","cycle_status":"ok","soil_tension_kpa":-29,"soil_tension_rs485_status":"ok"}</x:v>
      </x:c>
    </x:row>
    <x:row r="488">
      <x:c r="A488" s="72" t="n">
        <x:v>46240.872141203705</x:v>
      </x:c>
      <x:c r="B488" s="72" t="n">
        <x:v>46240.87215509259</x:v>
      </x:c>
      <x:c r="C488" s="32" t="str">
        <x:v>P05</x:v>
      </x:c>
      <x:c r="D488" s="32" t="str">
        <x:v>B1-W2-V1</x:v>
      </x:c>
      <x:c r="E488" s="32" t="str">
        <x:v>B1</x:v>
      </x:c>
      <x:c r="F488" s="32" t="str">
        <x:v>W2</x:v>
      </x:c>
      <x:c r="G488" s="32" t="str">
        <x:v>V1</x:v>
      </x:c>
      <x:c r="H488" s="32" t="str">
        <x:v>tension_soil</x:v>
      </x:c>
      <x:c r="I488" s="32" t="str">
        <x:v>862323089930705</x:v>
      </x:c>
      <x:c r="J488" s="82"/>
      <x:c r="K488" s="82" t="n">
        <x:v>-35.8</x:v>
      </x:c>
      <x:c r="L488" s="82" t="n">
        <x:v>40.8</x:v>
      </x:c>
      <x:c r="M488" s="82" t="n">
        <x:v>25.6</x:v>
      </x:c>
      <x:c r="N488" s="86" t="n">
        <x:v>872</x:v>
      </x:c>
      <x:c r="O488" s="90" t="n">
        <x:v>6.33</x:v>
      </x:c>
      <x:c r="P488" s="150" t="n">
        <x:v>4.01</x:v>
      </x:c>
      <x:c r="Q488" s="86" t="n">
        <x:v>22</x:v>
      </x:c>
      <x:c r="R488" s="32"/>
      <x:c r="S488" s="32" t="str">
        <x:v>ok</x:v>
      </x:c>
      <x:c r="T488" s="32" t="str">
        <x:v>ok</x:v>
      </x:c>
      <x:c r="U488" s="32" t="str">
        <x:v>ok</x:v>
      </x:c>
      <x:c r="V488" s="32" t="str">
        <x:v>ok</x:v>
      </x:c>
      <x:c r="W488" s="154" t="str">
        <x:v>{"schema_version":1,"imei":"862323089930705","timestamp":1786020953,"report_sequence":21,"task_version":"rice_tension_soil_demo","sensor_mode":"tension_soil","soil_moisture_percent":40.8,"soil_temperature_c":25.6,"soil_ec_us_cm":872,"soil_ph":6.33,"battery_mv":4010,"csq":22,"soil_rs485_status":"ok","cycle_status":"ok","soil_tension_kpa":-35.8,"soil_tension_rs485_status":"ok"}</x:v>
      </x:c>
    </x:row>
    <x:row r="489">
      <x:c r="A489" s="72" t="n">
        <x:v>46240.872141203705</x:v>
      </x:c>
      <x:c r="B489" s="72" t="n">
        <x:v>46240.87215509259</x:v>
      </x:c>
      <x:c r="C489" s="32" t="str">
        <x:v>P06</x:v>
      </x:c>
      <x:c r="D489" s="32" t="str">
        <x:v>B1-W2-V2</x:v>
      </x:c>
      <x:c r="E489" s="32" t="str">
        <x:v>B1</x:v>
      </x:c>
      <x:c r="F489" s="32" t="str">
        <x:v>W2</x:v>
      </x:c>
      <x:c r="G489" s="32" t="str">
        <x:v>V2</x:v>
      </x:c>
      <x:c r="H489" s="32" t="str">
        <x:v>tension_soil</x:v>
      </x:c>
      <x:c r="I489" s="32" t="str">
        <x:v>862323089930706</x:v>
      </x:c>
      <x:c r="J489" s="82"/>
      <x:c r="K489" s="82" t="n">
        <x:v>-36.6</x:v>
      </x:c>
      <x:c r="L489" s="82" t="n">
        <x:v>41.6</x:v>
      </x:c>
      <x:c r="M489" s="82" t="n">
        <x:v>25.5</x:v>
      </x:c>
      <x:c r="N489" s="86" t="n">
        <x:v>880</x:v>
      </x:c>
      <x:c r="O489" s="90" t="n">
        <x:v>6.37</x:v>
      </x:c>
      <x:c r="P489" s="150" t="n">
        <x:v>3.92</x:v>
      </x:c>
      <x:c r="Q489" s="86" t="n">
        <x:v>23</x:v>
      </x:c>
      <x:c r="R489" s="32"/>
      <x:c r="S489" s="32" t="str">
        <x:v>ok</x:v>
      </x:c>
      <x:c r="T489" s="32" t="str">
        <x:v>ok</x:v>
      </x:c>
      <x:c r="U489" s="32" t="str">
        <x:v>ok</x:v>
      </x:c>
      <x:c r="V489" s="32" t="str">
        <x:v>ok</x:v>
      </x:c>
      <x:c r="W489" s="154" t="str">
        <x:v>{"schema_version":1,"imei":"862323089930706","timestamp":1786020953,"report_sequence":21,"task_version":"rice_tension_soil_demo","sensor_mode":"tension_soil","soil_moisture_percent":41.6,"soil_temperature_c":25.5,"soil_ec_us_cm":880,"soil_ph":6.37,"battery_mv":3920,"csq":23,"soil_rs485_status":"ok","cycle_status":"ok","soil_tension_kpa":-36.6,"soil_tension_rs485_status":"ok"}</x:v>
      </x:c>
    </x:row>
    <x:row r="490">
      <x:c r="A490" s="72" t="n">
        <x:v>46240.872141203705</x:v>
      </x:c>
      <x:c r="B490" s="72" t="n">
        <x:v>46240.87215509259</x:v>
      </x:c>
      <x:c r="C490" s="32" t="str">
        <x:v>P07</x:v>
      </x:c>
      <x:c r="D490" s="32" t="str">
        <x:v>B2-W0-V1</x:v>
      </x:c>
      <x:c r="E490" s="32" t="str">
        <x:v>B2</x:v>
      </x:c>
      <x:c r="F490" s="32" t="str">
        <x:v>W0</x:v>
      </x:c>
      <x:c r="G490" s="32" t="str">
        <x:v>V1</x:v>
      </x:c>
      <x:c r="H490" s="32" t="str">
        <x:v>water_soil</x:v>
      </x:c>
      <x:c r="I490" s="32" t="str">
        <x:v>862323089930707</x:v>
      </x:c>
      <x:c r="J490" s="82" t="n">
        <x:v>40.1</x:v>
      </x:c>
      <x:c r="K490" s="82"/>
      <x:c r="L490" s="82" t="n">
        <x:v>42.2</x:v>
      </x:c>
      <x:c r="M490" s="82" t="n">
        <x:v>25.4</x:v>
      </x:c>
      <x:c r="N490" s="86" t="n">
        <x:v>886</x:v>
      </x:c>
      <x:c r="O490" s="90" t="n">
        <x:v>6.42</x:v>
      </x:c>
      <x:c r="P490" s="150" t="n">
        <x:v>3.938</x:v>
      </x:c>
      <x:c r="Q490" s="86" t="n">
        <x:v>24</x:v>
      </x:c>
      <x:c r="R490" s="32" t="str">
        <x:v>ok</x:v>
      </x:c>
      <x:c r="S490" s="32"/>
      <x:c r="T490" s="32" t="str">
        <x:v>ok</x:v>
      </x:c>
      <x:c r="U490" s="32" t="str">
        <x:v>ok</x:v>
      </x:c>
      <x:c r="V490" s="32" t="str">
        <x:v>ok</x:v>
      </x:c>
      <x:c r="W490" s="154" t="str">
        <x:v>{"schema_version":1,"imei":"862323089930707","timestamp":1786020953,"report_sequence":21,"task_version":"rice_w0_water_soil_demo","sensor_mode":"water_soil","soil_moisture_percent":42.2,"soil_temperature_c":25.4,"soil_ec_us_cm":886,"soil_ph":6.42,"battery_mv":3938,"csq":24,"soil_rs485_status":"ok","cycle_status":"ok","water_level_mm":40.1,"water_4_20ma_status":"ok"}</x:v>
      </x:c>
    </x:row>
    <x:row r="491">
      <x:c r="A491" s="72" t="n">
        <x:v>46240.872141203705</x:v>
      </x:c>
      <x:c r="B491" s="72" t="n">
        <x:v>46240.87215509259</x:v>
      </x:c>
      <x:c r="C491" s="32" t="str">
        <x:v>P08</x:v>
      </x:c>
      <x:c r="D491" s="32" t="str">
        <x:v>B2-W0-V2</x:v>
      </x:c>
      <x:c r="E491" s="32" t="str">
        <x:v>B2</x:v>
      </x:c>
      <x:c r="F491" s="32" t="str">
        <x:v>W0</x:v>
      </x:c>
      <x:c r="G491" s="32" t="str">
        <x:v>V2</x:v>
      </x:c>
      <x:c r="H491" s="32" t="str">
        <x:v>water_soil</x:v>
      </x:c>
      <x:c r="I491" s="32" t="str">
        <x:v>862323089930708</x:v>
      </x:c>
      <x:c r="J491" s="82" t="n">
        <x:v>30.1</x:v>
      </x:c>
      <x:c r="K491" s="82"/>
      <x:c r="L491" s="82" t="n">
        <x:v>34.8</x:v>
      </x:c>
      <x:c r="M491" s="82" t="n">
        <x:v>25.3</x:v>
      </x:c>
      <x:c r="N491" s="86" t="n">
        <x:v>890</x:v>
      </x:c>
      <x:c r="O491" s="90" t="n">
        <x:v>6.46</x:v>
      </x:c>
      <x:c r="P491" s="150" t="n">
        <x:v>3.956</x:v>
      </x:c>
      <x:c r="Q491" s="86" t="n">
        <x:v>17</x:v>
      </x:c>
      <x:c r="R491" s="32" t="str">
        <x:v>ok</x:v>
      </x:c>
      <x:c r="S491" s="32"/>
      <x:c r="T491" s="32" t="str">
        <x:v>ok</x:v>
      </x:c>
      <x:c r="U491" s="32" t="str">
        <x:v>ok</x:v>
      </x:c>
      <x:c r="V491" s="32" t="str">
        <x:v>ok</x:v>
      </x:c>
      <x:c r="W491" s="154" t="str">
        <x:v>{"schema_version":1,"imei":"862323089930708","timestamp":1786020953,"report_sequence":21,"task_version":"rice_w0_water_soil_demo","sensor_mode":"water_soil","soil_moisture_percent":34.8,"soil_temperature_c":25.3,"soil_ec_us_cm":890,"soil_ph":6.46,"battery_mv":3956,"csq":17,"soil_rs485_status":"ok","cycle_status":"ok","water_level_mm":30.1,"water_4_20ma_status":"ok"}</x:v>
      </x:c>
    </x:row>
    <x:row r="492">
      <x:c r="A492" s="72" t="n">
        <x:v>46240.872141203705</x:v>
      </x:c>
      <x:c r="B492" s="72" t="n">
        <x:v>46240.87215509259</x:v>
      </x:c>
      <x:c r="C492" s="32" t="str">
        <x:v>P09</x:v>
      </x:c>
      <x:c r="D492" s="32" t="str">
        <x:v>B2-W1-V1</x:v>
      </x:c>
      <x:c r="E492" s="32" t="str">
        <x:v>B2</x:v>
      </x:c>
      <x:c r="F492" s="32" t="str">
        <x:v>W1</x:v>
      </x:c>
      <x:c r="G492" s="32" t="str">
        <x:v>V1</x:v>
      </x:c>
      <x:c r="H492" s="32" t="str">
        <x:v>tension_soil</x:v>
      </x:c>
      <x:c r="I492" s="32" t="str">
        <x:v>862323089930709</x:v>
      </x:c>
      <x:c r="J492" s="82"/>
      <x:c r="K492" s="82" t="n">
        <x:v>-27.3</x:v>
      </x:c>
      <x:c r="L492" s="82" t="n">
        <x:v>35.3</x:v>
      </x:c>
      <x:c r="M492" s="82" t="n">
        <x:v>25.2</x:v>
      </x:c>
      <x:c r="N492" s="86" t="n">
        <x:v>894</x:v>
      </x:c>
      <x:c r="O492" s="90" t="n">
        <x:v>6.51</x:v>
      </x:c>
      <x:c r="P492" s="150" t="n">
        <x:v>3.974</x:v>
      </x:c>
      <x:c r="Q492" s="86" t="n">
        <x:v>18</x:v>
      </x:c>
      <x:c r="R492" s="32"/>
      <x:c r="S492" s="32" t="str">
        <x:v>ok</x:v>
      </x:c>
      <x:c r="T492" s="32" t="str">
        <x:v>ok</x:v>
      </x:c>
      <x:c r="U492" s="32" t="str">
        <x:v>ok</x:v>
      </x:c>
      <x:c r="V492" s="32" t="str">
        <x:v>ok</x:v>
      </x:c>
      <x:c r="W492" s="154" t="str">
        <x:v>{"schema_version":1,"imei":"862323089930709","timestamp":1786020953,"report_sequence":21,"task_version":"rice_tension_soil_demo","sensor_mode":"tension_soil","soil_moisture_percent":35.3,"soil_temperature_c":25.2,"soil_ec_us_cm":894,"soil_ph":6.51,"battery_mv":3974,"csq":18,"soil_rs485_status":"ok","cycle_status":"ok","soil_tension_kpa":-27.3,"soil_tension_rs485_status":"ok"}</x:v>
      </x:c>
    </x:row>
    <x:row r="493">
      <x:c r="A493" s="72" t="n">
        <x:v>46240.872141203705</x:v>
      </x:c>
      <x:c r="B493" s="72" t="n">
        <x:v>46240.87215509259</x:v>
      </x:c>
      <x:c r="C493" s="32" t="str">
        <x:v>P10</x:v>
      </x:c>
      <x:c r="D493" s="32" t="str">
        <x:v>B2-W1-V2</x:v>
      </x:c>
      <x:c r="E493" s="32" t="str">
        <x:v>B2</x:v>
      </x:c>
      <x:c r="F493" s="32" t="str">
        <x:v>W1</x:v>
      </x:c>
      <x:c r="G493" s="32" t="str">
        <x:v>V2</x:v>
      </x:c>
      <x:c r="H493" s="32" t="str">
        <x:v>tension_soil</x:v>
      </x:c>
      <x:c r="I493" s="32" t="str">
        <x:v>862323089930710</x:v>
      </x:c>
      <x:c r="J493" s="82"/>
      <x:c r="K493" s="82" t="n">
        <x:v>-22.8</x:v>
      </x:c>
      <x:c r="L493" s="82" t="n">
        <x:v>35.8</x:v>
      </x:c>
      <x:c r="M493" s="82" t="n">
        <x:v>25.1</x:v>
      </x:c>
      <x:c r="N493" s="86" t="n">
        <x:v>897</x:v>
      </x:c>
      <x:c r="O493" s="90" t="n">
        <x:v>6.3</x:v>
      </x:c>
      <x:c r="P493" s="150" t="n">
        <x:v>3.992</x:v>
      </x:c>
      <x:c r="Q493" s="86" t="n">
        <x:v>19</x:v>
      </x:c>
      <x:c r="R493" s="32"/>
      <x:c r="S493" s="32" t="str">
        <x:v>ok</x:v>
      </x:c>
      <x:c r="T493" s="32" t="str">
        <x:v>ok</x:v>
      </x:c>
      <x:c r="U493" s="32" t="str">
        <x:v>ok</x:v>
      </x:c>
      <x:c r="V493" s="32" t="str">
        <x:v>ok</x:v>
      </x:c>
      <x:c r="W493" s="154" t="str">
        <x:v>{"schema_version":1,"imei":"862323089930710","timestamp":1786020953,"report_sequence":21,"task_version":"rice_tension_soil_demo","sensor_mode":"tension_soil","soil_moisture_percent":35.8,"soil_temperature_c":25.1,"soil_ec_us_cm":897,"soil_ph":6.3,"battery_mv":3992,"csq":19,"soil_rs485_status":"ok","cycle_status":"ok","soil_tension_kpa":-22.8,"soil_tension_rs485_status":"ok"}</x:v>
      </x:c>
    </x:row>
    <x:row r="494">
      <x:c r="A494" s="72" t="n">
        <x:v>46240.872141203705</x:v>
      </x:c>
      <x:c r="B494" s="72" t="n">
        <x:v>46240.87215509259</x:v>
      </x:c>
      <x:c r="C494" s="32" t="str">
        <x:v>P11</x:v>
      </x:c>
      <x:c r="D494" s="32" t="str">
        <x:v>B2-W2-V1</x:v>
      </x:c>
      <x:c r="E494" s="32" t="str">
        <x:v>B2</x:v>
      </x:c>
      <x:c r="F494" s="32" t="str">
        <x:v>W2</x:v>
      </x:c>
      <x:c r="G494" s="32" t="str">
        <x:v>V1</x:v>
      </x:c>
      <x:c r="H494" s="32" t="str">
        <x:v>tension_soil</x:v>
      </x:c>
      <x:c r="I494" s="32" t="str">
        <x:v>862323089930711</x:v>
      </x:c>
      <x:c r="J494" s="82"/>
      <x:c r="K494" s="82" t="n">
        <x:v>-34.4</x:v>
      </x:c>
      <x:c r="L494" s="82" t="n">
        <x:v>36.4</x:v>
      </x:c>
      <x:c r="M494" s="82" t="n">
        <x:v>24.9</x:v>
      </x:c>
      <x:c r="N494" s="86" t="n">
        <x:v>901</x:v>
      </x:c>
      <x:c r="O494" s="90" t="n">
        <x:v>6.34</x:v>
      </x:c>
      <x:c r="P494" s="150" t="n">
        <x:v>4.01</x:v>
      </x:c>
      <x:c r="Q494" s="86" t="n">
        <x:v>20</x:v>
      </x:c>
      <x:c r="R494" s="32"/>
      <x:c r="S494" s="32" t="str">
        <x:v>ok</x:v>
      </x:c>
      <x:c r="T494" s="32" t="str">
        <x:v>ok</x:v>
      </x:c>
      <x:c r="U494" s="32" t="str">
        <x:v>ok</x:v>
      </x:c>
      <x:c r="V494" s="32" t="str">
        <x:v>ok</x:v>
      </x:c>
      <x:c r="W494" s="154" t="str">
        <x:v>{"schema_version":1,"imei":"862323089930711","timestamp":1786020953,"report_sequence":21,"task_version":"rice_tension_soil_demo","sensor_mode":"tension_soil","soil_moisture_percent":36.4,"soil_temperature_c":24.9,"soil_ec_us_cm":901,"soil_ph":6.34,"battery_mv":4010,"csq":20,"soil_rs485_status":"ok","cycle_status":"ok","soil_tension_kpa":-34.4,"soil_tension_rs485_status":"ok"}</x:v>
      </x:c>
    </x:row>
    <x:row r="495">
      <x:c r="A495" s="72" t="n">
        <x:v>46240.872141203705</x:v>
      </x:c>
      <x:c r="B495" s="72" t="n">
        <x:v>46240.87215509259</x:v>
      </x:c>
      <x:c r="C495" s="32" t="str">
        <x:v>P12</x:v>
      </x:c>
      <x:c r="D495" s="32" t="str">
        <x:v>B2-W2-V2</x:v>
      </x:c>
      <x:c r="E495" s="32" t="str">
        <x:v>B2</x:v>
      </x:c>
      <x:c r="F495" s="32" t="str">
        <x:v>W2</x:v>
      </x:c>
      <x:c r="G495" s="32" t="str">
        <x:v>V2</x:v>
      </x:c>
      <x:c r="H495" s="32" t="str">
        <x:v>tension_soil</x:v>
      </x:c>
      <x:c r="I495" s="32" t="str">
        <x:v>862323089930712</x:v>
      </x:c>
      <x:c r="J495" s="82"/>
      <x:c r="K495" s="82" t="n">
        <x:v>-34.9</x:v>
      </x:c>
      <x:c r="L495" s="82" t="n">
        <x:v>36.9</x:v>
      </x:c>
      <x:c r="M495" s="82" t="n">
        <x:v>24.8</x:v>
      </x:c>
      <x:c r="N495" s="86" t="n">
        <x:v>905</x:v>
      </x:c>
      <x:c r="O495" s="90" t="n">
        <x:v>6.38</x:v>
      </x:c>
      <x:c r="P495" s="150" t="n">
        <x:v>3.92</x:v>
      </x:c>
      <x:c r="Q495" s="86" t="n">
        <x:v>21</x:v>
      </x:c>
      <x:c r="R495" s="32"/>
      <x:c r="S495" s="32" t="str">
        <x:v>ok</x:v>
      </x:c>
      <x:c r="T495" s="32" t="str">
        <x:v>ok</x:v>
      </x:c>
      <x:c r="U495" s="32" t="str">
        <x:v>ok</x:v>
      </x:c>
      <x:c r="V495" s="32" t="str">
        <x:v>ok</x:v>
      </x:c>
      <x:c r="W495" s="154" t="str">
        <x:v>{"schema_version":1,"imei":"862323089930712","timestamp":1786020953,"report_sequence":21,"task_version":"rice_tension_soil_demo","sensor_mode":"tension_soil","soil_moisture_percent":36.9,"soil_temperature_c":24.8,"soil_ec_us_cm":905,"soil_ph":6.38,"battery_mv":3920,"csq":21,"soil_rs485_status":"ok","cycle_status":"ok","soil_tension_kpa":-34.9,"soil_tension_rs485_status":"ok"}</x:v>
      </x:c>
    </x:row>
    <x:row r="496">
      <x:c r="A496" s="72" t="n">
        <x:v>46240.872141203705</x:v>
      </x:c>
      <x:c r="B496" s="72" t="n">
        <x:v>46240.87215509259</x:v>
      </x:c>
      <x:c r="C496" s="32" t="str">
        <x:v>P13</x:v>
      </x:c>
      <x:c r="D496" s="32" t="str">
        <x:v>B3-W0-V1</x:v>
      </x:c>
      <x:c r="E496" s="32" t="str">
        <x:v>B3</x:v>
      </x:c>
      <x:c r="F496" s="32" t="str">
        <x:v>W0</x:v>
      </x:c>
      <x:c r="G496" s="32" t="str">
        <x:v>V1</x:v>
      </x:c>
      <x:c r="H496" s="32" t="str">
        <x:v>water_soil</x:v>
      </x:c>
      <x:c r="I496" s="32" t="str">
        <x:v>862323089930713</x:v>
      </x:c>
      <x:c r="J496" s="82" t="n">
        <x:v>27.3</x:v>
      </x:c>
      <x:c r="K496" s="82"/>
      <x:c r="L496" s="82" t="n">
        <x:v>37.5</x:v>
      </x:c>
      <x:c r="M496" s="82" t="n">
        <x:v>24.7</x:v>
      </x:c>
      <x:c r="N496" s="86" t="n">
        <x:v>910</x:v>
      </x:c>
      <x:c r="O496" s="90" t="n">
        <x:v>6.43</x:v>
      </x:c>
      <x:c r="P496" s="150" t="n">
        <x:v>3.938</x:v>
      </x:c>
      <x:c r="Q496" s="86" t="n">
        <x:v>22</x:v>
      </x:c>
      <x:c r="R496" s="32" t="str">
        <x:v>ok</x:v>
      </x:c>
      <x:c r="S496" s="32"/>
      <x:c r="T496" s="32" t="str">
        <x:v>ok</x:v>
      </x:c>
      <x:c r="U496" s="32" t="str">
        <x:v>ok</x:v>
      </x:c>
      <x:c r="V496" s="32" t="str">
        <x:v>ok</x:v>
      </x:c>
      <x:c r="W496" s="154" t="str">
        <x:v>{"schema_version":1,"imei":"862323089930713","timestamp":1786020953,"report_sequence":21,"task_version":"rice_w0_water_soil_demo","sensor_mode":"water_soil","soil_moisture_percent":37.5,"soil_temperature_c":24.7,"soil_ec_us_cm":910,"soil_ph":6.43,"battery_mv":3938,"csq":22,"soil_rs485_status":"ok","cycle_status":"ok","water_level_mm":27.3,"water_4_20ma_status":"ok"}</x:v>
      </x:c>
    </x:row>
    <x:row r="497">
      <x:c r="A497" s="72" t="n">
        <x:v>46240.872141203705</x:v>
      </x:c>
      <x:c r="B497" s="72" t="n">
        <x:v>46240.87215509259</x:v>
      </x:c>
      <x:c r="C497" s="32" t="str">
        <x:v>P14</x:v>
      </x:c>
      <x:c r="D497" s="32" t="str">
        <x:v>B3-W0-V2</x:v>
      </x:c>
      <x:c r="E497" s="32" t="str">
        <x:v>B3</x:v>
      </x:c>
      <x:c r="F497" s="32" t="str">
        <x:v>W0</x:v>
      </x:c>
      <x:c r="G497" s="32" t="str">
        <x:v>V2</x:v>
      </x:c>
      <x:c r="H497" s="32" t="str">
        <x:v>water_soil</x:v>
      </x:c>
      <x:c r="I497" s="32" t="str">
        <x:v>862323089930714</x:v>
      </x:c>
      <x:c r="J497" s="82" t="n">
        <x:v>29.6</x:v>
      </x:c>
      <x:c r="K497" s="82"/>
      <x:c r="L497" s="82" t="n">
        <x:v>38.2</x:v>
      </x:c>
      <x:c r="M497" s="82" t="n">
        <x:v>24.7</x:v>
      </x:c>
      <x:c r="N497" s="86" t="n">
        <x:v>917</x:v>
      </x:c>
      <x:c r="O497" s="90" t="n">
        <x:v>6.47</x:v>
      </x:c>
      <x:c r="P497" s="150" t="n">
        <x:v>3.956</x:v>
      </x:c>
      <x:c r="Q497" s="86" t="n">
        <x:v>23</x:v>
      </x:c>
      <x:c r="R497" s="32" t="str">
        <x:v>ok</x:v>
      </x:c>
      <x:c r="S497" s="32"/>
      <x:c r="T497" s="32" t="str">
        <x:v>ok</x:v>
      </x:c>
      <x:c r="U497" s="32" t="str">
        <x:v>ok</x:v>
      </x:c>
      <x:c r="V497" s="32" t="str">
        <x:v>ok</x:v>
      </x:c>
      <x:c r="W497" s="154" t="str">
        <x:v>{"schema_version":1,"imei":"862323089930714","timestamp":1786020953,"report_sequence":21,"task_version":"rice_w0_water_soil_demo","sensor_mode":"water_soil","soil_moisture_percent":38.2,"soil_temperature_c":24.7,"soil_ec_us_cm":917,"soil_ph":6.47,"battery_mv":3956,"csq":23,"soil_rs485_status":"ok","cycle_status":"ok","water_level_mm":29.6,"water_4_20ma_status":"ok"}</x:v>
      </x:c>
    </x:row>
    <x:row r="498">
      <x:c r="A498" s="72" t="n">
        <x:v>46240.872141203705</x:v>
      </x:c>
      <x:c r="B498" s="72" t="n">
        <x:v>46240.87215509259</x:v>
      </x:c>
      <x:c r="C498" s="32" t="str">
        <x:v>P15</x:v>
      </x:c>
      <x:c r="D498" s="32" t="str">
        <x:v>B3-W1-V1</x:v>
      </x:c>
      <x:c r="E498" s="32" t="str">
        <x:v>B3</x:v>
      </x:c>
      <x:c r="F498" s="32" t="str">
        <x:v>W1</x:v>
      </x:c>
      <x:c r="G498" s="32" t="str">
        <x:v>V1</x:v>
      </x:c>
      <x:c r="H498" s="32" t="str">
        <x:v>tension_soil</x:v>
      </x:c>
      <x:c r="I498" s="32" t="str">
        <x:v>862323089930715</x:v>
      </x:c>
      <x:c r="J498" s="82"/>
      <x:c r="K498" s="82" t="n">
        <x:v>-21.1</x:v>
      </x:c>
      <x:c r="L498" s="82" t="n">
        <x:v>39.1</x:v>
      </x:c>
      <x:c r="M498" s="82" t="n">
        <x:v>24.6</x:v>
      </x:c>
      <x:c r="N498" s="86" t="n">
        <x:v>926</x:v>
      </x:c>
      <x:c r="O498" s="90" t="n">
        <x:v>6.27</x:v>
      </x:c>
      <x:c r="P498" s="150" t="n">
        <x:v>3.974</x:v>
      </x:c>
      <x:c r="Q498" s="86" t="n">
        <x:v>24</x:v>
      </x:c>
      <x:c r="R498" s="32"/>
      <x:c r="S498" s="32" t="str">
        <x:v>ok</x:v>
      </x:c>
      <x:c r="T498" s="32" t="str">
        <x:v>ok</x:v>
      </x:c>
      <x:c r="U498" s="32" t="str">
        <x:v>ok</x:v>
      </x:c>
      <x:c r="V498" s="32" t="str">
        <x:v>ok</x:v>
      </x:c>
      <x:c r="W498" s="154" t="str">
        <x:v>{"schema_version":1,"imei":"862323089930715","timestamp":1786020953,"report_sequence":21,"task_version":"rice_tension_soil_demo","sensor_mode":"tension_soil","soil_moisture_percent":39.1,"soil_temperature_c":24.6,"soil_ec_us_cm":926,"soil_ph":6.27,"battery_mv":3974,"csq":24,"soil_rs485_status":"ok","cycle_status":"ok","soil_tension_kpa":-21.1,"soil_tension_rs485_status":"ok"}</x:v>
      </x:c>
    </x:row>
    <x:row r="499">
      <x:c r="A499" s="72" t="n">
        <x:v>46240.872141203705</x:v>
      </x:c>
      <x:c r="B499" s="72" t="n">
        <x:v>46240.87215509259</x:v>
      </x:c>
      <x:c r="C499" s="32" t="str">
        <x:v>P16</x:v>
      </x:c>
      <x:c r="D499" s="32" t="str">
        <x:v>B3-W1-V2</x:v>
      </x:c>
      <x:c r="E499" s="32" t="str">
        <x:v>B3</x:v>
      </x:c>
      <x:c r="F499" s="32" t="str">
        <x:v>W1</x:v>
      </x:c>
      <x:c r="G499" s="32" t="str">
        <x:v>V2</x:v>
      </x:c>
      <x:c r="H499" s="32" t="str">
        <x:v>tension_soil</x:v>
      </x:c>
      <x:c r="I499" s="32" t="str">
        <x:v>862323089930716</x:v>
      </x:c>
      <x:c r="J499" s="82"/>
      <x:c r="K499" s="82" t="n">
        <x:v>-22</x:v>
      </x:c>
      <x:c r="L499" s="82" t="n">
        <x:v>32</x:v>
      </x:c>
      <x:c r="M499" s="82" t="n">
        <x:v>24.6</x:v>
      </x:c>
      <x:c r="N499" s="86" t="n">
        <x:v>937</x:v>
      </x:c>
      <x:c r="O499" s="90" t="n">
        <x:v>6.32</x:v>
      </x:c>
      <x:c r="P499" s="150" t="n">
        <x:v>3.992</x:v>
      </x:c>
      <x:c r="Q499" s="86" t="n">
        <x:v>17</x:v>
      </x:c>
      <x:c r="R499" s="32"/>
      <x:c r="S499" s="32" t="str">
        <x:v>ok</x:v>
      </x:c>
      <x:c r="T499" s="32" t="str">
        <x:v>ok</x:v>
      </x:c>
      <x:c r="U499" s="32" t="str">
        <x:v>ok</x:v>
      </x:c>
      <x:c r="V499" s="32" t="str">
        <x:v>ok</x:v>
      </x:c>
      <x:c r="W499" s="154" t="str">
        <x:v>{"schema_version":1,"imei":"862323089930716","timestamp":1786020953,"report_sequence":21,"task_version":"rice_tension_soil_demo","sensor_mode":"tension_soil","soil_moisture_percent":32,"soil_temperature_c":24.6,"soil_ec_us_cm":937,"soil_ph":6.32,"battery_mv":3992,"csq":17,"soil_rs485_status":"ok","cycle_status":"ok","soil_tension_kpa":-22,"soil_tension_rs485_status":"ok"}</x:v>
      </x:c>
    </x:row>
    <x:row r="500">
      <x:c r="A500" s="72" t="n">
        <x:v>46240.872141203705</x:v>
      </x:c>
      <x:c r="B500" s="72" t="n">
        <x:v>46240.87215509259</x:v>
      </x:c>
      <x:c r="C500" s="32" t="str">
        <x:v>P17</x:v>
      </x:c>
      <x:c r="D500" s="32" t="str">
        <x:v>B3-W2-V1</x:v>
      </x:c>
      <x:c r="E500" s="32" t="str">
        <x:v>B3</x:v>
      </x:c>
      <x:c r="F500" s="32" t="str">
        <x:v>W2</x:v>
      </x:c>
      <x:c r="G500" s="32" t="str">
        <x:v>V1</x:v>
      </x:c>
      <x:c r="H500" s="32" t="str">
        <x:v>tension_soil</x:v>
      </x:c>
      <x:c r="I500" s="32" t="str">
        <x:v>862323089930717</x:v>
      </x:c>
      <x:c r="J500" s="82"/>
      <x:c r="K500" s="82" t="n">
        <x:v>-34.1</x:v>
      </x:c>
      <x:c r="L500" s="82" t="n">
        <x:v>33.1</x:v>
      </x:c>
      <x:c r="M500" s="82" t="n">
        <x:v>24.6</x:v>
      </x:c>
      <x:c r="N500" s="86" t="n">
        <x:v>950</x:v>
      </x:c>
      <x:c r="O500" s="90" t="n">
        <x:v>6.37</x:v>
      </x:c>
      <x:c r="P500" s="150" t="n">
        <x:v>4.01</x:v>
      </x:c>
      <x:c r="Q500" s="86" t="n">
        <x:v>18</x:v>
      </x:c>
      <x:c r="R500" s="32"/>
      <x:c r="S500" s="32" t="str">
        <x:v>ok</x:v>
      </x:c>
      <x:c r="T500" s="32" t="str">
        <x:v>ok</x:v>
      </x:c>
      <x:c r="U500" s="32" t="str">
        <x:v>ok</x:v>
      </x:c>
      <x:c r="V500" s="32" t="str">
        <x:v>ok</x:v>
      </x:c>
      <x:c r="W500" s="154" t="str">
        <x:v>{"schema_version":1,"imei":"862323089930717","timestamp":1786020953,"report_sequence":21,"task_version":"rice_tension_soil_demo","sensor_mode":"tension_soil","soil_moisture_percent":33.1,"soil_temperature_c":24.6,"soil_ec_us_cm":950,"soil_ph":6.37,"battery_mv":4010,"csq":18,"soil_rs485_status":"ok","cycle_status":"ok","soil_tension_kpa":-34.1,"soil_tension_rs485_status":"ok"}</x:v>
      </x:c>
    </x:row>
    <x:row r="501">
      <x:c r="A501" s="72" t="n">
        <x:v>46240.872141203705</x:v>
      </x:c>
      <x:c r="B501" s="72" t="n">
        <x:v>46240.87215509259</x:v>
      </x:c>
      <x:c r="C501" s="32" t="str">
        <x:v>P18</x:v>
      </x:c>
      <x:c r="D501" s="32" t="str">
        <x:v>B3-W2-V2</x:v>
      </x:c>
      <x:c r="E501" s="32" t="str">
        <x:v>B3</x:v>
      </x:c>
      <x:c r="F501" s="32" t="str">
        <x:v>W2</x:v>
      </x:c>
      <x:c r="G501" s="32" t="str">
        <x:v>V2</x:v>
      </x:c>
      <x:c r="H501" s="32" t="str">
        <x:v>tension_soil</x:v>
      </x:c>
      <x:c r="I501" s="32" t="str">
        <x:v>862323089930718</x:v>
      </x:c>
      <x:c r="J501" s="82"/>
      <x:c r="K501" s="82" t="n">
        <x:v>-35.2</x:v>
      </x:c>
      <x:c r="L501" s="82" t="n">
        <x:v>34.2</x:v>
      </x:c>
      <x:c r="M501" s="82" t="n">
        <x:v>24.7</x:v>
      </x:c>
      <x:c r="N501" s="86" t="n">
        <x:v>965</x:v>
      </x:c>
      <x:c r="O501" s="90" t="n">
        <x:v>6.42</x:v>
      </x:c>
      <x:c r="P501" s="150" t="n">
        <x:v>3.92</x:v>
      </x:c>
      <x:c r="Q501" s="86" t="n">
        <x:v>19</x:v>
      </x:c>
      <x:c r="R501" s="32"/>
      <x:c r="S501" s="32" t="str">
        <x:v>ok</x:v>
      </x:c>
      <x:c r="T501" s="32" t="str">
        <x:v>ok</x:v>
      </x:c>
      <x:c r="U501" s="32" t="str">
        <x:v>ok</x:v>
      </x:c>
      <x:c r="V501" s="32" t="str">
        <x:v>ok</x:v>
      </x:c>
      <x:c r="W501" s="154" t="str">
        <x:v>{"schema_version":1,"imei":"862323089930718","timestamp":1786020953,"report_sequence":21,"task_version":"rice_tension_soil_demo","sensor_mode":"tension_soil","soil_moisture_percent":34.2,"soil_temperature_c":24.7,"soil_ec_us_cm":965,"soil_ph":6.42,"battery_mv":3920,"csq":19,"soil_rs485_status":"ok","cycle_status":"ok","soil_tension_kpa":-35.2,"soil_tension_rs485_status":"ok"}</x:v>
      </x:c>
    </x:row>
    <x:row r="502">
      <x:c r="A502" s="72" t="n">
        <x:v>46240.872141203705</x:v>
      </x:c>
      <x:c r="B502" s="72" t="n">
        <x:v>46240.87215509259</x:v>
      </x:c>
      <x:c r="C502" s="32" t="str">
        <x:v>P19</x:v>
      </x:c>
      <x:c r="D502" s="32" t="str">
        <x:v>B4-W0-V1</x:v>
      </x:c>
      <x:c r="E502" s="32" t="str">
        <x:v>B4</x:v>
      </x:c>
      <x:c r="F502" s="32" t="str">
        <x:v>W0</x:v>
      </x:c>
      <x:c r="G502" s="32" t="str">
        <x:v>V1</x:v>
      </x:c>
      <x:c r="H502" s="32" t="str">
        <x:v>water_soil</x:v>
      </x:c>
      <x:c r="I502" s="32" t="str">
        <x:v>862323089930719</x:v>
      </x:c>
      <x:c r="J502" s="82" t="n">
        <x:v>33.4</x:v>
      </x:c>
      <x:c r="K502" s="82"/>
      <x:c r="L502" s="82" t="n">
        <x:v>35.5</x:v>
      </x:c>
      <x:c r="M502" s="82" t="n">
        <x:v>24.7</x:v>
      </x:c>
      <x:c r="N502" s="86" t="n">
        <x:v>982</x:v>
      </x:c>
      <x:c r="O502" s="90" t="n">
        <x:v>6.48</x:v>
      </x:c>
      <x:c r="P502" s="150" t="n">
        <x:v>3.938</x:v>
      </x:c>
      <x:c r="Q502" s="86" t="n">
        <x:v>20</x:v>
      </x:c>
      <x:c r="R502" s="32" t="str">
        <x:v>ok</x:v>
      </x:c>
      <x:c r="S502" s="32"/>
      <x:c r="T502" s="32" t="str">
        <x:v>ok</x:v>
      </x:c>
      <x:c r="U502" s="32" t="str">
        <x:v>ok</x:v>
      </x:c>
      <x:c r="V502" s="32" t="str">
        <x:v>ok</x:v>
      </x:c>
      <x:c r="W502" s="154" t="str">
        <x:v>{"schema_version":1,"imei":"862323089930719","timestamp":1786020953,"report_sequence":21,"task_version":"rice_w0_water_soil_demo","sensor_mode":"water_soil","soil_moisture_percent":35.5,"soil_temperature_c":24.7,"soil_ec_us_cm":982,"soil_ph":6.48,"battery_mv":3938,"csq":20,"soil_rs485_status":"ok","cycle_status":"ok","water_level_mm":33.4,"water_4_20ma_status":"ok"}</x:v>
      </x:c>
    </x:row>
    <x:row r="503">
      <x:c r="A503" s="72" t="n">
        <x:v>46240.872141203705</x:v>
      </x:c>
      <x:c r="B503" s="72" t="n">
        <x:v>46240.87215509259</x:v>
      </x:c>
      <x:c r="C503" s="32" t="str">
        <x:v>P20</x:v>
      </x:c>
      <x:c r="D503" s="32" t="str">
        <x:v>B4-W0-V2</x:v>
      </x:c>
      <x:c r="E503" s="32" t="str">
        <x:v>B4</x:v>
      </x:c>
      <x:c r="F503" s="32" t="str">
        <x:v>W0</x:v>
      </x:c>
      <x:c r="G503" s="32" t="str">
        <x:v>V2</x:v>
      </x:c>
      <x:c r="H503" s="32" t="str">
        <x:v>water_soil</x:v>
      </x:c>
      <x:c r="I503" s="32" t="str">
        <x:v>862323089930720</x:v>
      </x:c>
      <x:c r="J503" s="82" t="n">
        <x:v>25.3</x:v>
      </x:c>
      <x:c r="K503" s="82"/>
      <x:c r="L503" s="82" t="n">
        <x:v>36.9</x:v>
      </x:c>
      <x:c r="M503" s="82" t="n">
        <x:v>24.8</x:v>
      </x:c>
      <x:c r="N503" s="86" t="n">
        <x:v>1001</x:v>
      </x:c>
      <x:c r="O503" s="90" t="n">
        <x:v>6.28</x:v>
      </x:c>
      <x:c r="P503" s="150" t="n">
        <x:v>3.956</x:v>
      </x:c>
      <x:c r="Q503" s="86" t="n">
        <x:v>21</x:v>
      </x:c>
      <x:c r="R503" s="32" t="str">
        <x:v>ok</x:v>
      </x:c>
      <x:c r="S503" s="32"/>
      <x:c r="T503" s="32" t="str">
        <x:v>ok</x:v>
      </x:c>
      <x:c r="U503" s="32" t="str">
        <x:v>ok</x:v>
      </x:c>
      <x:c r="V503" s="32" t="str">
        <x:v>ok</x:v>
      </x:c>
      <x:c r="W503" s="154" t="str">
        <x:v>{"schema_version":1,"imei":"862323089930720","timestamp":1786020953,"report_sequence":21,"task_version":"rice_w0_water_soil_demo","sensor_mode":"water_soil","soil_moisture_percent":36.9,"soil_temperature_c":24.8,"soil_ec_us_cm":1001,"soil_ph":6.28,"battery_mv":3956,"csq":21,"soil_rs485_status":"ok","cycle_status":"ok","water_level_mm":25.3,"water_4_20ma_status":"ok"}</x:v>
      </x:c>
    </x:row>
    <x:row r="504">
      <x:c r="A504" s="72" t="n">
        <x:v>46240.872141203705</x:v>
      </x:c>
      <x:c r="B504" s="72" t="n">
        <x:v>46240.87215509259</x:v>
      </x:c>
      <x:c r="C504" s="32" t="str">
        <x:v>P21</x:v>
      </x:c>
      <x:c r="D504" s="32" t="str">
        <x:v>B4-W1-V1</x:v>
      </x:c>
      <x:c r="E504" s="32" t="str">
        <x:v>B4</x:v>
      </x:c>
      <x:c r="F504" s="32" t="str">
        <x:v>W1</x:v>
      </x:c>
      <x:c r="G504" s="32" t="str">
        <x:v>V1</x:v>
      </x:c>
      <x:c r="H504" s="32" t="str">
        <x:v>tension_soil</x:v>
      </x:c>
      <x:c r="I504" s="32" t="str">
        <x:v>862323089930721</x:v>
      </x:c>
      <x:c r="J504" s="82"/>
      <x:c r="K504" s="82" t="n">
        <x:v>-23.4</x:v>
      </x:c>
      <x:c r="L504" s="82" t="n">
        <x:v>38.4</x:v>
      </x:c>
      <x:c r="M504" s="82" t="n">
        <x:v>24.9</x:v>
      </x:c>
      <x:c r="N504" s="86" t="n">
        <x:v>1021</x:v>
      </x:c>
      <x:c r="O504" s="90" t="n">
        <x:v>6.34</x:v>
      </x:c>
      <x:c r="P504" s="150" t="n">
        <x:v>3.974</x:v>
      </x:c>
      <x:c r="Q504" s="86" t="n">
        <x:v>22</x:v>
      </x:c>
      <x:c r="R504" s="32"/>
      <x:c r="S504" s="32" t="str">
        <x:v>ok</x:v>
      </x:c>
      <x:c r="T504" s="32" t="str">
        <x:v>ok</x:v>
      </x:c>
      <x:c r="U504" s="32" t="str">
        <x:v>ok</x:v>
      </x:c>
      <x:c r="V504" s="32" t="str">
        <x:v>ok</x:v>
      </x:c>
      <x:c r="W504" s="154" t="str">
        <x:v>{"schema_version":1,"imei":"862323089930721","timestamp":1786020953,"report_sequence":21,"task_version":"rice_tension_soil_demo","sensor_mode":"tension_soil","soil_moisture_percent":38.4,"soil_temperature_c":24.9,"soil_ec_us_cm":1021,"soil_ph":6.34,"battery_mv":3974,"csq":22,"soil_rs485_status":"ok","cycle_status":"ok","soil_tension_kpa":-23.4,"soil_tension_rs485_status":"ok"}</x:v>
      </x:c>
    </x:row>
    <x:row r="505">
      <x:c r="A505" s="72" t="n">
        <x:v>46240.872141203705</x:v>
      </x:c>
      <x:c r="B505" s="72" t="n">
        <x:v>46240.87215509259</x:v>
      </x:c>
      <x:c r="C505" s="32" t="str">
        <x:v>P22</x:v>
      </x:c>
      <x:c r="D505" s="32" t="str">
        <x:v>B4-W1-V2</x:v>
      </x:c>
      <x:c r="E505" s="32" t="str">
        <x:v>B4</x:v>
      </x:c>
      <x:c r="F505" s="32" t="str">
        <x:v>W1</x:v>
      </x:c>
      <x:c r="G505" s="32" t="str">
        <x:v>V2</x:v>
      </x:c>
      <x:c r="H505" s="32" t="str">
        <x:v>tension_soil</x:v>
      </x:c>
      <x:c r="I505" s="32" t="str">
        <x:v>862323089930722</x:v>
      </x:c>
      <x:c r="J505" s="82"/>
      <x:c r="K505" s="82" t="n">
        <x:v>-24.9</x:v>
      </x:c>
      <x:c r="L505" s="82" t="n">
        <x:v>39.9</x:v>
      </x:c>
      <x:c r="M505" s="82" t="n">
        <x:v>25.1</x:v>
      </x:c>
      <x:c r="N505" s="86" t="n">
        <x:v>1042</x:v>
      </x:c>
      <x:c r="O505" s="90" t="n">
        <x:v>6.4</x:v>
      </x:c>
      <x:c r="P505" s="150" t="n">
        <x:v>3.992</x:v>
      </x:c>
      <x:c r="Q505" s="86" t="n">
        <x:v>23</x:v>
      </x:c>
      <x:c r="R505" s="32"/>
      <x:c r="S505" s="32" t="str">
        <x:v>ok</x:v>
      </x:c>
      <x:c r="T505" s="32" t="str">
        <x:v>ok</x:v>
      </x:c>
      <x:c r="U505" s="32" t="str">
        <x:v>ok</x:v>
      </x:c>
      <x:c r="V505" s="32" t="str">
        <x:v>ok</x:v>
      </x:c>
      <x:c r="W505" s="154" t="str">
        <x:v>{"schema_version":1,"imei":"862323089930722","timestamp":1786020953,"report_sequence":21,"task_version":"rice_tension_soil_demo","sensor_mode":"tension_soil","soil_moisture_percent":39.9,"soil_temperature_c":25.1,"soil_ec_us_cm":1042,"soil_ph":6.4,"battery_mv":3992,"csq":23,"soil_rs485_status":"ok","cycle_status":"ok","soil_tension_kpa":-24.9,"soil_tension_rs485_status":"ok"}</x:v>
      </x:c>
    </x:row>
    <x:row r="506">
      <x:c r="A506" s="72" t="n">
        <x:v>46240.872141203705</x:v>
      </x:c>
      <x:c r="B506" s="72" t="n">
        <x:v>46240.87215509259</x:v>
      </x:c>
      <x:c r="C506" s="32" t="str">
        <x:v>P23</x:v>
      </x:c>
      <x:c r="D506" s="32" t="str">
        <x:v>B4-W2-V1</x:v>
      </x:c>
      <x:c r="E506" s="32" t="str">
        <x:v>B4</x:v>
      </x:c>
      <x:c r="F506" s="32" t="str">
        <x:v>W2</x:v>
      </x:c>
      <x:c r="G506" s="32" t="str">
        <x:v>V1</x:v>
      </x:c>
      <x:c r="H506" s="32" t="str">
        <x:v>tension_soil</x:v>
      </x:c>
      <x:c r="I506" s="32" t="str">
        <x:v>862323089930723</x:v>
      </x:c>
      <x:c r="J506" s="82"/>
      <x:c r="K506" s="82" t="n">
        <x:v>-37.4</x:v>
      </x:c>
      <x:c r="L506" s="82" t="n">
        <x:v>41.4</x:v>
      </x:c>
      <x:c r="M506" s="82" t="n">
        <x:v>25.2</x:v>
      </x:c>
      <x:c r="N506" s="86" t="n">
        <x:v>1062</x:v>
      </x:c>
      <x:c r="O506" s="90" t="n">
        <x:v>6.46</x:v>
      </x:c>
      <x:c r="P506" s="150" t="n">
        <x:v>4.01</x:v>
      </x:c>
      <x:c r="Q506" s="86" t="n">
        <x:v>24</x:v>
      </x:c>
      <x:c r="R506" s="32"/>
      <x:c r="S506" s="32" t="str">
        <x:v>ok</x:v>
      </x:c>
      <x:c r="T506" s="32" t="str">
        <x:v>ok</x:v>
      </x:c>
      <x:c r="U506" s="32" t="str">
        <x:v>ok</x:v>
      </x:c>
      <x:c r="V506" s="32" t="str">
        <x:v>ok</x:v>
      </x:c>
      <x:c r="W506" s="154" t="str">
        <x:v>{"schema_version":1,"imei":"862323089930723","timestamp":1786020953,"report_sequence":21,"task_version":"rice_tension_soil_demo","sensor_mode":"tension_soil","soil_moisture_percent":41.4,"soil_temperature_c":25.2,"soil_ec_us_cm":1062,"soil_ph":6.46,"battery_mv":4010,"csq":24,"soil_rs485_status":"ok","cycle_status":"ok","soil_tension_kpa":-37.4,"soil_tension_rs485_status":"ok"}</x:v>
      </x:c>
    </x:row>
    <x:row r="507">
      <x:c r="A507" s="72" t="n">
        <x:v>46240.872141203705</x:v>
      </x:c>
      <x:c r="B507" s="72" t="n">
        <x:v>46240.87215509259</x:v>
      </x:c>
      <x:c r="C507" s="32" t="str">
        <x:v>P24</x:v>
      </x:c>
      <x:c r="D507" s="32" t="str">
        <x:v>B4-W2-V2</x:v>
      </x:c>
      <x:c r="E507" s="32" t="str">
        <x:v>B4</x:v>
      </x:c>
      <x:c r="F507" s="32" t="str">
        <x:v>W2</x:v>
      </x:c>
      <x:c r="G507" s="32" t="str">
        <x:v>V2</x:v>
      </x:c>
      <x:c r="H507" s="32" t="str">
        <x:v>tension_soil</x:v>
      </x:c>
      <x:c r="I507" s="32" t="str">
        <x:v>862323089930724</x:v>
      </x:c>
      <x:c r="J507" s="82"/>
      <x:c r="K507" s="82" t="n">
        <x:v>-38.8</x:v>
      </x:c>
      <x:c r="L507" s="82" t="n">
        <x:v>34.8</x:v>
      </x:c>
      <x:c r="M507" s="82" t="n">
        <x:v>25.3</x:v>
      </x:c>
      <x:c r="N507" s="86" t="n">
        <x:v>1083</x:v>
      </x:c>
      <x:c r="O507" s="90" t="n">
        <x:v>6.51</x:v>
      </x:c>
      <x:c r="P507" s="150" t="n">
        <x:v>3.92</x:v>
      </x:c>
      <x:c r="Q507" s="86" t="n">
        <x:v>17</x:v>
      </x:c>
      <x:c r="R507" s="32"/>
      <x:c r="S507" s="32" t="str">
        <x:v>ok</x:v>
      </x:c>
      <x:c r="T507" s="32" t="str">
        <x:v>ok</x:v>
      </x:c>
      <x:c r="U507" s="32" t="str">
        <x:v>ok</x:v>
      </x:c>
      <x:c r="V507" s="32" t="str">
        <x:v>ok</x:v>
      </x:c>
      <x:c r="W507" s="154" t="str">
        <x:v>{"schema_version":1,"imei":"862323089930724","timestamp":1786020953,"report_sequence":21,"task_version":"rice_tension_soil_demo","sensor_mode":"tension_soil","soil_moisture_percent":34.8,"soil_temperature_c":25.3,"soil_ec_us_cm":1083,"soil_ph":6.51,"battery_mv":3920,"csq":17,"soil_rs485_status":"ok","cycle_status":"ok","soil_tension_kpa":-38.8,"soil_tension_rs485_status":"ok"}</x:v>
      </x:c>
    </x:row>
    <x:row r="508">
      <x:c r="A508" s="72" t="n">
        <x:v>46240.875613425924</x:v>
      </x:c>
      <x:c r="B508" s="72" t="n">
        <x:v>46240.87562731482</x:v>
      </x:c>
      <x:c r="C508" s="32" t="str">
        <x:v>P01</x:v>
      </x:c>
      <x:c r="D508" s="32" t="str">
        <x:v>B1-W0-V1</x:v>
      </x:c>
      <x:c r="E508" s="32" t="str">
        <x:v>B1</x:v>
      </x:c>
      <x:c r="F508" s="32" t="str">
        <x:v>W0</x:v>
      </x:c>
      <x:c r="G508" s="32" t="str">
        <x:v>V1</x:v>
      </x:c>
      <x:c r="H508" s="32" t="str">
        <x:v>water_soil</x:v>
      </x:c>
      <x:c r="I508" s="32" t="str">
        <x:v>862323089930701</x:v>
      </x:c>
      <x:c r="J508" s="82" t="n">
        <x:v>34.3</x:v>
      </x:c>
      <x:c r="K508" s="82"/>
      <x:c r="L508" s="82" t="n">
        <x:v>36.3</x:v>
      </x:c>
      <x:c r="M508" s="82" t="n">
        <x:v>25.4</x:v>
      </x:c>
      <x:c r="N508" s="86" t="n">
        <x:v>815</x:v>
      </x:c>
      <x:c r="O508" s="90" t="n">
        <x:v>6.37</x:v>
      </x:c>
      <x:c r="P508" s="150" t="n">
        <x:v>3.938</x:v>
      </x:c>
      <x:c r="Q508" s="86" t="n">
        <x:v>18</x:v>
      </x:c>
      <x:c r="R508" s="32" t="str">
        <x:v>ok</x:v>
      </x:c>
      <x:c r="S508" s="32"/>
      <x:c r="T508" s="32" t="str">
        <x:v>ok</x:v>
      </x:c>
      <x:c r="U508" s="32" t="str">
        <x:v>ok</x:v>
      </x:c>
      <x:c r="V508" s="32" t="str">
        <x:v>ok</x:v>
      </x:c>
      <x:c r="W508" s="154" t="str">
        <x:v>{"schema_version":1,"imei":"862323089930701","timestamp":1786021253,"report_sequence":22,"task_version":"rice_w0_water_soil_demo","sensor_mode":"water_soil","soil_moisture_percent":36.3,"soil_temperature_c":25.4,"soil_ec_us_cm":815,"soil_ph":6.37,"battery_mv":3938,"csq":18,"soil_rs485_status":"ok","cycle_status":"ok","water_level_mm":34.3,"water_4_20ma_status":"ok"}</x:v>
      </x:c>
    </x:row>
    <x:row r="509">
      <x:c r="A509" s="72" t="n">
        <x:v>46240.875613425924</x:v>
      </x:c>
      <x:c r="B509" s="72" t="n">
        <x:v>46240.87562731482</x:v>
      </x:c>
      <x:c r="C509" s="32" t="str">
        <x:v>P02</x:v>
      </x:c>
      <x:c r="D509" s="32" t="str">
        <x:v>B1-W0-V2</x:v>
      </x:c>
      <x:c r="E509" s="32" t="str">
        <x:v>B1</x:v>
      </x:c>
      <x:c r="F509" s="32" t="str">
        <x:v>W0</x:v>
      </x:c>
      <x:c r="G509" s="32" t="str">
        <x:v>V2</x:v>
      </x:c>
      <x:c r="H509" s="32" t="str">
        <x:v>water_soil</x:v>
      </x:c>
      <x:c r="I509" s="32" t="str">
        <x:v>862323089930702</x:v>
      </x:c>
      <x:c r="J509" s="82" t="n">
        <x:v>38.1</x:v>
      </x:c>
      <x:c r="K509" s="82"/>
      <x:c r="L509" s="82" t="n">
        <x:v>37.6</x:v>
      </x:c>
      <x:c r="M509" s="82" t="n">
        <x:v>25.5</x:v>
      </x:c>
      <x:c r="N509" s="86" t="n">
        <x:v>833</x:v>
      </x:c>
      <x:c r="O509" s="90" t="n">
        <x:v>6.42</x:v>
      </x:c>
      <x:c r="P509" s="150" t="n">
        <x:v>3.956</x:v>
      </x:c>
      <x:c r="Q509" s="86" t="n">
        <x:v>19</x:v>
      </x:c>
      <x:c r="R509" s="32" t="str">
        <x:v>ok</x:v>
      </x:c>
      <x:c r="S509" s="32"/>
      <x:c r="T509" s="32" t="str">
        <x:v>ok</x:v>
      </x:c>
      <x:c r="U509" s="32" t="str">
        <x:v>ok</x:v>
      </x:c>
      <x:c r="V509" s="32" t="str">
        <x:v>ok</x:v>
      </x:c>
      <x:c r="W509" s="154" t="str">
        <x:v>{"schema_version":1,"imei":"862323089930702","timestamp":1786021253,"report_sequence":22,"task_version":"rice_w0_water_soil_demo","sensor_mode":"water_soil","soil_moisture_percent":37.6,"soil_temperature_c":25.5,"soil_ec_us_cm":833,"soil_ph":6.42,"battery_mv":3956,"csq":19,"soil_rs485_status":"ok","cycle_status":"ok","water_level_mm":38.1,"water_4_20ma_status":"ok"}</x:v>
      </x:c>
    </x:row>
    <x:row r="510">
      <x:c r="A510" s="72" t="n">
        <x:v>46240.875613425924</x:v>
      </x:c>
      <x:c r="B510" s="72" t="n">
        <x:v>46240.87562731482</x:v>
      </x:c>
      <x:c r="C510" s="32" t="str">
        <x:v>P03</x:v>
      </x:c>
      <x:c r="D510" s="32" t="str">
        <x:v>B1-W1-V1</x:v>
      </x:c>
      <x:c r="E510" s="32" t="str">
        <x:v>B1</x:v>
      </x:c>
      <x:c r="F510" s="32" t="str">
        <x:v>W1</x:v>
      </x:c>
      <x:c r="G510" s="32" t="str">
        <x:v>V1</x:v>
      </x:c>
      <x:c r="H510" s="32" t="str">
        <x:v>tension_soil</x:v>
      </x:c>
      <x:c r="I510" s="32" t="str">
        <x:v>862323089930703</x:v>
      </x:c>
      <x:c r="J510" s="82"/>
      <x:c r="K510" s="82" t="n">
        <x:v>-27.9</x:v>
      </x:c>
      <x:c r="L510" s="82" t="n">
        <x:v>38.9</x:v>
      </x:c>
      <x:c r="M510" s="82" t="n">
        <x:v>25.6</x:v>
      </x:c>
      <x:c r="N510" s="86" t="n">
        <x:v>849</x:v>
      </x:c>
      <x:c r="O510" s="90" t="n">
        <x:v>6.48</x:v>
      </x:c>
      <x:c r="P510" s="150" t="n">
        <x:v>3.974</x:v>
      </x:c>
      <x:c r="Q510" s="86" t="n">
        <x:v>20</x:v>
      </x:c>
      <x:c r="R510" s="32"/>
      <x:c r="S510" s="32" t="str">
        <x:v>ok</x:v>
      </x:c>
      <x:c r="T510" s="32" t="str">
        <x:v>ok</x:v>
      </x:c>
      <x:c r="U510" s="32" t="str">
        <x:v>ok</x:v>
      </x:c>
      <x:c r="V510" s="32" t="str">
        <x:v>ok</x:v>
      </x:c>
      <x:c r="W510" s="154" t="str">
        <x:v>{"schema_version":1,"imei":"862323089930703","timestamp":1786021253,"report_sequence":22,"task_version":"rice_tension_soil_demo","sensor_mode":"tension_soil","soil_moisture_percent":38.9,"soil_temperature_c":25.6,"soil_ec_us_cm":849,"soil_ph":6.48,"battery_mv":3974,"csq":20,"soil_rs485_status":"ok","cycle_status":"ok","soil_tension_kpa":-27.9,"soil_tension_rs485_status":"ok"}</x:v>
      </x:c>
    </x:row>
    <x:row r="511">
      <x:c r="A511" s="72" t="n">
        <x:v>46240.875613425924</x:v>
      </x:c>
      <x:c r="B511" s="72" t="n">
        <x:v>46240.87562731482</x:v>
      </x:c>
      <x:c r="C511" s="32" t="str">
        <x:v>P04</x:v>
      </x:c>
      <x:c r="D511" s="32" t="str">
        <x:v>B1-W1-V2</x:v>
      </x:c>
      <x:c r="E511" s="32" t="str">
        <x:v>B1</x:v>
      </x:c>
      <x:c r="F511" s="32" t="str">
        <x:v>W1</x:v>
      </x:c>
      <x:c r="G511" s="32" t="str">
        <x:v>V2</x:v>
      </x:c>
      <x:c r="H511" s="32" t="str">
        <x:v>tension_soil</x:v>
      </x:c>
      <x:c r="I511" s="32" t="str">
        <x:v>862323089930704</x:v>
      </x:c>
      <x:c r="J511" s="82"/>
      <x:c r="K511" s="82" t="n">
        <x:v>-29</x:v>
      </x:c>
      <x:c r="L511" s="82" t="n">
        <x:v>40</x:v>
      </x:c>
      <x:c r="M511" s="82" t="n">
        <x:v>25.6</x:v>
      </x:c>
      <x:c r="N511" s="86" t="n">
        <x:v>863</x:v>
      </x:c>
      <x:c r="O511" s="90" t="n">
        <x:v>6.53</x:v>
      </x:c>
      <x:c r="P511" s="150" t="n">
        <x:v>3.992</x:v>
      </x:c>
      <x:c r="Q511" s="86" t="n">
        <x:v>21</x:v>
      </x:c>
      <x:c r="R511" s="32"/>
      <x:c r="S511" s="32" t="str">
        <x:v>ok</x:v>
      </x:c>
      <x:c r="T511" s="32" t="str">
        <x:v>ok</x:v>
      </x:c>
      <x:c r="U511" s="32" t="str">
        <x:v>ok</x:v>
      </x:c>
      <x:c r="V511" s="32" t="str">
        <x:v>ok</x:v>
      </x:c>
      <x:c r="W511" s="154" t="str">
        <x:v>{"schema_version":1,"imei":"862323089930704","timestamp":1786021253,"report_sequence":22,"task_version":"rice_tension_soil_demo","sensor_mode":"tension_soil","soil_moisture_percent":40,"soil_temperature_c":25.6,"soil_ec_us_cm":863,"soil_ph":6.53,"battery_mv":3992,"csq":21,"soil_rs485_status":"ok","cycle_status":"ok","soil_tension_kpa":-29,"soil_tension_rs485_status":"ok"}</x:v>
      </x:c>
    </x:row>
    <x:row r="512">
      <x:c r="A512" s="72" t="n">
        <x:v>46240.875613425924</x:v>
      </x:c>
      <x:c r="B512" s="72" t="n">
        <x:v>46240.87562731482</x:v>
      </x:c>
      <x:c r="C512" s="32" t="str">
        <x:v>P05</x:v>
      </x:c>
      <x:c r="D512" s="32" t="str">
        <x:v>B1-W2-V1</x:v>
      </x:c>
      <x:c r="E512" s="32" t="str">
        <x:v>B1</x:v>
      </x:c>
      <x:c r="F512" s="32" t="str">
        <x:v>W2</x:v>
      </x:c>
      <x:c r="G512" s="32" t="str">
        <x:v>V1</x:v>
      </x:c>
      <x:c r="H512" s="32" t="str">
        <x:v>tension_soil</x:v>
      </x:c>
      <x:c r="I512" s="32" t="str">
        <x:v>862323089930705</x:v>
      </x:c>
      <x:c r="J512" s="82"/>
      <x:c r="K512" s="82" t="n">
        <x:v>-36</x:v>
      </x:c>
      <x:c r="L512" s="82" t="n">
        <x:v>41</x:v>
      </x:c>
      <x:c r="M512" s="82" t="n">
        <x:v>25.6</x:v>
      </x:c>
      <x:c r="N512" s="86" t="n">
        <x:v>875</x:v>
      </x:c>
      <x:c r="O512" s="90" t="n">
        <x:v>6.33</x:v>
      </x:c>
      <x:c r="P512" s="150" t="n">
        <x:v>4.01</x:v>
      </x:c>
      <x:c r="Q512" s="86" t="n">
        <x:v>22</x:v>
      </x:c>
      <x:c r="R512" s="32"/>
      <x:c r="S512" s="32" t="str">
        <x:v>ok</x:v>
      </x:c>
      <x:c r="T512" s="32" t="str">
        <x:v>ok</x:v>
      </x:c>
      <x:c r="U512" s="32" t="str">
        <x:v>ok</x:v>
      </x:c>
      <x:c r="V512" s="32" t="str">
        <x:v>ok</x:v>
      </x:c>
      <x:c r="W512" s="154" t="str">
        <x:v>{"schema_version":1,"imei":"862323089930705","timestamp":1786021253,"report_sequence":22,"task_version":"rice_tension_soil_demo","sensor_mode":"tension_soil","soil_moisture_percent":41,"soil_temperature_c":25.6,"soil_ec_us_cm":875,"soil_ph":6.33,"battery_mv":4010,"csq":22,"soil_rs485_status":"ok","cycle_status":"ok","soil_tension_kpa":-36,"soil_tension_rs485_status":"ok"}</x:v>
      </x:c>
    </x:row>
    <x:row r="513">
      <x:c r="A513" s="72" t="n">
        <x:v>46240.875613425924</x:v>
      </x:c>
      <x:c r="B513" s="72" t="n">
        <x:v>46240.87562731482</x:v>
      </x:c>
      <x:c r="C513" s="32" t="str">
        <x:v>P06</x:v>
      </x:c>
      <x:c r="D513" s="32" t="str">
        <x:v>B1-W2-V2</x:v>
      </x:c>
      <x:c r="E513" s="32" t="str">
        <x:v>B1</x:v>
      </x:c>
      <x:c r="F513" s="32" t="str">
        <x:v>W2</x:v>
      </x:c>
      <x:c r="G513" s="32" t="str">
        <x:v>V2</x:v>
      </x:c>
      <x:c r="H513" s="32" t="str">
        <x:v>tension_soil</x:v>
      </x:c>
      <x:c r="I513" s="32" t="str">
        <x:v>862323089930706</x:v>
      </x:c>
      <x:c r="J513" s="82"/>
      <x:c r="K513" s="82" t="n">
        <x:v>-36.8</x:v>
      </x:c>
      <x:c r="L513" s="82" t="n">
        <x:v>41.8</x:v>
      </x:c>
      <x:c r="M513" s="82" t="n">
        <x:v>25.6</x:v>
      </x:c>
      <x:c r="N513" s="86" t="n">
        <x:v>884</x:v>
      </x:c>
      <x:c r="O513" s="90" t="n">
        <x:v>6.38</x:v>
      </x:c>
      <x:c r="P513" s="150" t="n">
        <x:v>3.92</x:v>
      </x:c>
      <x:c r="Q513" s="86" t="n">
        <x:v>23</x:v>
      </x:c>
      <x:c r="R513" s="32"/>
      <x:c r="S513" s="32" t="str">
        <x:v>ok</x:v>
      </x:c>
      <x:c r="T513" s="32" t="str">
        <x:v>ok</x:v>
      </x:c>
      <x:c r="U513" s="32" t="str">
        <x:v>ok</x:v>
      </x:c>
      <x:c r="V513" s="32" t="str">
        <x:v>ok</x:v>
      </x:c>
      <x:c r="W513" s="154" t="str">
        <x:v>{"schema_version":1,"imei":"862323089930706","timestamp":1786021253,"report_sequence":22,"task_version":"rice_tension_soil_demo","sensor_mode":"tension_soil","soil_moisture_percent":41.8,"soil_temperature_c":25.6,"soil_ec_us_cm":884,"soil_ph":6.38,"battery_mv":3920,"csq":23,"soil_rs485_status":"ok","cycle_status":"ok","soil_tension_kpa":-36.8,"soil_tension_rs485_status":"ok"}</x:v>
      </x:c>
    </x:row>
    <x:row r="514">
      <x:c r="A514" s="72" t="n">
        <x:v>46240.875613425924</x:v>
      </x:c>
      <x:c r="B514" s="72" t="n">
        <x:v>46240.87562731482</x:v>
      </x:c>
      <x:c r="C514" s="32" t="str">
        <x:v>P07</x:v>
      </x:c>
      <x:c r="D514" s="32" t="str">
        <x:v>B2-W0-V1</x:v>
      </x:c>
      <x:c r="E514" s="32" t="str">
        <x:v>B2</x:v>
      </x:c>
      <x:c r="F514" s="32" t="str">
        <x:v>W0</x:v>
      </x:c>
      <x:c r="G514" s="32" t="str">
        <x:v>V1</x:v>
      </x:c>
      <x:c r="H514" s="32" t="str">
        <x:v>water_soil</x:v>
      </x:c>
      <x:c r="I514" s="32" t="str">
        <x:v>862323089930707</x:v>
      </x:c>
      <x:c r="J514" s="82" t="n">
        <x:v>41</x:v>
      </x:c>
      <x:c r="K514" s="82"/>
      <x:c r="L514" s="82" t="n">
        <x:v>42.6</x:v>
      </x:c>
      <x:c r="M514" s="82" t="n">
        <x:v>25.5</x:v>
      </x:c>
      <x:c r="N514" s="86" t="n">
        <x:v>892</x:v>
      </x:c>
      <x:c r="O514" s="90" t="n">
        <x:v>6.42</x:v>
      </x:c>
      <x:c r="P514" s="150" t="n">
        <x:v>3.938</x:v>
      </x:c>
      <x:c r="Q514" s="86" t="n">
        <x:v>24</x:v>
      </x:c>
      <x:c r="R514" s="32" t="str">
        <x:v>ok</x:v>
      </x:c>
      <x:c r="S514" s="32"/>
      <x:c r="T514" s="32" t="str">
        <x:v>ok</x:v>
      </x:c>
      <x:c r="U514" s="32" t="str">
        <x:v>ok</x:v>
      </x:c>
      <x:c r="V514" s="32" t="str">
        <x:v>ok</x:v>
      </x:c>
      <x:c r="W514" s="154" t="str">
        <x:v>{"schema_version":1,"imei":"862323089930707","timestamp":1786021253,"report_sequence":22,"task_version":"rice_w0_water_soil_demo","sensor_mode":"water_soil","soil_moisture_percent":42.6,"soil_temperature_c":25.5,"soil_ec_us_cm":892,"soil_ph":6.42,"battery_mv":3938,"csq":24,"soil_rs485_status":"ok","cycle_status":"ok","water_level_mm":41,"water_4_20ma_status":"ok"}</x:v>
      </x:c>
    </x:row>
    <x:row r="515">
      <x:c r="A515" s="72" t="n">
        <x:v>46240.875613425924</x:v>
      </x:c>
      <x:c r="B515" s="72" t="n">
        <x:v>46240.87562731482</x:v>
      </x:c>
      <x:c r="C515" s="32" t="str">
        <x:v>P08</x:v>
      </x:c>
      <x:c r="D515" s="32" t="str">
        <x:v>B2-W0-V2</x:v>
      </x:c>
      <x:c r="E515" s="32" t="str">
        <x:v>B2</x:v>
      </x:c>
      <x:c r="F515" s="32" t="str">
        <x:v>W0</x:v>
      </x:c>
      <x:c r="G515" s="32" t="str">
        <x:v>V2</x:v>
      </x:c>
      <x:c r="H515" s="32" t="str">
        <x:v>water_soil</x:v>
      </x:c>
      <x:c r="I515" s="32" t="str">
        <x:v>862323089930708</x:v>
      </x:c>
      <x:c r="J515" s="82" t="n">
        <x:v>31.1</x:v>
      </x:c>
      <x:c r="K515" s="82"/>
      <x:c r="L515" s="82" t="n">
        <x:v>35.2</x:v>
      </x:c>
      <x:c r="M515" s="82" t="n">
        <x:v>25.4</x:v>
      </x:c>
      <x:c r="N515" s="86" t="n">
        <x:v>898</x:v>
      </x:c>
      <x:c r="O515" s="90" t="n">
        <x:v>6.47</x:v>
      </x:c>
      <x:c r="P515" s="150" t="n">
        <x:v>3.956</x:v>
      </x:c>
      <x:c r="Q515" s="86" t="n">
        <x:v>17</x:v>
      </x:c>
      <x:c r="R515" s="32" t="str">
        <x:v>ok</x:v>
      </x:c>
      <x:c r="S515" s="32"/>
      <x:c r="T515" s="32" t="str">
        <x:v>ok</x:v>
      </x:c>
      <x:c r="U515" s="32" t="str">
        <x:v>ok</x:v>
      </x:c>
      <x:c r="V515" s="32" t="str">
        <x:v>ok</x:v>
      </x:c>
      <x:c r="W515" s="154" t="str">
        <x:v>{"schema_version":1,"imei":"862323089930708","timestamp":1786021253,"report_sequence":22,"task_version":"rice_w0_water_soil_demo","sensor_mode":"water_soil","soil_moisture_percent":35.2,"soil_temperature_c":25.4,"soil_ec_us_cm":898,"soil_ph":6.47,"battery_mv":3956,"csq":17,"soil_rs485_status":"ok","cycle_status":"ok","water_level_mm":31.1,"water_4_20ma_status":"ok"}</x:v>
      </x:c>
    </x:row>
    <x:row r="516">
      <x:c r="A516" s="72" t="n">
        <x:v>46240.875613425924</x:v>
      </x:c>
      <x:c r="B516" s="72" t="n">
        <x:v>46240.87562731482</x:v>
      </x:c>
      <x:c r="C516" s="32" t="str">
        <x:v>P09</x:v>
      </x:c>
      <x:c r="D516" s="32" t="str">
        <x:v>B2-W1-V1</x:v>
      </x:c>
      <x:c r="E516" s="32" t="str">
        <x:v>B2</x:v>
      </x:c>
      <x:c r="F516" s="32" t="str">
        <x:v>W1</x:v>
      </x:c>
      <x:c r="G516" s="32" t="str">
        <x:v>V1</x:v>
      </x:c>
      <x:c r="H516" s="32" t="str">
        <x:v>tension_soil</x:v>
      </x:c>
      <x:c r="I516" s="32" t="str">
        <x:v>862323089930709</x:v>
      </x:c>
      <x:c r="J516" s="82"/>
      <x:c r="K516" s="82" t="n">
        <x:v>-27.8</x:v>
      </x:c>
      <x:c r="L516" s="82" t="n">
        <x:v>35.8</x:v>
      </x:c>
      <x:c r="M516" s="82" t="n">
        <x:v>25.3</x:v>
      </x:c>
      <x:c r="N516" s="86" t="n">
        <x:v>902</x:v>
      </x:c>
      <x:c r="O516" s="90" t="n">
        <x:v>6.51</x:v>
      </x:c>
      <x:c r="P516" s="150" t="n">
        <x:v>3.974</x:v>
      </x:c>
      <x:c r="Q516" s="86" t="n">
        <x:v>18</x:v>
      </x:c>
      <x:c r="R516" s="32"/>
      <x:c r="S516" s="32" t="str">
        <x:v>ok</x:v>
      </x:c>
      <x:c r="T516" s="32" t="str">
        <x:v>ok</x:v>
      </x:c>
      <x:c r="U516" s="32" t="str">
        <x:v>ok</x:v>
      </x:c>
      <x:c r="V516" s="32" t="str">
        <x:v>ok</x:v>
      </x:c>
      <x:c r="W516" s="154" t="str">
        <x:v>{"schema_version":1,"imei":"862323089930709","timestamp":1786021253,"report_sequence":22,"task_version":"rice_tension_soil_demo","sensor_mode":"tension_soil","soil_moisture_percent":35.8,"soil_temperature_c":25.3,"soil_ec_us_cm":902,"soil_ph":6.51,"battery_mv":3974,"csq":18,"soil_rs485_status":"ok","cycle_status":"ok","soil_tension_kpa":-27.8,"soil_tension_rs485_status":"ok"}</x:v>
      </x:c>
    </x:row>
    <x:row r="517">
      <x:c r="A517" s="72" t="n">
        <x:v>46240.875613425924</x:v>
      </x:c>
      <x:c r="B517" s="72" t="n">
        <x:v>46240.87562731482</x:v>
      </x:c>
      <x:c r="C517" s="32" t="str">
        <x:v>P10</x:v>
      </x:c>
      <x:c r="D517" s="32" t="str">
        <x:v>B2-W1-V2</x:v>
      </x:c>
      <x:c r="E517" s="32" t="str">
        <x:v>B2</x:v>
      </x:c>
      <x:c r="F517" s="32" t="str">
        <x:v>W1</x:v>
      </x:c>
      <x:c r="G517" s="32" t="str">
        <x:v>V2</x:v>
      </x:c>
      <x:c r="H517" s="32" t="str">
        <x:v>tension_soil</x:v>
      </x:c>
      <x:c r="I517" s="32" t="str">
        <x:v>862323089930710</x:v>
      </x:c>
      <x:c r="J517" s="82"/>
      <x:c r="K517" s="82" t="n">
        <x:v>-23.3</x:v>
      </x:c>
      <x:c r="L517" s="82" t="n">
        <x:v>36.3</x:v>
      </x:c>
      <x:c r="M517" s="82" t="n">
        <x:v>25.2</x:v>
      </x:c>
      <x:c r="N517" s="86" t="n">
        <x:v>906</x:v>
      </x:c>
      <x:c r="O517" s="90" t="n">
        <x:v>6.31</x:v>
      </x:c>
      <x:c r="P517" s="150" t="n">
        <x:v>3.992</x:v>
      </x:c>
      <x:c r="Q517" s="86" t="n">
        <x:v>19</x:v>
      </x:c>
      <x:c r="R517" s="32"/>
      <x:c r="S517" s="32" t="str">
        <x:v>ok</x:v>
      </x:c>
      <x:c r="T517" s="32" t="str">
        <x:v>ok</x:v>
      </x:c>
      <x:c r="U517" s="32" t="str">
        <x:v>ok</x:v>
      </x:c>
      <x:c r="V517" s="32" t="str">
        <x:v>ok</x:v>
      </x:c>
      <x:c r="W517" s="154" t="str">
        <x:v>{"schema_version":1,"imei":"862323089930710","timestamp":1786021253,"report_sequence":22,"task_version":"rice_tension_soil_demo","sensor_mode":"tension_soil","soil_moisture_percent":36.3,"soil_temperature_c":25.2,"soil_ec_us_cm":906,"soil_ph":6.31,"battery_mv":3992,"csq":19,"soil_rs485_status":"ok","cycle_status":"ok","soil_tension_kpa":-23.3,"soil_tension_rs485_status":"ok"}</x:v>
      </x:c>
    </x:row>
    <x:row r="518">
      <x:c r="A518" s="72" t="n">
        <x:v>46240.875613425924</x:v>
      </x:c>
      <x:c r="B518" s="72" t="n">
        <x:v>46240.87562731482</x:v>
      </x:c>
      <x:c r="C518" s="32" t="str">
        <x:v>P11</x:v>
      </x:c>
      <x:c r="D518" s="32" t="str">
        <x:v>B2-W2-V1</x:v>
      </x:c>
      <x:c r="E518" s="32" t="str">
        <x:v>B2</x:v>
      </x:c>
      <x:c r="F518" s="32" t="str">
        <x:v>W2</x:v>
      </x:c>
      <x:c r="G518" s="32" t="str">
        <x:v>V1</x:v>
      </x:c>
      <x:c r="H518" s="32" t="str">
        <x:v>tension_soil</x:v>
      </x:c>
      <x:c r="I518" s="32" t="str">
        <x:v>862323089930711</x:v>
      </x:c>
      <x:c r="J518" s="82"/>
      <x:c r="K518" s="82" t="n">
        <x:v>-34.8</x:v>
      </x:c>
      <x:c r="L518" s="82" t="n">
        <x:v>36.8</x:v>
      </x:c>
      <x:c r="M518" s="82" t="n">
        <x:v>25.1</x:v>
      </x:c>
      <x:c r="N518" s="86" t="n">
        <x:v>909</x:v>
      </x:c>
      <x:c r="O518" s="90" t="n">
        <x:v>6.35</x:v>
      </x:c>
      <x:c r="P518" s="150" t="n">
        <x:v>4.01</x:v>
      </x:c>
      <x:c r="Q518" s="86" t="n">
        <x:v>20</x:v>
      </x:c>
      <x:c r="R518" s="32"/>
      <x:c r="S518" s="32" t="str">
        <x:v>ok</x:v>
      </x:c>
      <x:c r="T518" s="32" t="str">
        <x:v>ok</x:v>
      </x:c>
      <x:c r="U518" s="32" t="str">
        <x:v>ok</x:v>
      </x:c>
      <x:c r="V518" s="32" t="str">
        <x:v>ok</x:v>
      </x:c>
      <x:c r="W518" s="154" t="str">
        <x:v>{"schema_version":1,"imei":"862323089930711","timestamp":1786021253,"report_sequence":22,"task_version":"rice_tension_soil_demo","sensor_mode":"tension_soil","soil_moisture_percent":36.8,"soil_temperature_c":25.1,"soil_ec_us_cm":909,"soil_ph":6.35,"battery_mv":4010,"csq":20,"soil_rs485_status":"ok","cycle_status":"ok","soil_tension_kpa":-34.8,"soil_tension_rs485_status":"ok"}</x:v>
      </x:c>
    </x:row>
    <x:row r="519">
      <x:c r="A519" s="72" t="n">
        <x:v>46240.875613425924</x:v>
      </x:c>
      <x:c r="B519" s="72" t="n">
        <x:v>46240.87562731482</x:v>
      </x:c>
      <x:c r="C519" s="32" t="str">
        <x:v>P12</x:v>
      </x:c>
      <x:c r="D519" s="32" t="str">
        <x:v>B2-W2-V2</x:v>
      </x:c>
      <x:c r="E519" s="32" t="str">
        <x:v>B2</x:v>
      </x:c>
      <x:c r="F519" s="32" t="str">
        <x:v>W2</x:v>
      </x:c>
      <x:c r="G519" s="32" t="str">
        <x:v>V2</x:v>
      </x:c>
      <x:c r="H519" s="32" t="str">
        <x:v>tension_soil</x:v>
      </x:c>
      <x:c r="I519" s="32" t="str">
        <x:v>862323089930712</x:v>
      </x:c>
      <x:c r="J519" s="82"/>
      <x:c r="K519" s="82" t="n">
        <x:v>-35.4</x:v>
      </x:c>
      <x:c r="L519" s="82" t="n">
        <x:v>37.4</x:v>
      </x:c>
      <x:c r="M519" s="82" t="n">
        <x:v>24.9</x:v>
      </x:c>
      <x:c r="N519" s="86" t="n">
        <x:v>913</x:v>
      </x:c>
      <x:c r="O519" s="90" t="n">
        <x:v>6.39</x:v>
      </x:c>
      <x:c r="P519" s="150" t="n">
        <x:v>3.92</x:v>
      </x:c>
      <x:c r="Q519" s="86" t="n">
        <x:v>21</x:v>
      </x:c>
      <x:c r="R519" s="32"/>
      <x:c r="S519" s="32" t="str">
        <x:v>ok</x:v>
      </x:c>
      <x:c r="T519" s="32" t="str">
        <x:v>ok</x:v>
      </x:c>
      <x:c r="U519" s="32" t="str">
        <x:v>ok</x:v>
      </x:c>
      <x:c r="V519" s="32" t="str">
        <x:v>ok</x:v>
      </x:c>
      <x:c r="W519" s="154" t="str">
        <x:v>{"schema_version":1,"imei":"862323089930712","timestamp":1786021253,"report_sequence":22,"task_version":"rice_tension_soil_demo","sensor_mode":"tension_soil","soil_moisture_percent":37.4,"soil_temperature_c":24.9,"soil_ec_us_cm":913,"soil_ph":6.39,"battery_mv":3920,"csq":21,"soil_rs485_status":"ok","cycle_status":"ok","soil_tension_kpa":-35.4,"soil_tension_rs485_status":"ok"}</x:v>
      </x:c>
    </x:row>
    <x:row r="520">
      <x:c r="A520" s="72" t="n">
        <x:v>46240.875613425924</x:v>
      </x:c>
      <x:c r="B520" s="72" t="n">
        <x:v>46240.87562731482</x:v>
      </x:c>
      <x:c r="C520" s="32" t="str">
        <x:v>P13</x:v>
      </x:c>
      <x:c r="D520" s="32" t="str">
        <x:v>B3-W0-V1</x:v>
      </x:c>
      <x:c r="E520" s="32" t="str">
        <x:v>B3</x:v>
      </x:c>
      <x:c r="F520" s="32" t="str">
        <x:v>W0</x:v>
      </x:c>
      <x:c r="G520" s="32" t="str">
        <x:v>V1</x:v>
      </x:c>
      <x:c r="H520" s="32" t="str">
        <x:v>water_soil</x:v>
      </x:c>
      <x:c r="I520" s="32" t="str">
        <x:v>862323089930713</x:v>
      </x:c>
      <x:c r="J520" s="82" t="n">
        <x:v>28.3</x:v>
      </x:c>
      <x:c r="K520" s="82"/>
      <x:c r="L520" s="82" t="n">
        <x:v>37.9</x:v>
      </x:c>
      <x:c r="M520" s="82" t="n">
        <x:v>24.8</x:v>
      </x:c>
      <x:c r="N520" s="86" t="n">
        <x:v>917</x:v>
      </x:c>
      <x:c r="O520" s="90" t="n">
        <x:v>6.43</x:v>
      </x:c>
      <x:c r="P520" s="150" t="n">
        <x:v>3.938</x:v>
      </x:c>
      <x:c r="Q520" s="86" t="n">
        <x:v>22</x:v>
      </x:c>
      <x:c r="R520" s="32" t="str">
        <x:v>ok</x:v>
      </x:c>
      <x:c r="S520" s="32"/>
      <x:c r="T520" s="32" t="str">
        <x:v>ok</x:v>
      </x:c>
      <x:c r="U520" s="32" t="str">
        <x:v>ok</x:v>
      </x:c>
      <x:c r="V520" s="32" t="str">
        <x:v>ok</x:v>
      </x:c>
      <x:c r="W520" s="154" t="str">
        <x:v>{"schema_version":1,"imei":"862323089930713","timestamp":1786021253,"report_sequence":22,"task_version":"rice_w0_water_soil_demo","sensor_mode":"water_soil","soil_moisture_percent":37.9,"soil_temperature_c":24.8,"soil_ec_us_cm":917,"soil_ph":6.43,"battery_mv":3938,"csq":22,"soil_rs485_status":"ok","cycle_status":"ok","water_level_mm":28.3,"water_4_20ma_status":"ok"}</x:v>
      </x:c>
    </x:row>
    <x:row r="521">
      <x:c r="A521" s="72" t="n">
        <x:v>46240.875613425924</x:v>
      </x:c>
      <x:c r="B521" s="72" t="n">
        <x:v>46240.87562731482</x:v>
      </x:c>
      <x:c r="C521" s="32" t="str">
        <x:v>P14</x:v>
      </x:c>
      <x:c r="D521" s="32" t="str">
        <x:v>B3-W0-V2</x:v>
      </x:c>
      <x:c r="E521" s="32" t="str">
        <x:v>B3</x:v>
      </x:c>
      <x:c r="F521" s="32" t="str">
        <x:v>W0</x:v>
      </x:c>
      <x:c r="G521" s="32" t="str">
        <x:v>V2</x:v>
      </x:c>
      <x:c r="H521" s="32" t="str">
        <x:v>water_soil</x:v>
      </x:c>
      <x:c r="I521" s="32" t="str">
        <x:v>862323089930714</x:v>
      </x:c>
      <x:c r="J521" s="82" t="n">
        <x:v>30.3</x:v>
      </x:c>
      <x:c r="K521" s="82"/>
      <x:c r="L521" s="82" t="n">
        <x:v>38.5</x:v>
      </x:c>
      <x:c r="M521" s="82" t="n">
        <x:v>24.7</x:v>
      </x:c>
      <x:c r="N521" s="86" t="n">
        <x:v>922</x:v>
      </x:c>
      <x:c r="O521" s="90" t="n">
        <x:v>6.48</x:v>
      </x:c>
      <x:c r="P521" s="150" t="n">
        <x:v>3.956</x:v>
      </x:c>
      <x:c r="Q521" s="86" t="n">
        <x:v>23</x:v>
      </x:c>
      <x:c r="R521" s="32" t="str">
        <x:v>ok</x:v>
      </x:c>
      <x:c r="S521" s="32"/>
      <x:c r="T521" s="32" t="str">
        <x:v>ok</x:v>
      </x:c>
      <x:c r="U521" s="32" t="str">
        <x:v>ok</x:v>
      </x:c>
      <x:c r="V521" s="32" t="str">
        <x:v>ok</x:v>
      </x:c>
      <x:c r="W521" s="154" t="str">
        <x:v>{"schema_version":1,"imei":"862323089930714","timestamp":1786021253,"report_sequence":22,"task_version":"rice_w0_water_soil_demo","sensor_mode":"water_soil","soil_moisture_percent":38.5,"soil_temperature_c":24.7,"soil_ec_us_cm":922,"soil_ph":6.48,"battery_mv":3956,"csq":23,"soil_rs485_status":"ok","cycle_status":"ok","water_level_mm":30.3,"water_4_20ma_status":"ok"}</x:v>
      </x:c>
    </x:row>
    <x:row r="522">
      <x:c r="A522" s="72" t="n">
        <x:v>46240.875613425924</x:v>
      </x:c>
      <x:c r="B522" s="72" t="n">
        <x:v>46240.87562731482</x:v>
      </x:c>
      <x:c r="C522" s="32" t="str">
        <x:v>P15</x:v>
      </x:c>
      <x:c r="D522" s="32" t="str">
        <x:v>B3-W1-V1</x:v>
      </x:c>
      <x:c r="E522" s="32" t="str">
        <x:v>B3</x:v>
      </x:c>
      <x:c r="F522" s="32" t="str">
        <x:v>W1</x:v>
      </x:c>
      <x:c r="G522" s="32" t="str">
        <x:v>V1</x:v>
      </x:c>
      <x:c r="H522" s="32" t="str">
        <x:v>tension_soil</x:v>
      </x:c>
      <x:c r="I522" s="32" t="str">
        <x:v>862323089930715</x:v>
      </x:c>
      <x:c r="J522" s="82"/>
      <x:c r="K522" s="82" t="n">
        <x:v>-21.2</x:v>
      </x:c>
      <x:c r="L522" s="82" t="n">
        <x:v>39.2</x:v>
      </x:c>
      <x:c r="M522" s="82" t="n">
        <x:v>24.7</x:v>
      </x:c>
      <x:c r="N522" s="86" t="n">
        <x:v>929</x:v>
      </x:c>
      <x:c r="O522" s="90" t="n">
        <x:v>6.27</x:v>
      </x:c>
      <x:c r="P522" s="150" t="n">
        <x:v>3.974</x:v>
      </x:c>
      <x:c r="Q522" s="86" t="n">
        <x:v>24</x:v>
      </x:c>
      <x:c r="R522" s="32"/>
      <x:c r="S522" s="32" t="str">
        <x:v>ok</x:v>
      </x:c>
      <x:c r="T522" s="32" t="str">
        <x:v>ok</x:v>
      </x:c>
      <x:c r="U522" s="32" t="str">
        <x:v>ok</x:v>
      </x:c>
      <x:c r="V522" s="32" t="str">
        <x:v>ok</x:v>
      </x:c>
      <x:c r="W522" s="154" t="str">
        <x:v>{"schema_version":1,"imei":"862323089930715","timestamp":1786021253,"report_sequence":22,"task_version":"rice_tension_soil_demo","sensor_mode":"tension_soil","soil_moisture_percent":39.2,"soil_temperature_c":24.7,"soil_ec_us_cm":929,"soil_ph":6.27,"battery_mv":3974,"csq":24,"soil_rs485_status":"ok","cycle_status":"ok","soil_tension_kpa":-21.2,"soil_tension_rs485_status":"ok"}</x:v>
      </x:c>
    </x:row>
    <x:row r="523">
      <x:c r="A523" s="72" t="n">
        <x:v>46240.875613425924</x:v>
      </x:c>
      <x:c r="B523" s="72" t="n">
        <x:v>46240.87562731482</x:v>
      </x:c>
      <x:c r="C523" s="32" t="str">
        <x:v>P16</x:v>
      </x:c>
      <x:c r="D523" s="32" t="str">
        <x:v>B3-W1-V2</x:v>
      </x:c>
      <x:c r="E523" s="32" t="str">
        <x:v>B3</x:v>
      </x:c>
      <x:c r="F523" s="32" t="str">
        <x:v>W1</x:v>
      </x:c>
      <x:c r="G523" s="32" t="str">
        <x:v>V2</x:v>
      </x:c>
      <x:c r="H523" s="32" t="str">
        <x:v>tension_soil</x:v>
      </x:c>
      <x:c r="I523" s="32" t="str">
        <x:v>862323089930716</x:v>
      </x:c>
      <x:c r="J523" s="82"/>
      <x:c r="K523" s="82" t="n">
        <x:v>-22.1</x:v>
      </x:c>
      <x:c r="L523" s="82" t="n">
        <x:v>32.1</x:v>
      </x:c>
      <x:c r="M523" s="82" t="n">
        <x:v>24.6</x:v>
      </x:c>
      <x:c r="N523" s="86" t="n">
        <x:v>938</x:v>
      </x:c>
      <x:c r="O523" s="90" t="n">
        <x:v>6.32</x:v>
      </x:c>
      <x:c r="P523" s="150" t="n">
        <x:v>3.992</x:v>
      </x:c>
      <x:c r="Q523" s="86" t="n">
        <x:v>17</x:v>
      </x:c>
      <x:c r="R523" s="32"/>
      <x:c r="S523" s="32" t="str">
        <x:v>ok</x:v>
      </x:c>
      <x:c r="T523" s="32" t="str">
        <x:v>ok</x:v>
      </x:c>
      <x:c r="U523" s="32" t="str">
        <x:v>ok</x:v>
      </x:c>
      <x:c r="V523" s="32" t="str">
        <x:v>ok</x:v>
      </x:c>
      <x:c r="W523" s="154" t="str">
        <x:v>{"schema_version":1,"imei":"862323089930716","timestamp":1786021253,"report_sequence":22,"task_version":"rice_tension_soil_demo","sensor_mode":"tension_soil","soil_moisture_percent":32.1,"soil_temperature_c":24.6,"soil_ec_us_cm":938,"soil_ph":6.32,"battery_mv":3992,"csq":17,"soil_rs485_status":"ok","cycle_status":"ok","soil_tension_kpa":-22.1,"soil_tension_rs485_status":"ok"}</x:v>
      </x:c>
    </x:row>
    <x:row r="524">
      <x:c r="A524" s="72" t="n">
        <x:v>46240.875613425924</x:v>
      </x:c>
      <x:c r="B524" s="72" t="n">
        <x:v>46240.87562731482</x:v>
      </x:c>
      <x:c r="C524" s="32" t="str">
        <x:v>P17</x:v>
      </x:c>
      <x:c r="D524" s="32" t="str">
        <x:v>B3-W2-V1</x:v>
      </x:c>
      <x:c r="E524" s="32" t="str">
        <x:v>B3</x:v>
      </x:c>
      <x:c r="F524" s="32" t="str">
        <x:v>W2</x:v>
      </x:c>
      <x:c r="G524" s="32" t="str">
        <x:v>V1</x:v>
      </x:c>
      <x:c r="H524" s="32" t="str">
        <x:v>tension_soil</x:v>
      </x:c>
      <x:c r="I524" s="32" t="str">
        <x:v>862323089930717</x:v>
      </x:c>
      <x:c r="J524" s="82"/>
      <x:c r="K524" s="82" t="n">
        <x:v>-34</x:v>
      </x:c>
      <x:c r="L524" s="82" t="n">
        <x:v>33</x:v>
      </x:c>
      <x:c r="M524" s="82" t="n">
        <x:v>24.6</x:v>
      </x:c>
      <x:c r="N524" s="86" t="n">
        <x:v>949</x:v>
      </x:c>
      <x:c r="O524" s="90" t="n">
        <x:v>6.37</x:v>
      </x:c>
      <x:c r="P524" s="150" t="n">
        <x:v>4.01</x:v>
      </x:c>
      <x:c r="Q524" s="86" t="n">
        <x:v>18</x:v>
      </x:c>
      <x:c r="R524" s="32"/>
      <x:c r="S524" s="32" t="str">
        <x:v>ok</x:v>
      </x:c>
      <x:c r="T524" s="32" t="str">
        <x:v>ok</x:v>
      </x:c>
      <x:c r="U524" s="32" t="str">
        <x:v>ok</x:v>
      </x:c>
      <x:c r="V524" s="32" t="str">
        <x:v>ok</x:v>
      </x:c>
      <x:c r="W524" s="154" t="str">
        <x:v>{"schema_version":1,"imei":"862323089930717","timestamp":1786021253,"report_sequence":22,"task_version":"rice_tension_soil_demo","sensor_mode":"tension_soil","soil_moisture_percent":33,"soil_temperature_c":24.6,"soil_ec_us_cm":949,"soil_ph":6.37,"battery_mv":4010,"csq":18,"soil_rs485_status":"ok","cycle_status":"ok","soil_tension_kpa":-34,"soil_tension_rs485_status":"ok"}</x:v>
      </x:c>
    </x:row>
    <x:row r="525">
      <x:c r="A525" s="72" t="n">
        <x:v>46240.875613425924</x:v>
      </x:c>
      <x:c r="B525" s="72" t="n">
        <x:v>46240.87562731482</x:v>
      </x:c>
      <x:c r="C525" s="32" t="str">
        <x:v>P18</x:v>
      </x:c>
      <x:c r="D525" s="32" t="str">
        <x:v>B3-W2-V2</x:v>
      </x:c>
      <x:c r="E525" s="32" t="str">
        <x:v>B3</x:v>
      </x:c>
      <x:c r="F525" s="32" t="str">
        <x:v>W2</x:v>
      </x:c>
      <x:c r="G525" s="32" t="str">
        <x:v>V2</x:v>
      </x:c>
      <x:c r="H525" s="32" t="str">
        <x:v>tension_soil</x:v>
      </x:c>
      <x:c r="I525" s="32" t="str">
        <x:v>862323089930718</x:v>
      </x:c>
      <x:c r="J525" s="82"/>
      <x:c r="K525" s="82" t="n">
        <x:v>-35.1</x:v>
      </x:c>
      <x:c r="L525" s="82" t="n">
        <x:v>34.1</x:v>
      </x:c>
      <x:c r="M525" s="82" t="n">
        <x:v>24.6</x:v>
      </x:c>
      <x:c r="N525" s="86" t="n">
        <x:v>962</x:v>
      </x:c>
      <x:c r="O525" s="90" t="n">
        <x:v>6.42</x:v>
      </x:c>
      <x:c r="P525" s="150" t="n">
        <x:v>3.92</x:v>
      </x:c>
      <x:c r="Q525" s="86" t="n">
        <x:v>19</x:v>
      </x:c>
      <x:c r="R525" s="32"/>
      <x:c r="S525" s="32" t="str">
        <x:v>ok</x:v>
      </x:c>
      <x:c r="T525" s="32" t="str">
        <x:v>ok</x:v>
      </x:c>
      <x:c r="U525" s="32" t="str">
        <x:v>ok</x:v>
      </x:c>
      <x:c r="V525" s="32" t="str">
        <x:v>ok</x:v>
      </x:c>
      <x:c r="W525" s="154" t="str">
        <x:v>{"schema_version":1,"imei":"862323089930718","timestamp":1786021253,"report_sequence":22,"task_version":"rice_tension_soil_demo","sensor_mode":"tension_soil","soil_moisture_percent":34.1,"soil_temperature_c":24.6,"soil_ec_us_cm":962,"soil_ph":6.42,"battery_mv":3920,"csq":19,"soil_rs485_status":"ok","cycle_status":"ok","soil_tension_kpa":-35.1,"soil_tension_rs485_status":"ok"}</x:v>
      </x:c>
    </x:row>
    <x:row r="526">
      <x:c r="A526" s="72" t="n">
        <x:v>46240.875613425924</x:v>
      </x:c>
      <x:c r="B526" s="72" t="n">
        <x:v>46240.87562731482</x:v>
      </x:c>
      <x:c r="C526" s="32" t="str">
        <x:v>P19</x:v>
      </x:c>
      <x:c r="D526" s="32" t="str">
        <x:v>B4-W0-V1</x:v>
      </x:c>
      <x:c r="E526" s="32" t="str">
        <x:v>B4</x:v>
      </x:c>
      <x:c r="F526" s="32" t="str">
        <x:v>W0</x:v>
      </x:c>
      <x:c r="G526" s="32" t="str">
        <x:v>V1</x:v>
      </x:c>
      <x:c r="H526" s="32" t="str">
        <x:v>water_soil</x:v>
      </x:c>
      <x:c r="I526" s="32" t="str">
        <x:v>862323089930719</x:v>
      </x:c>
      <x:c r="J526" s="82" t="n">
        <x:v>32.6</x:v>
      </x:c>
      <x:c r="K526" s="82"/>
      <x:c r="L526" s="82" t="n">
        <x:v>35.2</x:v>
      </x:c>
      <x:c r="M526" s="82" t="n">
        <x:v>24.7</x:v>
      </x:c>
      <x:c r="N526" s="86" t="n">
        <x:v>977</x:v>
      </x:c>
      <x:c r="O526" s="90" t="n">
        <x:v>6.47</x:v>
      </x:c>
      <x:c r="P526" s="150" t="n">
        <x:v>3.938</x:v>
      </x:c>
      <x:c r="Q526" s="86" t="n">
        <x:v>20</x:v>
      </x:c>
      <x:c r="R526" s="32" t="str">
        <x:v>ok</x:v>
      </x:c>
      <x:c r="S526" s="32"/>
      <x:c r="T526" s="32" t="str">
        <x:v>ok</x:v>
      </x:c>
      <x:c r="U526" s="32" t="str">
        <x:v>ok</x:v>
      </x:c>
      <x:c r="V526" s="32" t="str">
        <x:v>ok</x:v>
      </x:c>
      <x:c r="W526" s="154" t="str">
        <x:v>{"schema_version":1,"imei":"862323089930719","timestamp":1786021253,"report_sequence":22,"task_version":"rice_w0_water_soil_demo","sensor_mode":"water_soil","soil_moisture_percent":35.2,"soil_temperature_c":24.7,"soil_ec_us_cm":977,"soil_ph":6.47,"battery_mv":3938,"csq":20,"soil_rs485_status":"ok","cycle_status":"ok","water_level_mm":32.6,"water_4_20ma_status":"ok"}</x:v>
      </x:c>
    </x:row>
    <x:row r="527">
      <x:c r="A527" s="72" t="n">
        <x:v>46240.875613425924</x:v>
      </x:c>
      <x:c r="B527" s="72" t="n">
        <x:v>46240.87562731482</x:v>
      </x:c>
      <x:c r="C527" s="32" t="str">
        <x:v>P20</x:v>
      </x:c>
      <x:c r="D527" s="32" t="str">
        <x:v>B4-W0-V2</x:v>
      </x:c>
      <x:c r="E527" s="32" t="str">
        <x:v>B4</x:v>
      </x:c>
      <x:c r="F527" s="32" t="str">
        <x:v>W0</x:v>
      </x:c>
      <x:c r="G527" s="32" t="str">
        <x:v>V2</x:v>
      </x:c>
      <x:c r="H527" s="32" t="str">
        <x:v>water_soil</x:v>
      </x:c>
      <x:c r="I527" s="32" t="str">
        <x:v>862323089930720</x:v>
      </x:c>
      <x:c r="J527" s="82" t="n">
        <x:v>24.4</x:v>
      </x:c>
      <x:c r="K527" s="82"/>
      <x:c r="L527" s="82" t="n">
        <x:v>36.5</x:v>
      </x:c>
      <x:c r="M527" s="82" t="n">
        <x:v>24.7</x:v>
      </x:c>
      <x:c r="N527" s="86" t="n">
        <x:v>994</x:v>
      </x:c>
      <x:c r="O527" s="90" t="n">
        <x:v>6.28</x:v>
      </x:c>
      <x:c r="P527" s="150" t="n">
        <x:v>3.956</x:v>
      </x:c>
      <x:c r="Q527" s="86" t="n">
        <x:v>21</x:v>
      </x:c>
      <x:c r="R527" s="32" t="str">
        <x:v>ok</x:v>
      </x:c>
      <x:c r="S527" s="32"/>
      <x:c r="T527" s="32" t="str">
        <x:v>ok</x:v>
      </x:c>
      <x:c r="U527" s="32" t="str">
        <x:v>ok</x:v>
      </x:c>
      <x:c r="V527" s="32" t="str">
        <x:v>ok</x:v>
      </x:c>
      <x:c r="W527" s="154" t="str">
        <x:v>{"schema_version":1,"imei":"862323089930720","timestamp":1786021253,"report_sequence":22,"task_version":"rice_w0_water_soil_demo","sensor_mode":"water_soil","soil_moisture_percent":36.5,"soil_temperature_c":24.7,"soil_ec_us_cm":994,"soil_ph":6.28,"battery_mv":3956,"csq":21,"soil_rs485_status":"ok","cycle_status":"ok","water_level_mm":24.4,"water_4_20ma_status":"ok"}</x:v>
      </x:c>
    </x:row>
    <x:row r="528">
      <x:c r="A528" s="72" t="n">
        <x:v>46240.875613425924</x:v>
      </x:c>
      <x:c r="B528" s="72" t="n">
        <x:v>46240.87562731482</x:v>
      </x:c>
      <x:c r="C528" s="32" t="str">
        <x:v>P21</x:v>
      </x:c>
      <x:c r="D528" s="32" t="str">
        <x:v>B4-W1-V1</x:v>
      </x:c>
      <x:c r="E528" s="32" t="str">
        <x:v>B4</x:v>
      </x:c>
      <x:c r="F528" s="32" t="str">
        <x:v>W1</x:v>
      </x:c>
      <x:c r="G528" s="32" t="str">
        <x:v>V1</x:v>
      </x:c>
      <x:c r="H528" s="32" t="str">
        <x:v>tension_soil</x:v>
      </x:c>
      <x:c r="I528" s="32" t="str">
        <x:v>862323089930721</x:v>
      </x:c>
      <x:c r="J528" s="82"/>
      <x:c r="K528" s="82" t="n">
        <x:v>-22.9</x:v>
      </x:c>
      <x:c r="L528" s="82" t="n">
        <x:v>37.9</x:v>
      </x:c>
      <x:c r="M528" s="82" t="n">
        <x:v>24.8</x:v>
      </x:c>
      <x:c r="N528" s="86" t="n">
        <x:v>1013</x:v>
      </x:c>
      <x:c r="O528" s="90" t="n">
        <x:v>6.33</x:v>
      </x:c>
      <x:c r="P528" s="150" t="n">
        <x:v>3.974</x:v>
      </x:c>
      <x:c r="Q528" s="86" t="n">
        <x:v>22</x:v>
      </x:c>
      <x:c r="R528" s="32"/>
      <x:c r="S528" s="32" t="str">
        <x:v>ok</x:v>
      </x:c>
      <x:c r="T528" s="32" t="str">
        <x:v>ok</x:v>
      </x:c>
      <x:c r="U528" s="32" t="str">
        <x:v>ok</x:v>
      </x:c>
      <x:c r="V528" s="32" t="str">
        <x:v>ok</x:v>
      </x:c>
      <x:c r="W528" s="154" t="str">
        <x:v>{"schema_version":1,"imei":"862323089930721","timestamp":1786021253,"report_sequence":22,"task_version":"rice_tension_soil_demo","sensor_mode":"tension_soil","soil_moisture_percent":37.9,"soil_temperature_c":24.8,"soil_ec_us_cm":1013,"soil_ph":6.33,"battery_mv":3974,"csq":22,"soil_rs485_status":"ok","cycle_status":"ok","soil_tension_kpa":-22.9,"soil_tension_rs485_status":"ok"}</x:v>
      </x:c>
    </x:row>
    <x:row r="529">
      <x:c r="A529" s="72" t="n">
        <x:v>46240.875613425924</x:v>
      </x:c>
      <x:c r="B529" s="72" t="n">
        <x:v>46240.87562731482</x:v>
      </x:c>
      <x:c r="C529" s="32" t="str">
        <x:v>P22</x:v>
      </x:c>
      <x:c r="D529" s="32" t="str">
        <x:v>B4-W1-V2</x:v>
      </x:c>
      <x:c r="E529" s="32" t="str">
        <x:v>B4</x:v>
      </x:c>
      <x:c r="F529" s="32" t="str">
        <x:v>W1</x:v>
      </x:c>
      <x:c r="G529" s="32" t="str">
        <x:v>V2</x:v>
      </x:c>
      <x:c r="H529" s="32" t="str">
        <x:v>tension_soil</x:v>
      </x:c>
      <x:c r="I529" s="32" t="str">
        <x:v>862323089930722</x:v>
      </x:c>
      <x:c r="J529" s="82"/>
      <x:c r="K529" s="82" t="n">
        <x:v>-24.4</x:v>
      </x:c>
      <x:c r="L529" s="82" t="n">
        <x:v>39.4</x:v>
      </x:c>
      <x:c r="M529" s="82" t="n">
        <x:v>24.9</x:v>
      </x:c>
      <x:c r="N529" s="86" t="n">
        <x:v>1033</x:v>
      </x:c>
      <x:c r="O529" s="90" t="n">
        <x:v>6.39</x:v>
      </x:c>
      <x:c r="P529" s="150" t="n">
        <x:v>3.992</x:v>
      </x:c>
      <x:c r="Q529" s="86" t="n">
        <x:v>23</x:v>
      </x:c>
      <x:c r="R529" s="32"/>
      <x:c r="S529" s="32" t="str">
        <x:v>ok</x:v>
      </x:c>
      <x:c r="T529" s="32" t="str">
        <x:v>ok</x:v>
      </x:c>
      <x:c r="U529" s="32" t="str">
        <x:v>ok</x:v>
      </x:c>
      <x:c r="V529" s="32" t="str">
        <x:v>ok</x:v>
      </x:c>
      <x:c r="W529" s="154" t="str">
        <x:v>{"schema_version":1,"imei":"862323089930722","timestamp":1786021253,"report_sequence":22,"task_version":"rice_tension_soil_demo","sensor_mode":"tension_soil","soil_moisture_percent":39.4,"soil_temperature_c":24.9,"soil_ec_us_cm":1033,"soil_ph":6.39,"battery_mv":3992,"csq":23,"soil_rs485_status":"ok","cycle_status":"ok","soil_tension_kpa":-24.4,"soil_tension_rs485_status":"ok"}</x:v>
      </x:c>
    </x:row>
    <x:row r="530">
      <x:c r="A530" s="72" t="n">
        <x:v>46240.875613425924</x:v>
      </x:c>
      <x:c r="B530" s="72" t="n">
        <x:v>46240.87562731482</x:v>
      </x:c>
      <x:c r="C530" s="32" t="str">
        <x:v>P23</x:v>
      </x:c>
      <x:c r="D530" s="32" t="str">
        <x:v>B4-W2-V1</x:v>
      </x:c>
      <x:c r="E530" s="32" t="str">
        <x:v>B4</x:v>
      </x:c>
      <x:c r="F530" s="32" t="str">
        <x:v>W2</x:v>
      </x:c>
      <x:c r="G530" s="32" t="str">
        <x:v>V1</x:v>
      </x:c>
      <x:c r="H530" s="32" t="str">
        <x:v>tension_soil</x:v>
      </x:c>
      <x:c r="I530" s="32" t="str">
        <x:v>862323089930723</x:v>
      </x:c>
      <x:c r="J530" s="82"/>
      <x:c r="K530" s="82" t="n">
        <x:v>-36.9</x:v>
      </x:c>
      <x:c r="L530" s="82" t="n">
        <x:v>40.9</x:v>
      </x:c>
      <x:c r="M530" s="82" t="n">
        <x:v>25.1</x:v>
      </x:c>
      <x:c r="N530" s="86" t="n">
        <x:v>1054</x:v>
      </x:c>
      <x:c r="O530" s="90" t="n">
        <x:v>6.45</x:v>
      </x:c>
      <x:c r="P530" s="150" t="n">
        <x:v>4.01</x:v>
      </x:c>
      <x:c r="Q530" s="86" t="n">
        <x:v>24</x:v>
      </x:c>
      <x:c r="R530" s="32"/>
      <x:c r="S530" s="32" t="str">
        <x:v>ok</x:v>
      </x:c>
      <x:c r="T530" s="32" t="str">
        <x:v>ok</x:v>
      </x:c>
      <x:c r="U530" s="32" t="str">
        <x:v>ok</x:v>
      </x:c>
      <x:c r="V530" s="32" t="str">
        <x:v>ok</x:v>
      </x:c>
      <x:c r="W530" s="154" t="str">
        <x:v>{"schema_version":1,"imei":"862323089930723","timestamp":1786021253,"report_sequence":22,"task_version":"rice_tension_soil_demo","sensor_mode":"tension_soil","soil_moisture_percent":40.9,"soil_temperature_c":25.1,"soil_ec_us_cm":1054,"soil_ph":6.45,"battery_mv":4010,"csq":24,"soil_rs485_status":"ok","cycle_status":"ok","soil_tension_kpa":-36.9,"soil_tension_rs485_status":"ok"}</x:v>
      </x:c>
    </x:row>
    <x:row r="531">
      <x:c r="A531" s="72" t="n">
        <x:v>46240.875613425924</x:v>
      </x:c>
      <x:c r="B531" s="72" t="n">
        <x:v>46240.87562731482</x:v>
      </x:c>
      <x:c r="C531" s="32" t="str">
        <x:v>P24</x:v>
      </x:c>
      <x:c r="D531" s="32" t="str">
        <x:v>B4-W2-V2</x:v>
      </x:c>
      <x:c r="E531" s="32" t="str">
        <x:v>B4</x:v>
      </x:c>
      <x:c r="F531" s="32" t="str">
        <x:v>W2</x:v>
      </x:c>
      <x:c r="G531" s="32" t="str">
        <x:v>V2</x:v>
      </x:c>
      <x:c r="H531" s="32" t="str">
        <x:v>tension_soil</x:v>
      </x:c>
      <x:c r="I531" s="32" t="str">
        <x:v>862323089930724</x:v>
      </x:c>
      <x:c r="J531" s="82"/>
      <x:c r="K531" s="82" t="n">
        <x:v>-38.4</x:v>
      </x:c>
      <x:c r="L531" s="82" t="n">
        <x:v>34.4</x:v>
      </x:c>
      <x:c r="M531" s="82" t="n">
        <x:v>25.2</x:v>
      </x:c>
      <x:c r="N531" s="86" t="n">
        <x:v>1074</x:v>
      </x:c>
      <x:c r="O531" s="90" t="n">
        <x:v>6.51</x:v>
      </x:c>
      <x:c r="P531" s="150" t="n">
        <x:v>3.92</x:v>
      </x:c>
      <x:c r="Q531" s="86" t="n">
        <x:v>17</x:v>
      </x:c>
      <x:c r="R531" s="32"/>
      <x:c r="S531" s="32" t="str">
        <x:v>ok</x:v>
      </x:c>
      <x:c r="T531" s="32" t="str">
        <x:v>ok</x:v>
      </x:c>
      <x:c r="U531" s="32" t="str">
        <x:v>ok</x:v>
      </x:c>
      <x:c r="V531" s="32" t="str">
        <x:v>ok</x:v>
      </x:c>
      <x:c r="W531" s="154" t="str">
        <x:v>{"schema_version":1,"imei":"862323089930724","timestamp":1786021253,"report_sequence":22,"task_version":"rice_tension_soil_demo","sensor_mode":"tension_soil","soil_moisture_percent":34.4,"soil_temperature_c":25.2,"soil_ec_us_cm":1074,"soil_ph":6.51,"battery_mv":3920,"csq":17,"soil_rs485_status":"ok","cycle_status":"ok","soil_tension_kpa":-38.4,"soil_tension_rs485_status":"ok"}</x:v>
      </x:c>
    </x:row>
    <x:row r="532">
      <x:c r="A532" s="72" t="n">
        <x:v>46240.87908564815</x:v>
      </x:c>
      <x:c r="B532" s="72" t="n">
        <x:v>46240.87909953704</x:v>
      </x:c>
      <x:c r="C532" s="32" t="str">
        <x:v>P01</x:v>
      </x:c>
      <x:c r="D532" s="32" t="str">
        <x:v>B1-W0-V1</x:v>
      </x:c>
      <x:c r="E532" s="32" t="str">
        <x:v>B1</x:v>
      </x:c>
      <x:c r="F532" s="32" t="str">
        <x:v>W0</x:v>
      </x:c>
      <x:c r="G532" s="32" t="str">
        <x:v>V1</x:v>
      </x:c>
      <x:c r="H532" s="32" t="str">
        <x:v>water_soil</x:v>
      </x:c>
      <x:c r="I532" s="32" t="str">
        <x:v>862323089930701</x:v>
      </x:c>
      <x:c r="J532" s="82" t="n">
        <x:v>33.3</x:v>
      </x:c>
      <x:c r="K532" s="82"/>
      <x:c r="L532" s="82" t="n">
        <x:v>35.9</x:v>
      </x:c>
      <x:c r="M532" s="82" t="n">
        <x:v>25.3</x:v>
      </x:c>
      <x:c r="N532" s="86" t="n">
        <x:v>808</x:v>
      </x:c>
      <x:c r="O532" s="90" t="n">
        <x:v>6.36</x:v>
      </x:c>
      <x:c r="P532" s="150" t="n">
        <x:v>3.938</x:v>
      </x:c>
      <x:c r="Q532" s="86" t="n">
        <x:v>18</x:v>
      </x:c>
      <x:c r="R532" s="32" t="str">
        <x:v>ok</x:v>
      </x:c>
      <x:c r="S532" s="32"/>
      <x:c r="T532" s="32" t="str">
        <x:v>ok</x:v>
      </x:c>
      <x:c r="U532" s="32" t="str">
        <x:v>ok</x:v>
      </x:c>
      <x:c r="V532" s="32" t="str">
        <x:v>ok</x:v>
      </x:c>
      <x:c r="W532" s="154" t="str">
        <x:v>{"schema_version":1,"imei":"862323089930701","timestamp":1786021553,"report_sequence":23,"task_version":"rice_w0_water_soil_demo","sensor_mode":"water_soil","soil_moisture_percent":35.9,"soil_temperature_c":25.3,"soil_ec_us_cm":808,"soil_ph":6.36,"battery_mv":3938,"csq":18,"soil_rs485_status":"ok","cycle_status":"ok","water_level_mm":33.3,"water_4_20ma_status":"ok"}</x:v>
      </x:c>
    </x:row>
    <x:row r="533">
      <x:c r="A533" s="72" t="n">
        <x:v>46240.87908564815</x:v>
      </x:c>
      <x:c r="B533" s="72" t="n">
        <x:v>46240.87909953704</x:v>
      </x:c>
      <x:c r="C533" s="32" t="str">
        <x:v>P02</x:v>
      </x:c>
      <x:c r="D533" s="32" t="str">
        <x:v>B1-W0-V2</x:v>
      </x:c>
      <x:c r="E533" s="32" t="str">
        <x:v>B1</x:v>
      </x:c>
      <x:c r="F533" s="32" t="str">
        <x:v>W0</x:v>
      </x:c>
      <x:c r="G533" s="32" t="str">
        <x:v>V2</x:v>
      </x:c>
      <x:c r="H533" s="32" t="str">
        <x:v>water_soil</x:v>
      </x:c>
      <x:c r="I533" s="32" t="str">
        <x:v>862323089930702</x:v>
      </x:c>
      <x:c r="J533" s="82" t="n">
        <x:v>37.3</x:v>
      </x:c>
      <x:c r="K533" s="82"/>
      <x:c r="L533" s="82" t="n">
        <x:v>37.3</x:v>
      </x:c>
      <x:c r="M533" s="82" t="n">
        <x:v>25.4</x:v>
      </x:c>
      <x:c r="N533" s="86" t="n">
        <x:v>827</x:v>
      </x:c>
      <x:c r="O533" s="90" t="n">
        <x:v>6.42</x:v>
      </x:c>
      <x:c r="P533" s="150" t="n">
        <x:v>3.956</x:v>
      </x:c>
      <x:c r="Q533" s="86" t="n">
        <x:v>19</x:v>
      </x:c>
      <x:c r="R533" s="32" t="str">
        <x:v>ok</x:v>
      </x:c>
      <x:c r="S533" s="32"/>
      <x:c r="T533" s="32" t="str">
        <x:v>ok</x:v>
      </x:c>
      <x:c r="U533" s="32" t="str">
        <x:v>ok</x:v>
      </x:c>
      <x:c r="V533" s="32" t="str">
        <x:v>ok</x:v>
      </x:c>
      <x:c r="W533" s="154" t="str">
        <x:v>{"schema_version":1,"imei":"862323089930702","timestamp":1786021553,"report_sequence":23,"task_version":"rice_w0_water_soil_demo","sensor_mode":"water_soil","soil_moisture_percent":37.3,"soil_temperature_c":25.4,"soil_ec_us_cm":827,"soil_ph":6.42,"battery_mv":3956,"csq":19,"soil_rs485_status":"ok","cycle_status":"ok","water_level_mm":37.3,"water_4_20ma_status":"ok"}</x:v>
      </x:c>
    </x:row>
    <x:row r="534">
      <x:c r="A534" s="72" t="n">
        <x:v>46240.87908564815</x:v>
      </x:c>
      <x:c r="B534" s="72" t="n">
        <x:v>46240.87909953704</x:v>
      </x:c>
      <x:c r="C534" s="32" t="str">
        <x:v>P03</x:v>
      </x:c>
      <x:c r="D534" s="32" t="str">
        <x:v>B1-W1-V1</x:v>
      </x:c>
      <x:c r="E534" s="32" t="str">
        <x:v>B1</x:v>
      </x:c>
      <x:c r="F534" s="32" t="str">
        <x:v>W1</x:v>
      </x:c>
      <x:c r="G534" s="32" t="str">
        <x:v>V1</x:v>
      </x:c>
      <x:c r="H534" s="32" t="str">
        <x:v>tension_soil</x:v>
      </x:c>
      <x:c r="I534" s="32" t="str">
        <x:v>862323089930703</x:v>
      </x:c>
      <x:c r="J534" s="82"/>
      <x:c r="K534" s="82" t="n">
        <x:v>-27.6</x:v>
      </x:c>
      <x:c r="L534" s="82" t="n">
        <x:v>38.6</x:v>
      </x:c>
      <x:c r="M534" s="82" t="n">
        <x:v>25.5</x:v>
      </x:c>
      <x:c r="N534" s="86" t="n">
        <x:v>845</x:v>
      </x:c>
      <x:c r="O534" s="90" t="n">
        <x:v>6.47</x:v>
      </x:c>
      <x:c r="P534" s="150" t="n">
        <x:v>3.974</x:v>
      </x:c>
      <x:c r="Q534" s="86" t="n">
        <x:v>20</x:v>
      </x:c>
      <x:c r="R534" s="32"/>
      <x:c r="S534" s="32" t="str">
        <x:v>ok</x:v>
      </x:c>
      <x:c r="T534" s="32" t="str">
        <x:v>ok</x:v>
      </x:c>
      <x:c r="U534" s="32" t="str">
        <x:v>ok</x:v>
      </x:c>
      <x:c r="V534" s="32" t="str">
        <x:v>ok</x:v>
      </x:c>
      <x:c r="W534" s="154" t="str">
        <x:v>{"schema_version":1,"imei":"862323089930703","timestamp":1786021553,"report_sequence":23,"task_version":"rice_tension_soil_demo","sensor_mode":"tension_soil","soil_moisture_percent":38.6,"soil_temperature_c":25.5,"soil_ec_us_cm":845,"soil_ph":6.47,"battery_mv":3974,"csq":20,"soil_rs485_status":"ok","cycle_status":"ok","soil_tension_kpa":-27.6,"soil_tension_rs485_status":"ok"}</x:v>
      </x:c>
    </x:row>
    <x:row r="535">
      <x:c r="A535" s="72" t="n">
        <x:v>46240.87908564815</x:v>
      </x:c>
      <x:c r="B535" s="72" t="n">
        <x:v>46240.87909953704</x:v>
      </x:c>
      <x:c r="C535" s="32" t="str">
        <x:v>P04</x:v>
      </x:c>
      <x:c r="D535" s="32" t="str">
        <x:v>B1-W1-V2</x:v>
      </x:c>
      <x:c r="E535" s="32" t="str">
        <x:v>B1</x:v>
      </x:c>
      <x:c r="F535" s="32" t="str">
        <x:v>W1</x:v>
      </x:c>
      <x:c r="G535" s="32" t="str">
        <x:v>V2</x:v>
      </x:c>
      <x:c r="H535" s="32" t="str">
        <x:v>tension_soil</x:v>
      </x:c>
      <x:c r="I535" s="32" t="str">
        <x:v>862323089930704</x:v>
      </x:c>
      <x:c r="J535" s="82"/>
      <x:c r="K535" s="82" t="n">
        <x:v>-28.9</x:v>
      </x:c>
      <x:c r="L535" s="82" t="n">
        <x:v>39.9</x:v>
      </x:c>
      <x:c r="M535" s="82" t="n">
        <x:v>25.6</x:v>
      </x:c>
      <x:c r="N535" s="86" t="n">
        <x:v>861</x:v>
      </x:c>
      <x:c r="O535" s="90" t="n">
        <x:v>6.53</x:v>
      </x:c>
      <x:c r="P535" s="150" t="n">
        <x:v>3.992</x:v>
      </x:c>
      <x:c r="Q535" s="86" t="n">
        <x:v>21</x:v>
      </x:c>
      <x:c r="R535" s="32"/>
      <x:c r="S535" s="32" t="str">
        <x:v>ok</x:v>
      </x:c>
      <x:c r="T535" s="32" t="str">
        <x:v>ok</x:v>
      </x:c>
      <x:c r="U535" s="32" t="str">
        <x:v>ok</x:v>
      </x:c>
      <x:c r="V535" s="32" t="str">
        <x:v>ok</x:v>
      </x:c>
      <x:c r="W535" s="154" t="str">
        <x:v>{"schema_version":1,"imei":"862323089930704","timestamp":1786021553,"report_sequence":23,"task_version":"rice_tension_soil_demo","sensor_mode":"tension_soil","soil_moisture_percent":39.9,"soil_temperature_c":25.6,"soil_ec_us_cm":861,"soil_ph":6.53,"battery_mv":3992,"csq":21,"soil_rs485_status":"ok","cycle_status":"ok","soil_tension_kpa":-28.9,"soil_tension_rs485_status":"ok"}</x:v>
      </x:c>
    </x:row>
    <x:row r="536">
      <x:c r="A536" s="72" t="n">
        <x:v>46240.87908564815</x:v>
      </x:c>
      <x:c r="B536" s="72" t="n">
        <x:v>46240.87909953704</x:v>
      </x:c>
      <x:c r="C536" s="32" t="str">
        <x:v>P05</x:v>
      </x:c>
      <x:c r="D536" s="32" t="str">
        <x:v>B1-W2-V1</x:v>
      </x:c>
      <x:c r="E536" s="32" t="str">
        <x:v>B1</x:v>
      </x:c>
      <x:c r="F536" s="32" t="str">
        <x:v>W2</x:v>
      </x:c>
      <x:c r="G536" s="32" t="str">
        <x:v>V1</x:v>
      </x:c>
      <x:c r="H536" s="32" t="str">
        <x:v>tension_soil</x:v>
      </x:c>
      <x:c r="I536" s="32" t="str">
        <x:v>862323089930705</x:v>
      </x:c>
      <x:c r="J536" s="82"/>
      <x:c r="K536" s="82" t="n">
        <x:v>-36</x:v>
      </x:c>
      <x:c r="L536" s="82" t="n">
        <x:v>41</x:v>
      </x:c>
      <x:c r="M536" s="82" t="n">
        <x:v>25.6</x:v>
      </x:c>
      <x:c r="N536" s="86" t="n">
        <x:v>875</x:v>
      </x:c>
      <x:c r="O536" s="90" t="n">
        <x:v>6.33</x:v>
      </x:c>
      <x:c r="P536" s="150" t="n">
        <x:v>4.01</x:v>
      </x:c>
      <x:c r="Q536" s="86" t="n">
        <x:v>22</x:v>
      </x:c>
      <x:c r="R536" s="32"/>
      <x:c r="S536" s="32" t="str">
        <x:v>ok</x:v>
      </x:c>
      <x:c r="T536" s="32" t="str">
        <x:v>ok</x:v>
      </x:c>
      <x:c r="U536" s="32" t="str">
        <x:v>ok</x:v>
      </x:c>
      <x:c r="V536" s="32" t="str">
        <x:v>ok</x:v>
      </x:c>
      <x:c r="W536" s="154" t="str">
        <x:v>{"schema_version":1,"imei":"862323089930705","timestamp":1786021553,"report_sequence":23,"task_version":"rice_tension_soil_demo","sensor_mode":"tension_soil","soil_moisture_percent":41,"soil_temperature_c":25.6,"soil_ec_us_cm":875,"soil_ph":6.33,"battery_mv":4010,"csq":22,"soil_rs485_status":"ok","cycle_status":"ok","soil_tension_kpa":-36,"soil_tension_rs485_status":"ok"}</x:v>
      </x:c>
    </x:row>
    <x:row r="537">
      <x:c r="A537" s="72" t="n">
        <x:v>46240.87908564815</x:v>
      </x:c>
      <x:c r="B537" s="72" t="n">
        <x:v>46240.87909953704</x:v>
      </x:c>
      <x:c r="C537" s="32" t="str">
        <x:v>P06</x:v>
      </x:c>
      <x:c r="D537" s="32" t="str">
        <x:v>B1-W2-V2</x:v>
      </x:c>
      <x:c r="E537" s="32" t="str">
        <x:v>B1</x:v>
      </x:c>
      <x:c r="F537" s="32" t="str">
        <x:v>W2</x:v>
      </x:c>
      <x:c r="G537" s="32" t="str">
        <x:v>V2</x:v>
      </x:c>
      <x:c r="H537" s="32" t="str">
        <x:v>tension_soil</x:v>
      </x:c>
      <x:c r="I537" s="32" t="str">
        <x:v>862323089930706</x:v>
      </x:c>
      <x:c r="J537" s="82"/>
      <x:c r="K537" s="82" t="n">
        <x:v>-37</x:v>
      </x:c>
      <x:c r="L537" s="82" t="n">
        <x:v>42</x:v>
      </x:c>
      <x:c r="M537" s="82" t="n">
        <x:v>25.6</x:v>
      </x:c>
      <x:c r="N537" s="86" t="n">
        <x:v>887</x:v>
      </x:c>
      <x:c r="O537" s="90" t="n">
        <x:v>6.38</x:v>
      </x:c>
      <x:c r="P537" s="150" t="n">
        <x:v>3.92</x:v>
      </x:c>
      <x:c r="Q537" s="86" t="n">
        <x:v>23</x:v>
      </x:c>
      <x:c r="R537" s="32"/>
      <x:c r="S537" s="32" t="str">
        <x:v>ok</x:v>
      </x:c>
      <x:c r="T537" s="32" t="str">
        <x:v>ok</x:v>
      </x:c>
      <x:c r="U537" s="32" t="str">
        <x:v>ok</x:v>
      </x:c>
      <x:c r="V537" s="32" t="str">
        <x:v>ok</x:v>
      </x:c>
      <x:c r="W537" s="154" t="str">
        <x:v>{"schema_version":1,"imei":"862323089930706","timestamp":1786021553,"report_sequence":23,"task_version":"rice_tension_soil_demo","sensor_mode":"tension_soil","soil_moisture_percent":42,"soil_temperature_c":25.6,"soil_ec_us_cm":887,"soil_ph":6.38,"battery_mv":3920,"csq":23,"soil_rs485_status":"ok","cycle_status":"ok","soil_tension_kpa":-37,"soil_tension_rs485_status":"ok"}</x:v>
      </x:c>
    </x:row>
    <x:row r="538">
      <x:c r="A538" s="72" t="n">
        <x:v>46240.87908564815</x:v>
      </x:c>
      <x:c r="B538" s="72" t="n">
        <x:v>46240.87909953704</x:v>
      </x:c>
      <x:c r="C538" s="32" t="str">
        <x:v>P07</x:v>
      </x:c>
      <x:c r="D538" s="32" t="str">
        <x:v>B2-W0-V1</x:v>
      </x:c>
      <x:c r="E538" s="32" t="str">
        <x:v>B2</x:v>
      </x:c>
      <x:c r="F538" s="32" t="str">
        <x:v>W0</x:v>
      </x:c>
      <x:c r="G538" s="32" t="str">
        <x:v>V1</x:v>
      </x:c>
      <x:c r="H538" s="32" t="str">
        <x:v>water_soil</x:v>
      </x:c>
      <x:c r="I538" s="32" t="str">
        <x:v>862323089930707</x:v>
      </x:c>
      <x:c r="J538" s="82" t="n">
        <x:v>41.6</x:v>
      </x:c>
      <x:c r="K538" s="82"/>
      <x:c r="L538" s="82" t="n">
        <x:v>42.8</x:v>
      </x:c>
      <x:c r="M538" s="82" t="n">
        <x:v>25.6</x:v>
      </x:c>
      <x:c r="N538" s="86" t="n">
        <x:v>896</x:v>
      </x:c>
      <x:c r="O538" s="90" t="n">
        <x:v>6.43</x:v>
      </x:c>
      <x:c r="P538" s="150" t="n">
        <x:v>3.938</x:v>
      </x:c>
      <x:c r="Q538" s="86" t="n">
        <x:v>24</x:v>
      </x:c>
      <x:c r="R538" s="32" t="str">
        <x:v>ok</x:v>
      </x:c>
      <x:c r="S538" s="32"/>
      <x:c r="T538" s="32" t="str">
        <x:v>ok</x:v>
      </x:c>
      <x:c r="U538" s="32" t="str">
        <x:v>ok</x:v>
      </x:c>
      <x:c r="V538" s="32" t="str">
        <x:v>ok</x:v>
      </x:c>
      <x:c r="W538" s="154" t="str">
        <x:v>{"schema_version":1,"imei":"862323089930707","timestamp":1786021553,"report_sequence":23,"task_version":"rice_w0_water_soil_demo","sensor_mode":"water_soil","soil_moisture_percent":42.8,"soil_temperature_c":25.6,"soil_ec_us_cm":896,"soil_ph":6.43,"battery_mv":3938,"csq":24,"soil_rs485_status":"ok","cycle_status":"ok","water_level_mm":41.6,"water_4_20ma_status":"ok"}</x:v>
      </x:c>
    </x:row>
    <x:row r="539">
      <x:c r="A539" s="72" t="n">
        <x:v>46240.87908564815</x:v>
      </x:c>
      <x:c r="B539" s="72" t="n">
        <x:v>46240.87909953704</x:v>
      </x:c>
      <x:c r="C539" s="32" t="str">
        <x:v>P08</x:v>
      </x:c>
      <x:c r="D539" s="32" t="str">
        <x:v>B2-W0-V2</x:v>
      </x:c>
      <x:c r="E539" s="32" t="str">
        <x:v>B2</x:v>
      </x:c>
      <x:c r="F539" s="32" t="str">
        <x:v>W0</x:v>
      </x:c>
      <x:c r="G539" s="32" t="str">
        <x:v>V2</x:v>
      </x:c>
      <x:c r="H539" s="32" t="str">
        <x:v>water_soil</x:v>
      </x:c>
      <x:c r="I539" s="32" t="str">
        <x:v>862323089930708</x:v>
      </x:c>
      <x:c r="J539" s="82" t="n">
        <x:v>32</x:v>
      </x:c>
      <x:c r="K539" s="82"/>
      <x:c r="L539" s="82" t="n">
        <x:v>35.6</x:v>
      </x:c>
      <x:c r="M539" s="82" t="n">
        <x:v>25.5</x:v>
      </x:c>
      <x:c r="N539" s="86" t="n">
        <x:v>904</x:v>
      </x:c>
      <x:c r="O539" s="90" t="n">
        <x:v>6.47</x:v>
      </x:c>
      <x:c r="P539" s="150" t="n">
        <x:v>3.956</x:v>
      </x:c>
      <x:c r="Q539" s="86" t="n">
        <x:v>17</x:v>
      </x:c>
      <x:c r="R539" s="32" t="str">
        <x:v>ok</x:v>
      </x:c>
      <x:c r="S539" s="32"/>
      <x:c r="T539" s="32" t="str">
        <x:v>ok</x:v>
      </x:c>
      <x:c r="U539" s="32" t="str">
        <x:v>ok</x:v>
      </x:c>
      <x:c r="V539" s="32" t="str">
        <x:v>ok</x:v>
      </x:c>
      <x:c r="W539" s="154" t="str">
        <x:v>{"schema_version":1,"imei":"862323089930708","timestamp":1786021553,"report_sequence":23,"task_version":"rice_w0_water_soil_demo","sensor_mode":"water_soil","soil_moisture_percent":35.6,"soil_temperature_c":25.5,"soil_ec_us_cm":904,"soil_ph":6.47,"battery_mv":3956,"csq":17,"soil_rs485_status":"ok","cycle_status":"ok","water_level_mm":32,"water_4_20ma_status":"ok"}</x:v>
      </x:c>
    </x:row>
    <x:row r="540">
      <x:c r="A540" s="72" t="n">
        <x:v>46240.87908564815</x:v>
      </x:c>
      <x:c r="B540" s="72" t="n">
        <x:v>46240.87909953704</x:v>
      </x:c>
      <x:c r="C540" s="32" t="str">
        <x:v>P09</x:v>
      </x:c>
      <x:c r="D540" s="32" t="str">
        <x:v>B2-W1-V1</x:v>
      </x:c>
      <x:c r="E540" s="32" t="str">
        <x:v>B2</x:v>
      </x:c>
      <x:c r="F540" s="32" t="str">
        <x:v>W1</x:v>
      </x:c>
      <x:c r="G540" s="32" t="str">
        <x:v>V1</x:v>
      </x:c>
      <x:c r="H540" s="32" t="str">
        <x:v>tension_soil</x:v>
      </x:c>
      <x:c r="I540" s="32" t="str">
        <x:v>862323089930709</x:v>
      </x:c>
      <x:c r="J540" s="82"/>
      <x:c r="K540" s="82" t="n">
        <x:v>-28.2</x:v>
      </x:c>
      <x:c r="L540" s="82" t="n">
        <x:v>36.2</x:v>
      </x:c>
      <x:c r="M540" s="82" t="n">
        <x:v>25.4</x:v>
      </x:c>
      <x:c r="N540" s="86" t="n">
        <x:v>910</x:v>
      </x:c>
      <x:c r="O540" s="90" t="n">
        <x:v>6.52</x:v>
      </x:c>
      <x:c r="P540" s="150" t="n">
        <x:v>3.974</x:v>
      </x:c>
      <x:c r="Q540" s="86" t="n">
        <x:v>18</x:v>
      </x:c>
      <x:c r="R540" s="32"/>
      <x:c r="S540" s="32" t="str">
        <x:v>ok</x:v>
      </x:c>
      <x:c r="T540" s="32" t="str">
        <x:v>ok</x:v>
      </x:c>
      <x:c r="U540" s="32" t="str">
        <x:v>ok</x:v>
      </x:c>
      <x:c r="V540" s="32" t="str">
        <x:v>ok</x:v>
      </x:c>
      <x:c r="W540" s="154" t="str">
        <x:v>{"schema_version":1,"imei":"862323089930709","timestamp":1786021553,"report_sequence":23,"task_version":"rice_tension_soil_demo","sensor_mode":"tension_soil","soil_moisture_percent":36.2,"soil_temperature_c":25.4,"soil_ec_us_cm":910,"soil_ph":6.52,"battery_mv":3974,"csq":18,"soil_rs485_status":"ok","cycle_status":"ok","soil_tension_kpa":-28.2,"soil_tension_rs485_status":"ok"}</x:v>
      </x:c>
    </x:row>
    <x:row r="541">
      <x:c r="A541" s="72" t="n">
        <x:v>46240.87908564815</x:v>
      </x:c>
      <x:c r="B541" s="72" t="n">
        <x:v>46240.87909953704</x:v>
      </x:c>
      <x:c r="C541" s="32" t="str">
        <x:v>P10</x:v>
      </x:c>
      <x:c r="D541" s="32" t="str">
        <x:v>B2-W1-V2</x:v>
      </x:c>
      <x:c r="E541" s="32" t="str">
        <x:v>B2</x:v>
      </x:c>
      <x:c r="F541" s="32" t="str">
        <x:v>W1</x:v>
      </x:c>
      <x:c r="G541" s="32" t="str">
        <x:v>V2</x:v>
      </x:c>
      <x:c r="H541" s="32" t="str">
        <x:v>tension_soil</x:v>
      </x:c>
      <x:c r="I541" s="32" t="str">
        <x:v>862323089930710</x:v>
      </x:c>
      <x:c r="J541" s="82"/>
      <x:c r="K541" s="82" t="n">
        <x:v>-23.8</x:v>
      </x:c>
      <x:c r="L541" s="82" t="n">
        <x:v>36.8</x:v>
      </x:c>
      <x:c r="M541" s="82" t="n">
        <x:v>25.3</x:v>
      </x:c>
      <x:c r="N541" s="86" t="n">
        <x:v>914</x:v>
      </x:c>
      <x:c r="O541" s="90" t="n">
        <x:v>6.31</x:v>
      </x:c>
      <x:c r="P541" s="150" t="n">
        <x:v>3.992</x:v>
      </x:c>
      <x:c r="Q541" s="86" t="n">
        <x:v>19</x:v>
      </x:c>
      <x:c r="R541" s="32"/>
      <x:c r="S541" s="32" t="str">
        <x:v>ok</x:v>
      </x:c>
      <x:c r="T541" s="32" t="str">
        <x:v>ok</x:v>
      </x:c>
      <x:c r="U541" s="32" t="str">
        <x:v>ok</x:v>
      </x:c>
      <x:c r="V541" s="32" t="str">
        <x:v>ok</x:v>
      </x:c>
      <x:c r="W541" s="154" t="str">
        <x:v>{"schema_version":1,"imei":"862323089930710","timestamp":1786021553,"report_sequence":23,"task_version":"rice_tension_soil_demo","sensor_mode":"tension_soil","soil_moisture_percent":36.8,"soil_temperature_c":25.3,"soil_ec_us_cm":914,"soil_ph":6.31,"battery_mv":3992,"csq":19,"soil_rs485_status":"ok","cycle_status":"ok","soil_tension_kpa":-23.8,"soil_tension_rs485_status":"ok"}</x:v>
      </x:c>
    </x:row>
    <x:row r="542">
      <x:c r="A542" s="72" t="n">
        <x:v>46240.87908564815</x:v>
      </x:c>
      <x:c r="B542" s="72" t="n">
        <x:v>46240.87909953704</x:v>
      </x:c>
      <x:c r="C542" s="32" t="str">
        <x:v>P11</x:v>
      </x:c>
      <x:c r="D542" s="32" t="str">
        <x:v>B2-W2-V1</x:v>
      </x:c>
      <x:c r="E542" s="32" t="str">
        <x:v>B2</x:v>
      </x:c>
      <x:c r="F542" s="32" t="str">
        <x:v>W2</x:v>
      </x:c>
      <x:c r="G542" s="32" t="str">
        <x:v>V1</x:v>
      </x:c>
      <x:c r="H542" s="32" t="str">
        <x:v>tension_soil</x:v>
      </x:c>
      <x:c r="I542" s="32" t="str">
        <x:v>862323089930711</x:v>
      </x:c>
      <x:c r="J542" s="82"/>
      <x:c r="K542" s="82" t="n">
        <x:v>-35.3</x:v>
      </x:c>
      <x:c r="L542" s="82" t="n">
        <x:v>37.3</x:v>
      </x:c>
      <x:c r="M542" s="82" t="n">
        <x:v>25.2</x:v>
      </x:c>
      <x:c r="N542" s="86" t="n">
        <x:v>918</x:v>
      </x:c>
      <x:c r="O542" s="90" t="n">
        <x:v>6.36</x:v>
      </x:c>
      <x:c r="P542" s="150" t="n">
        <x:v>4.01</x:v>
      </x:c>
      <x:c r="Q542" s="86" t="n">
        <x:v>20</x:v>
      </x:c>
      <x:c r="R542" s="32"/>
      <x:c r="S542" s="32" t="str">
        <x:v>ok</x:v>
      </x:c>
      <x:c r="T542" s="32" t="str">
        <x:v>ok</x:v>
      </x:c>
      <x:c r="U542" s="32" t="str">
        <x:v>ok</x:v>
      </x:c>
      <x:c r="V542" s="32" t="str">
        <x:v>ok</x:v>
      </x:c>
      <x:c r="W542" s="154" t="str">
        <x:v>{"schema_version":1,"imei":"862323089930711","timestamp":1786021553,"report_sequence":23,"task_version":"rice_tension_soil_demo","sensor_mode":"tension_soil","soil_moisture_percent":37.3,"soil_temperature_c":25.2,"soil_ec_us_cm":918,"soil_ph":6.36,"battery_mv":4010,"csq":20,"soil_rs485_status":"ok","cycle_status":"ok","soil_tension_kpa":-35.3,"soil_tension_rs485_status":"ok"}</x:v>
      </x:c>
    </x:row>
    <x:row r="543">
      <x:c r="A543" s="72" t="n">
        <x:v>46240.87908564815</x:v>
      </x:c>
      <x:c r="B543" s="72" t="n">
        <x:v>46240.87909953704</x:v>
      </x:c>
      <x:c r="C543" s="32" t="str">
        <x:v>P12</x:v>
      </x:c>
      <x:c r="D543" s="32" t="str">
        <x:v>B2-W2-V2</x:v>
      </x:c>
      <x:c r="E543" s="32" t="str">
        <x:v>B2</x:v>
      </x:c>
      <x:c r="F543" s="32" t="str">
        <x:v>W2</x:v>
      </x:c>
      <x:c r="G543" s="32" t="str">
        <x:v>V2</x:v>
      </x:c>
      <x:c r="H543" s="32" t="str">
        <x:v>tension_soil</x:v>
      </x:c>
      <x:c r="I543" s="32" t="str">
        <x:v>862323089930712</x:v>
      </x:c>
      <x:c r="J543" s="82"/>
      <x:c r="K543" s="82" t="n">
        <x:v>-35.8</x:v>
      </x:c>
      <x:c r="L543" s="82" t="n">
        <x:v>37.8</x:v>
      </x:c>
      <x:c r="M543" s="82" t="n">
        <x:v>25.1</x:v>
      </x:c>
      <x:c r="N543" s="86" t="n">
        <x:v>921</x:v>
      </x:c>
      <x:c r="O543" s="90" t="n">
        <x:v>6.4</x:v>
      </x:c>
      <x:c r="P543" s="150" t="n">
        <x:v>3.92</x:v>
      </x:c>
      <x:c r="Q543" s="86" t="n">
        <x:v>21</x:v>
      </x:c>
      <x:c r="R543" s="32"/>
      <x:c r="S543" s="32" t="str">
        <x:v>ok</x:v>
      </x:c>
      <x:c r="T543" s="32" t="str">
        <x:v>ok</x:v>
      </x:c>
      <x:c r="U543" s="32" t="str">
        <x:v>ok</x:v>
      </x:c>
      <x:c r="V543" s="32" t="str">
        <x:v>ok</x:v>
      </x:c>
      <x:c r="W543" s="154" t="str">
        <x:v>{"schema_version":1,"imei":"862323089930712","timestamp":1786021553,"report_sequence":23,"task_version":"rice_tension_soil_demo","sensor_mode":"tension_soil","soil_moisture_percent":37.8,"soil_temperature_c":25.1,"soil_ec_us_cm":921,"soil_ph":6.4,"battery_mv":3920,"csq":21,"soil_rs485_status":"ok","cycle_status":"ok","soil_tension_kpa":-35.8,"soil_tension_rs485_status":"ok"}</x:v>
      </x:c>
    </x:row>
    <x:row r="544">
      <x:c r="A544" s="72" t="n">
        <x:v>46240.87908564815</x:v>
      </x:c>
      <x:c r="B544" s="72" t="n">
        <x:v>46240.87909953704</x:v>
      </x:c>
      <x:c r="C544" s="32" t="str">
        <x:v>P13</x:v>
      </x:c>
      <x:c r="D544" s="32" t="str">
        <x:v>B3-W0-V1</x:v>
      </x:c>
      <x:c r="E544" s="32" t="str">
        <x:v>B3</x:v>
      </x:c>
      <x:c r="F544" s="32" t="str">
        <x:v>W0</x:v>
      </x:c>
      <x:c r="G544" s="32" t="str">
        <x:v>V1</x:v>
      </x:c>
      <x:c r="H544" s="32" t="str">
        <x:v>water_soil</x:v>
      </x:c>
      <x:c r="I544" s="32" t="str">
        <x:v>862323089930713</x:v>
      </x:c>
      <x:c r="J544" s="82" t="n">
        <x:v>29.4</x:v>
      </x:c>
      <x:c r="K544" s="82"/>
      <x:c r="L544" s="82" t="n">
        <x:v>38.4</x:v>
      </x:c>
      <x:c r="M544" s="82" t="n">
        <x:v>24.9</x:v>
      </x:c>
      <x:c r="N544" s="86" t="n">
        <x:v>925</x:v>
      </x:c>
      <x:c r="O544" s="90" t="n">
        <x:v>6.44</x:v>
      </x:c>
      <x:c r="P544" s="150" t="n">
        <x:v>3.938</x:v>
      </x:c>
      <x:c r="Q544" s="86" t="n">
        <x:v>22</x:v>
      </x:c>
      <x:c r="R544" s="32" t="str">
        <x:v>ok</x:v>
      </x:c>
      <x:c r="S544" s="32"/>
      <x:c r="T544" s="32" t="str">
        <x:v>ok</x:v>
      </x:c>
      <x:c r="U544" s="32" t="str">
        <x:v>ok</x:v>
      </x:c>
      <x:c r="V544" s="32" t="str">
        <x:v>ok</x:v>
      </x:c>
      <x:c r="W544" s="154" t="str">
        <x:v>{"schema_version":1,"imei":"862323089930713","timestamp":1786021553,"report_sequence":23,"task_version":"rice_w0_water_soil_demo","sensor_mode":"water_soil","soil_moisture_percent":38.4,"soil_temperature_c":24.9,"soil_ec_us_cm":925,"soil_ph":6.44,"battery_mv":3938,"csq":22,"soil_rs485_status":"ok","cycle_status":"ok","water_level_mm":29.4,"water_4_20ma_status":"ok"}</x:v>
      </x:c>
    </x:row>
    <x:row r="545">
      <x:c r="A545" s="72" t="n">
        <x:v>46240.87908564815</x:v>
      </x:c>
      <x:c r="B545" s="72" t="n">
        <x:v>46240.87909953704</x:v>
      </x:c>
      <x:c r="C545" s="32" t="str">
        <x:v>P14</x:v>
      </x:c>
      <x:c r="D545" s="32" t="str">
        <x:v>B3-W0-V2</x:v>
      </x:c>
      <x:c r="E545" s="32" t="str">
        <x:v>B3</x:v>
      </x:c>
      <x:c r="F545" s="32" t="str">
        <x:v>W0</x:v>
      </x:c>
      <x:c r="G545" s="32" t="str">
        <x:v>V2</x:v>
      </x:c>
      <x:c r="H545" s="32" t="str">
        <x:v>water_soil</x:v>
      </x:c>
      <x:c r="I545" s="32" t="str">
        <x:v>862323089930714</x:v>
      </x:c>
      <x:c r="J545" s="82" t="n">
        <x:v>31.3</x:v>
      </x:c>
      <x:c r="K545" s="82"/>
      <x:c r="L545" s="82" t="n">
        <x:v>38.9</x:v>
      </x:c>
      <x:c r="M545" s="82" t="n">
        <x:v>24.8</x:v>
      </x:c>
      <x:c r="N545" s="86" t="n">
        <x:v>929</x:v>
      </x:c>
      <x:c r="O545" s="90" t="n">
        <x:v>6.48</x:v>
      </x:c>
      <x:c r="P545" s="150" t="n">
        <x:v>3.956</x:v>
      </x:c>
      <x:c r="Q545" s="86" t="n">
        <x:v>23</x:v>
      </x:c>
      <x:c r="R545" s="32" t="str">
        <x:v>ok</x:v>
      </x:c>
      <x:c r="S545" s="32"/>
      <x:c r="T545" s="32" t="str">
        <x:v>ok</x:v>
      </x:c>
      <x:c r="U545" s="32" t="str">
        <x:v>ok</x:v>
      </x:c>
      <x:c r="V545" s="32" t="str">
        <x:v>ok</x:v>
      </x:c>
      <x:c r="W545" s="154" t="str">
        <x:v>{"schema_version":1,"imei":"862323089930714","timestamp":1786021553,"report_sequence":23,"task_version":"rice_w0_water_soil_demo","sensor_mode":"water_soil","soil_moisture_percent":38.9,"soil_temperature_c":24.8,"soil_ec_us_cm":929,"soil_ph":6.48,"battery_mv":3956,"csq":23,"soil_rs485_status":"ok","cycle_status":"ok","water_level_mm":31.3,"water_4_20ma_status":"ok"}</x:v>
      </x:c>
    </x:row>
    <x:row r="546">
      <x:c r="A546" s="72" t="n">
        <x:v>46240.87908564815</x:v>
      </x:c>
      <x:c r="B546" s="72" t="n">
        <x:v>46240.87909953704</x:v>
      </x:c>
      <x:c r="C546" s="32" t="str">
        <x:v>P15</x:v>
      </x:c>
      <x:c r="D546" s="32" t="str">
        <x:v>B3-W1-V1</x:v>
      </x:c>
      <x:c r="E546" s="32" t="str">
        <x:v>B3</x:v>
      </x:c>
      <x:c r="F546" s="32" t="str">
        <x:v>W1</x:v>
      </x:c>
      <x:c r="G546" s="32" t="str">
        <x:v>V1</x:v>
      </x:c>
      <x:c r="H546" s="32" t="str">
        <x:v>tension_soil</x:v>
      </x:c>
      <x:c r="I546" s="32" t="str">
        <x:v>862323089930715</x:v>
      </x:c>
      <x:c r="J546" s="82"/>
      <x:c r="K546" s="82" t="n">
        <x:v>-21.5</x:v>
      </x:c>
      <x:c r="L546" s="82" t="n">
        <x:v>39.5</x:v>
      </x:c>
      <x:c r="M546" s="82" t="n">
        <x:v>24.7</x:v>
      </x:c>
      <x:c r="N546" s="86" t="n">
        <x:v>934</x:v>
      </x:c>
      <x:c r="O546" s="90" t="n">
        <x:v>6.28</x:v>
      </x:c>
      <x:c r="P546" s="150" t="n">
        <x:v>3.974</x:v>
      </x:c>
      <x:c r="Q546" s="86" t="n">
        <x:v>24</x:v>
      </x:c>
      <x:c r="R546" s="32"/>
      <x:c r="S546" s="32" t="str">
        <x:v>ok</x:v>
      </x:c>
      <x:c r="T546" s="32" t="str">
        <x:v>ok</x:v>
      </x:c>
      <x:c r="U546" s="32" t="str">
        <x:v>ok</x:v>
      </x:c>
      <x:c r="V546" s="32" t="str">
        <x:v>ok</x:v>
      </x:c>
      <x:c r="W546" s="154" t="str">
        <x:v>{"schema_version":1,"imei":"862323089930715","timestamp":1786021553,"report_sequence":23,"task_version":"rice_tension_soil_demo","sensor_mode":"tension_soil","soil_moisture_percent":39.5,"soil_temperature_c":24.7,"soil_ec_us_cm":934,"soil_ph":6.28,"battery_mv":3974,"csq":24,"soil_rs485_status":"ok","cycle_status":"ok","soil_tension_kpa":-21.5,"soil_tension_rs485_status":"ok"}</x:v>
      </x:c>
    </x:row>
    <x:row r="547">
      <x:c r="A547" s="72" t="n">
        <x:v>46240.87908564815</x:v>
      </x:c>
      <x:c r="B547" s="72" t="n">
        <x:v>46240.87909953704</x:v>
      </x:c>
      <x:c r="C547" s="32" t="str">
        <x:v>P16</x:v>
      </x:c>
      <x:c r="D547" s="32" t="str">
        <x:v>B3-W1-V2</x:v>
      </x:c>
      <x:c r="E547" s="32" t="str">
        <x:v>B3</x:v>
      </x:c>
      <x:c r="F547" s="32" t="str">
        <x:v>W1</x:v>
      </x:c>
      <x:c r="G547" s="32" t="str">
        <x:v>V2</x:v>
      </x:c>
      <x:c r="H547" s="32" t="str">
        <x:v>tension_soil</x:v>
      </x:c>
      <x:c r="I547" s="32" t="str">
        <x:v>862323089930716</x:v>
      </x:c>
      <x:c r="J547" s="82"/>
      <x:c r="K547" s="82" t="n">
        <x:v>-22.2</x:v>
      </x:c>
      <x:c r="L547" s="82" t="n">
        <x:v>32.2</x:v>
      </x:c>
      <x:c r="M547" s="82" t="n">
        <x:v>24.7</x:v>
      </x:c>
      <x:c r="N547" s="86" t="n">
        <x:v>941</x:v>
      </x:c>
      <x:c r="O547" s="90" t="n">
        <x:v>6.32</x:v>
      </x:c>
      <x:c r="P547" s="150" t="n">
        <x:v>3.992</x:v>
      </x:c>
      <x:c r="Q547" s="86" t="n">
        <x:v>17</x:v>
      </x:c>
      <x:c r="R547" s="32"/>
      <x:c r="S547" s="32" t="str">
        <x:v>ok</x:v>
      </x:c>
      <x:c r="T547" s="32" t="str">
        <x:v>ok</x:v>
      </x:c>
      <x:c r="U547" s="32" t="str">
        <x:v>ok</x:v>
      </x:c>
      <x:c r="V547" s="32" t="str">
        <x:v>ok</x:v>
      </x:c>
      <x:c r="W547" s="154" t="str">
        <x:v>{"schema_version":1,"imei":"862323089930716","timestamp":1786021553,"report_sequence":23,"task_version":"rice_tension_soil_demo","sensor_mode":"tension_soil","soil_moisture_percent":32.2,"soil_temperature_c":24.7,"soil_ec_us_cm":941,"soil_ph":6.32,"battery_mv":3992,"csq":17,"soil_rs485_status":"ok","cycle_status":"ok","soil_tension_kpa":-22.2,"soil_tension_rs485_status":"ok"}</x:v>
      </x:c>
    </x:row>
    <x:row r="548">
      <x:c r="A548" s="72" t="n">
        <x:v>46240.87908564815</x:v>
      </x:c>
      <x:c r="B548" s="72" t="n">
        <x:v>46240.87909953704</x:v>
      </x:c>
      <x:c r="C548" s="32" t="str">
        <x:v>P17</x:v>
      </x:c>
      <x:c r="D548" s="32" t="str">
        <x:v>B3-W2-V1</x:v>
      </x:c>
      <x:c r="E548" s="32" t="str">
        <x:v>B3</x:v>
      </x:c>
      <x:c r="F548" s="32" t="str">
        <x:v>W2</x:v>
      </x:c>
      <x:c r="G548" s="32" t="str">
        <x:v>V1</x:v>
      </x:c>
      <x:c r="H548" s="32" t="str">
        <x:v>tension_soil</x:v>
      </x:c>
      <x:c r="I548" s="32" t="str">
        <x:v>862323089930717</x:v>
      </x:c>
      <x:c r="J548" s="82"/>
      <x:c r="K548" s="82" t="n">
        <x:v>-34.1</x:v>
      </x:c>
      <x:c r="L548" s="82" t="n">
        <x:v>33.1</x:v>
      </x:c>
      <x:c r="M548" s="82" t="n">
        <x:v>24.6</x:v>
      </x:c>
      <x:c r="N548" s="86" t="n">
        <x:v>950</x:v>
      </x:c>
      <x:c r="O548" s="90" t="n">
        <x:v>6.37</x:v>
      </x:c>
      <x:c r="P548" s="150" t="n">
        <x:v>4.01</x:v>
      </x:c>
      <x:c r="Q548" s="86" t="n">
        <x:v>18</x:v>
      </x:c>
      <x:c r="R548" s="32"/>
      <x:c r="S548" s="32" t="str">
        <x:v>ok</x:v>
      </x:c>
      <x:c r="T548" s="32" t="str">
        <x:v>ok</x:v>
      </x:c>
      <x:c r="U548" s="32" t="str">
        <x:v>ok</x:v>
      </x:c>
      <x:c r="V548" s="32" t="str">
        <x:v>ok</x:v>
      </x:c>
      <x:c r="W548" s="154" t="str">
        <x:v>{"schema_version":1,"imei":"862323089930717","timestamp":1786021553,"report_sequence":23,"task_version":"rice_tension_soil_demo","sensor_mode":"tension_soil","soil_moisture_percent":33.1,"soil_temperature_c":24.6,"soil_ec_us_cm":950,"soil_ph":6.37,"battery_mv":4010,"csq":18,"soil_rs485_status":"ok","cycle_status":"ok","soil_tension_kpa":-34.1,"soil_tension_rs485_status":"ok"}</x:v>
      </x:c>
    </x:row>
    <x:row r="549">
      <x:c r="A549" s="72" t="n">
        <x:v>46240.87908564815</x:v>
      </x:c>
      <x:c r="B549" s="72" t="n">
        <x:v>46240.87909953704</x:v>
      </x:c>
      <x:c r="C549" s="32" t="str">
        <x:v>P18</x:v>
      </x:c>
      <x:c r="D549" s="32" t="str">
        <x:v>B3-W2-V2</x:v>
      </x:c>
      <x:c r="E549" s="32" t="str">
        <x:v>B3</x:v>
      </x:c>
      <x:c r="F549" s="32" t="str">
        <x:v>W2</x:v>
      </x:c>
      <x:c r="G549" s="32" t="str">
        <x:v>V2</x:v>
      </x:c>
      <x:c r="H549" s="32" t="str">
        <x:v>tension_soil</x:v>
      </x:c>
      <x:c r="I549" s="32" t="str">
        <x:v>862323089930718</x:v>
      </x:c>
      <x:c r="J549" s="82"/>
      <x:c r="K549" s="82" t="n">
        <x:v>-35</x:v>
      </x:c>
      <x:c r="L549" s="82" t="n">
        <x:v>34</x:v>
      </x:c>
      <x:c r="M549" s="82" t="n">
        <x:v>24.6</x:v>
      </x:c>
      <x:c r="N549" s="86" t="n">
        <x:v>961</x:v>
      </x:c>
      <x:c r="O549" s="90" t="n">
        <x:v>6.42</x:v>
      </x:c>
      <x:c r="P549" s="150" t="n">
        <x:v>3.92</x:v>
      </x:c>
      <x:c r="Q549" s="86" t="n">
        <x:v>19</x:v>
      </x:c>
      <x:c r="R549" s="32"/>
      <x:c r="S549" s="32" t="str">
        <x:v>ok</x:v>
      </x:c>
      <x:c r="T549" s="32" t="str">
        <x:v>ok</x:v>
      </x:c>
      <x:c r="U549" s="32" t="str">
        <x:v>ok</x:v>
      </x:c>
      <x:c r="V549" s="32" t="str">
        <x:v>ok</x:v>
      </x:c>
      <x:c r="W549" s="154" t="str">
        <x:v>{"schema_version":1,"imei":"862323089930718","timestamp":1786021553,"report_sequence":23,"task_version":"rice_tension_soil_demo","sensor_mode":"tension_soil","soil_moisture_percent":34,"soil_temperature_c":24.6,"soil_ec_us_cm":961,"soil_ph":6.42,"battery_mv":3920,"csq":19,"soil_rs485_status":"ok","cycle_status":"ok","soil_tension_kpa":-35,"soil_tension_rs485_status":"ok"}</x:v>
      </x:c>
    </x:row>
    <x:row r="550">
      <x:c r="A550" s="72" t="n">
        <x:v>46240.87908564815</x:v>
      </x:c>
      <x:c r="B550" s="72" t="n">
        <x:v>46240.87909953704</x:v>
      </x:c>
      <x:c r="C550" s="32" t="str">
        <x:v>P19</x:v>
      </x:c>
      <x:c r="D550" s="32" t="str">
        <x:v>B4-W0-V1</x:v>
      </x:c>
      <x:c r="E550" s="32" t="str">
        <x:v>B4</x:v>
      </x:c>
      <x:c r="F550" s="32" t="str">
        <x:v>W0</x:v>
      </x:c>
      <x:c r="G550" s="32" t="str">
        <x:v>V1</x:v>
      </x:c>
      <x:c r="H550" s="32" t="str">
        <x:v>water_soil</x:v>
      </x:c>
      <x:c r="I550" s="32" t="str">
        <x:v>862323089930719</x:v>
      </x:c>
      <x:c r="J550" s="82" t="n">
        <x:v>32.2</x:v>
      </x:c>
      <x:c r="K550" s="82"/>
      <x:c r="L550" s="82" t="n">
        <x:v>35.1</x:v>
      </x:c>
      <x:c r="M550" s="82" t="n">
        <x:v>24.6</x:v>
      </x:c>
      <x:c r="N550" s="86" t="n">
        <x:v>974</x:v>
      </x:c>
      <x:c r="O550" s="90" t="n">
        <x:v>6.47</x:v>
      </x:c>
      <x:c r="P550" s="150" t="n">
        <x:v>3.938</x:v>
      </x:c>
      <x:c r="Q550" s="86" t="n">
        <x:v>20</x:v>
      </x:c>
      <x:c r="R550" s="32" t="str">
        <x:v>ok</x:v>
      </x:c>
      <x:c r="S550" s="32"/>
      <x:c r="T550" s="32" t="str">
        <x:v>ok</x:v>
      </x:c>
      <x:c r="U550" s="32" t="str">
        <x:v>ok</x:v>
      </x:c>
      <x:c r="V550" s="32" t="str">
        <x:v>ok</x:v>
      </x:c>
      <x:c r="W550" s="154" t="str">
        <x:v>{"schema_version":1,"imei":"862323089930719","timestamp":1786021553,"report_sequence":23,"task_version":"rice_w0_water_soil_demo","sensor_mode":"water_soil","soil_moisture_percent":35.1,"soil_temperature_c":24.6,"soil_ec_us_cm":974,"soil_ph":6.47,"battery_mv":3938,"csq":20,"soil_rs485_status":"ok","cycle_status":"ok","water_level_mm":32.2,"water_4_20ma_status":"ok"}</x:v>
      </x:c>
    </x:row>
    <x:row r="551">
      <x:c r="A551" s="72" t="n">
        <x:v>46240.87908564815</x:v>
      </x:c>
      <x:c r="B551" s="72" t="n">
        <x:v>46240.87909953704</x:v>
      </x:c>
      <x:c r="C551" s="32" t="str">
        <x:v>P20</x:v>
      </x:c>
      <x:c r="D551" s="32" t="str">
        <x:v>B4-W0-V2</x:v>
      </x:c>
      <x:c r="E551" s="32" t="str">
        <x:v>B4</x:v>
      </x:c>
      <x:c r="F551" s="32" t="str">
        <x:v>W0</x:v>
      </x:c>
      <x:c r="G551" s="32" t="str">
        <x:v>V2</x:v>
      </x:c>
      <x:c r="H551" s="32" t="str">
        <x:v>water_soil</x:v>
      </x:c>
      <x:c r="I551" s="32" t="str">
        <x:v>862323089930720</x:v>
      </x:c>
      <x:c r="J551" s="82" t="n">
        <x:v>23.6</x:v>
      </x:c>
      <x:c r="K551" s="82"/>
      <x:c r="L551" s="82" t="n">
        <x:v>36.2</x:v>
      </x:c>
      <x:c r="M551" s="82" t="n">
        <x:v>24.7</x:v>
      </x:c>
      <x:c r="N551" s="86" t="n">
        <x:v>989</x:v>
      </x:c>
      <x:c r="O551" s="90" t="n">
        <x:v>6.27</x:v>
      </x:c>
      <x:c r="P551" s="150" t="n">
        <x:v>3.956</x:v>
      </x:c>
      <x:c r="Q551" s="86" t="n">
        <x:v>21</x:v>
      </x:c>
      <x:c r="R551" s="32" t="str">
        <x:v>ok</x:v>
      </x:c>
      <x:c r="S551" s="32"/>
      <x:c r="T551" s="32" t="str">
        <x:v>ok</x:v>
      </x:c>
      <x:c r="U551" s="32" t="str">
        <x:v>ok</x:v>
      </x:c>
      <x:c r="V551" s="32" t="str">
        <x:v>ok</x:v>
      </x:c>
      <x:c r="W551" s="154" t="str">
        <x:v>{"schema_version":1,"imei":"862323089930720","timestamp":1786021553,"report_sequence":23,"task_version":"rice_w0_water_soil_demo","sensor_mode":"water_soil","soil_moisture_percent":36.2,"soil_temperature_c":24.7,"soil_ec_us_cm":989,"soil_ph":6.27,"battery_mv":3956,"csq":21,"soil_rs485_status":"ok","cycle_status":"ok","water_level_mm":23.6,"water_4_20ma_status":"ok"}</x:v>
      </x:c>
    </x:row>
    <x:row r="552">
      <x:c r="A552" s="72" t="n">
        <x:v>46240.87908564815</x:v>
      </x:c>
      <x:c r="B552" s="72" t="n">
        <x:v>46240.87909953704</x:v>
      </x:c>
      <x:c r="C552" s="32" t="str">
        <x:v>P21</x:v>
      </x:c>
      <x:c r="D552" s="32" t="str">
        <x:v>B4-W1-V1</x:v>
      </x:c>
      <x:c r="E552" s="32" t="str">
        <x:v>B4</x:v>
      </x:c>
      <x:c r="F552" s="32" t="str">
        <x:v>W1</x:v>
      </x:c>
      <x:c r="G552" s="32" t="str">
        <x:v>V1</x:v>
      </x:c>
      <x:c r="H552" s="32" t="str">
        <x:v>tension_soil</x:v>
      </x:c>
      <x:c r="I552" s="32" t="str">
        <x:v>862323089930721</x:v>
      </x:c>
      <x:c r="J552" s="82"/>
      <x:c r="K552" s="82" t="n">
        <x:v>-22.5</x:v>
      </x:c>
      <x:c r="L552" s="82" t="n">
        <x:v>37.5</x:v>
      </x:c>
      <x:c r="M552" s="82" t="n">
        <x:v>24.7</x:v>
      </x:c>
      <x:c r="N552" s="86" t="n">
        <x:v>1006</x:v>
      </x:c>
      <x:c r="O552" s="90" t="n">
        <x:v>6.33</x:v>
      </x:c>
      <x:c r="P552" s="150" t="n">
        <x:v>3.974</x:v>
      </x:c>
      <x:c r="Q552" s="86" t="n">
        <x:v>22</x:v>
      </x:c>
      <x:c r="R552" s="32"/>
      <x:c r="S552" s="32" t="str">
        <x:v>ok</x:v>
      </x:c>
      <x:c r="T552" s="32" t="str">
        <x:v>ok</x:v>
      </x:c>
      <x:c r="U552" s="32" t="str">
        <x:v>ok</x:v>
      </x:c>
      <x:c r="V552" s="32" t="str">
        <x:v>ok</x:v>
      </x:c>
      <x:c r="W552" s="154" t="str">
        <x:v>{"schema_version":1,"imei":"862323089930721","timestamp":1786021553,"report_sequence":23,"task_version":"rice_tension_soil_demo","sensor_mode":"tension_soil","soil_moisture_percent":37.5,"soil_temperature_c":24.7,"soil_ec_us_cm":1006,"soil_ph":6.33,"battery_mv":3974,"csq":22,"soil_rs485_status":"ok","cycle_status":"ok","soil_tension_kpa":-22.5,"soil_tension_rs485_status":"ok"}</x:v>
      </x:c>
    </x:row>
    <x:row r="553">
      <x:c r="A553" s="72" t="n">
        <x:v>46240.87908564815</x:v>
      </x:c>
      <x:c r="B553" s="72" t="n">
        <x:v>46240.87909953704</x:v>
      </x:c>
      <x:c r="C553" s="32" t="str">
        <x:v>P22</x:v>
      </x:c>
      <x:c r="D553" s="32" t="str">
        <x:v>B4-W1-V2</x:v>
      </x:c>
      <x:c r="E553" s="32" t="str">
        <x:v>B4</x:v>
      </x:c>
      <x:c r="F553" s="32" t="str">
        <x:v>W1</x:v>
      </x:c>
      <x:c r="G553" s="32" t="str">
        <x:v>V2</x:v>
      </x:c>
      <x:c r="H553" s="32" t="str">
        <x:v>tension_soil</x:v>
      </x:c>
      <x:c r="I553" s="32" t="str">
        <x:v>862323089930722</x:v>
      </x:c>
      <x:c r="J553" s="82"/>
      <x:c r="K553" s="82" t="n">
        <x:v>-23.9</x:v>
      </x:c>
      <x:c r="L553" s="82" t="n">
        <x:v>38.9</x:v>
      </x:c>
      <x:c r="M553" s="82" t="n">
        <x:v>24.8</x:v>
      </x:c>
      <x:c r="N553" s="86" t="n">
        <x:v>1025</x:v>
      </x:c>
      <x:c r="O553" s="90" t="n">
        <x:v>6.38</x:v>
      </x:c>
      <x:c r="P553" s="150" t="n">
        <x:v>3.992</x:v>
      </x:c>
      <x:c r="Q553" s="86" t="n">
        <x:v>23</x:v>
      </x:c>
      <x:c r="R553" s="32"/>
      <x:c r="S553" s="32" t="str">
        <x:v>ok</x:v>
      </x:c>
      <x:c r="T553" s="32" t="str">
        <x:v>ok</x:v>
      </x:c>
      <x:c r="U553" s="32" t="str">
        <x:v>ok</x:v>
      </x:c>
      <x:c r="V553" s="32" t="str">
        <x:v>ok</x:v>
      </x:c>
      <x:c r="W553" s="154" t="str">
        <x:v>{"schema_version":1,"imei":"862323089930722","timestamp":1786021553,"report_sequence":23,"task_version":"rice_tension_soil_demo","sensor_mode":"tension_soil","soil_moisture_percent":38.9,"soil_temperature_c":24.8,"soil_ec_us_cm":1025,"soil_ph":6.38,"battery_mv":3992,"csq":23,"soil_rs485_status":"ok","cycle_status":"ok","soil_tension_kpa":-23.9,"soil_tension_rs485_status":"ok"}</x:v>
      </x:c>
    </x:row>
    <x:row r="554">
      <x:c r="A554" s="72" t="n">
        <x:v>46240.87908564815</x:v>
      </x:c>
      <x:c r="B554" s="72" t="n">
        <x:v>46240.87909953704</x:v>
      </x:c>
      <x:c r="C554" s="32" t="str">
        <x:v>P23</x:v>
      </x:c>
      <x:c r="D554" s="32" t="str">
        <x:v>B4-W2-V1</x:v>
      </x:c>
      <x:c r="E554" s="32" t="str">
        <x:v>B4</x:v>
      </x:c>
      <x:c r="F554" s="32" t="str">
        <x:v>W2</x:v>
      </x:c>
      <x:c r="G554" s="32" t="str">
        <x:v>V1</x:v>
      </x:c>
      <x:c r="H554" s="32" t="str">
        <x:v>tension_soil</x:v>
      </x:c>
      <x:c r="I554" s="32" t="str">
        <x:v>862323089930723</x:v>
      </x:c>
      <x:c r="J554" s="82"/>
      <x:c r="K554" s="82" t="n">
        <x:v>-36.4</x:v>
      </x:c>
      <x:c r="L554" s="82" t="n">
        <x:v>40.4</x:v>
      </x:c>
      <x:c r="M554" s="82" t="n">
        <x:v>24.9</x:v>
      </x:c>
      <x:c r="N554" s="86" t="n">
        <x:v>1045</x:v>
      </x:c>
      <x:c r="O554" s="90" t="n">
        <x:v>6.44</x:v>
      </x:c>
      <x:c r="P554" s="150" t="n">
        <x:v>4.01</x:v>
      </x:c>
      <x:c r="Q554" s="86" t="n">
        <x:v>24</x:v>
      </x:c>
      <x:c r="R554" s="32"/>
      <x:c r="S554" s="32" t="str">
        <x:v>ok</x:v>
      </x:c>
      <x:c r="T554" s="32" t="str">
        <x:v>ok</x:v>
      </x:c>
      <x:c r="U554" s="32" t="str">
        <x:v>ok</x:v>
      </x:c>
      <x:c r="V554" s="32" t="str">
        <x:v>ok</x:v>
      </x:c>
      <x:c r="W554" s="154" t="str">
        <x:v>{"schema_version":1,"imei":"862323089930723","timestamp":1786021553,"report_sequence":23,"task_version":"rice_tension_soil_demo","sensor_mode":"tension_soil","soil_moisture_percent":40.4,"soil_temperature_c":24.9,"soil_ec_us_cm":1045,"soil_ph":6.44,"battery_mv":4010,"csq":24,"soil_rs485_status":"ok","cycle_status":"ok","soil_tension_kpa":-36.4,"soil_tension_rs485_status":"ok"}</x:v>
      </x:c>
    </x:row>
    <x:row r="555">
      <x:c r="A555" s="72" t="n">
        <x:v>46240.87908564815</x:v>
      </x:c>
      <x:c r="B555" s="72" t="n">
        <x:v>46240.87909953704</x:v>
      </x:c>
      <x:c r="C555" s="32" t="str">
        <x:v>P24</x:v>
      </x:c>
      <x:c r="D555" s="32" t="str">
        <x:v>B4-W2-V2</x:v>
      </x:c>
      <x:c r="E555" s="32" t="str">
        <x:v>B4</x:v>
      </x:c>
      <x:c r="F555" s="32" t="str">
        <x:v>W2</x:v>
      </x:c>
      <x:c r="G555" s="32" t="str">
        <x:v>V2</x:v>
      </x:c>
      <x:c r="H555" s="32" t="str">
        <x:v>tension_soil</x:v>
      </x:c>
      <x:c r="I555" s="32" t="str">
        <x:v>862323089930724</x:v>
      </x:c>
      <x:c r="J555" s="82"/>
      <x:c r="K555" s="82" t="n">
        <x:v>-37.9</x:v>
      </x:c>
      <x:c r="L555" s="82" t="n">
        <x:v>33.9</x:v>
      </x:c>
      <x:c r="M555" s="82" t="n">
        <x:v>25.1</x:v>
      </x:c>
      <x:c r="N555" s="86" t="n">
        <x:v>1066</x:v>
      </x:c>
      <x:c r="O555" s="90" t="n">
        <x:v>6.5</x:v>
      </x:c>
      <x:c r="P555" s="150" t="n">
        <x:v>3.92</x:v>
      </x:c>
      <x:c r="Q555" s="86" t="n">
        <x:v>17</x:v>
      </x:c>
      <x:c r="R555" s="32"/>
      <x:c r="S555" s="32" t="str">
        <x:v>ok</x:v>
      </x:c>
      <x:c r="T555" s="32" t="str">
        <x:v>ok</x:v>
      </x:c>
      <x:c r="U555" s="32" t="str">
        <x:v>ok</x:v>
      </x:c>
      <x:c r="V555" s="32" t="str">
        <x:v>ok</x:v>
      </x:c>
      <x:c r="W555" s="154" t="str">
        <x:v>{"schema_version":1,"imei":"862323089930724","timestamp":1786021553,"report_sequence":23,"task_version":"rice_tension_soil_demo","sensor_mode":"tension_soil","soil_moisture_percent":33.9,"soil_temperature_c":25.1,"soil_ec_us_cm":1066,"soil_ph":6.5,"battery_mv":3920,"csq":17,"soil_rs485_status":"ok","cycle_status":"ok","soil_tension_kpa":-37.9,"soil_tension_rs485_status":"ok"}</x:v>
      </x:c>
    </x:row>
    <x:row r="556">
      <x:c r="A556" s="72" t="n">
        <x:v>46240.88255787037</x:v>
      </x:c>
      <x:c r="B556" s="72" t="n">
        <x:v>46240.88257175926</x:v>
      </x:c>
      <x:c r="C556" s="32" t="str">
        <x:v>P01</x:v>
      </x:c>
      <x:c r="D556" s="32" t="str">
        <x:v>B1-W0-V1</x:v>
      </x:c>
      <x:c r="E556" s="32" t="str">
        <x:v>B1</x:v>
      </x:c>
      <x:c r="F556" s="32" t="str">
        <x:v>W0</x:v>
      </x:c>
      <x:c r="G556" s="32" t="str">
        <x:v>V1</x:v>
      </x:c>
      <x:c r="H556" s="32" t="str">
        <x:v>water_soil</x:v>
      </x:c>
      <x:c r="I556" s="32" t="str">
        <x:v>862323089930701</x:v>
      </x:c>
      <x:c r="J556" s="82" t="n">
        <x:v>32.1</x:v>
      </x:c>
      <x:c r="K556" s="82"/>
      <x:c r="L556" s="82" t="n">
        <x:v>35.4</x:v>
      </x:c>
      <x:c r="M556" s="82" t="n">
        <x:v>25.2</x:v>
      </x:c>
      <x:c r="N556" s="86" t="n">
        <x:v>800</x:v>
      </x:c>
      <x:c r="O556" s="90" t="n">
        <x:v>6.36</x:v>
      </x:c>
      <x:c r="P556" s="150" t="n">
        <x:v>3.938</x:v>
      </x:c>
      <x:c r="Q556" s="86" t="n">
        <x:v>18</x:v>
      </x:c>
      <x:c r="R556" s="32" t="str">
        <x:v>ok</x:v>
      </x:c>
      <x:c r="S556" s="32"/>
      <x:c r="T556" s="32" t="str">
        <x:v>ok</x:v>
      </x:c>
      <x:c r="U556" s="32" t="str">
        <x:v>ok</x:v>
      </x:c>
      <x:c r="V556" s="32" t="str">
        <x:v>ok</x:v>
      </x:c>
      <x:c r="W556" s="154" t="str">
        <x:v>{"schema_version":1,"imei":"862323089930701","timestamp":1786021853,"report_sequence":24,"task_version":"rice_w0_water_soil_demo","sensor_mode":"water_soil","soil_moisture_percent":35.4,"soil_temperature_c":25.2,"soil_ec_us_cm":800,"soil_ph":6.36,"battery_mv":3938,"csq":18,"soil_rs485_status":"ok","cycle_status":"ok","water_level_mm":32.1,"water_4_20ma_status":"ok"}</x:v>
      </x:c>
    </x:row>
    <x:row r="557">
      <x:c r="A557" s="72" t="n">
        <x:v>46240.88255787037</x:v>
      </x:c>
      <x:c r="B557" s="72" t="n">
        <x:v>46240.88257175926</x:v>
      </x:c>
      <x:c r="C557" s="32" t="str">
        <x:v>P02</x:v>
      </x:c>
      <x:c r="D557" s="32" t="str">
        <x:v>B1-W0-V2</x:v>
      </x:c>
      <x:c r="E557" s="32" t="str">
        <x:v>B1</x:v>
      </x:c>
      <x:c r="F557" s="32" t="str">
        <x:v>W0</x:v>
      </x:c>
      <x:c r="G557" s="32" t="str">
        <x:v>V2</x:v>
      </x:c>
      <x:c r="H557" s="32" t="str">
        <x:v>water_soil</x:v>
      </x:c>
      <x:c r="I557" s="32" t="str">
        <x:v>862323089930702</x:v>
      </x:c>
      <x:c r="J557" s="82" t="n">
        <x:v>36.3</x:v>
      </x:c>
      <x:c r="K557" s="82"/>
      <x:c r="L557" s="82" t="n">
        <x:v>36.9</x:v>
      </x:c>
      <x:c r="M557" s="82" t="n">
        <x:v>25.3</x:v>
      </x:c>
      <x:c r="N557" s="86" t="n">
        <x:v>820</x:v>
      </x:c>
      <x:c r="O557" s="90" t="n">
        <x:v>6.41</x:v>
      </x:c>
      <x:c r="P557" s="150" t="n">
        <x:v>3.956</x:v>
      </x:c>
      <x:c r="Q557" s="86" t="n">
        <x:v>19</x:v>
      </x:c>
      <x:c r="R557" s="32" t="str">
        <x:v>ok</x:v>
      </x:c>
      <x:c r="S557" s="32"/>
      <x:c r="T557" s="32" t="str">
        <x:v>ok</x:v>
      </x:c>
      <x:c r="U557" s="32" t="str">
        <x:v>ok</x:v>
      </x:c>
      <x:c r="V557" s="32" t="str">
        <x:v>ok</x:v>
      </x:c>
      <x:c r="W557" s="154" t="str">
        <x:v>{"schema_version":1,"imei":"862323089930702","timestamp":1786021853,"report_sequence":24,"task_version":"rice_w0_water_soil_demo","sensor_mode":"water_soil","soil_moisture_percent":36.9,"soil_temperature_c":25.3,"soil_ec_us_cm":820,"soil_ph":6.41,"battery_mv":3956,"csq":19,"soil_rs485_status":"ok","cycle_status":"ok","water_level_mm":36.3,"water_4_20ma_status":"ok"}</x:v>
      </x:c>
    </x:row>
    <x:row r="558">
      <x:c r="A558" s="72" t="n">
        <x:v>46240.88255787037</x:v>
      </x:c>
      <x:c r="B558" s="72" t="n">
        <x:v>46240.88257175926</x:v>
      </x:c>
      <x:c r="C558" s="32" t="str">
        <x:v>P03</x:v>
      </x:c>
      <x:c r="D558" s="32" t="str">
        <x:v>B1-W1-V1</x:v>
      </x:c>
      <x:c r="E558" s="32" t="str">
        <x:v>B1</x:v>
      </x:c>
      <x:c r="F558" s="32" t="str">
        <x:v>W1</x:v>
      </x:c>
      <x:c r="G558" s="32" t="str">
        <x:v>V1</x:v>
      </x:c>
      <x:c r="H558" s="32" t="str">
        <x:v>tension_soil</x:v>
      </x:c>
      <x:c r="I558" s="32" t="str">
        <x:v>862323089930703</x:v>
      </x:c>
      <x:c r="J558" s="82"/>
      <x:c r="K558" s="82" t="n">
        <x:v>-27.3</x:v>
      </x:c>
      <x:c r="L558" s="82" t="n">
        <x:v>38.3</x:v>
      </x:c>
      <x:c r="M558" s="82" t="n">
        <x:v>25.4</x:v>
      </x:c>
      <x:c r="N558" s="86" t="n">
        <x:v>839</x:v>
      </x:c>
      <x:c r="O558" s="90" t="n">
        <x:v>6.47</x:v>
      </x:c>
      <x:c r="P558" s="150" t="n">
        <x:v>3.974</x:v>
      </x:c>
      <x:c r="Q558" s="86" t="n">
        <x:v>20</x:v>
      </x:c>
      <x:c r="R558" s="32"/>
      <x:c r="S558" s="32" t="str">
        <x:v>ok</x:v>
      </x:c>
      <x:c r="T558" s="32" t="str">
        <x:v>ok</x:v>
      </x:c>
      <x:c r="U558" s="32" t="str">
        <x:v>ok</x:v>
      </x:c>
      <x:c r="V558" s="32" t="str">
        <x:v>ok</x:v>
      </x:c>
      <x:c r="W558" s="154" t="str">
        <x:v>{"schema_version":1,"imei":"862323089930703","timestamp":1786021853,"report_sequence":24,"task_version":"rice_tension_soil_demo","sensor_mode":"tension_soil","soil_moisture_percent":38.3,"soil_temperature_c":25.4,"soil_ec_us_cm":839,"soil_ph":6.47,"battery_mv":3974,"csq":20,"soil_rs485_status":"ok","cycle_status":"ok","soil_tension_kpa":-27.3,"soil_tension_rs485_status":"ok"}</x:v>
      </x:c>
    </x:row>
    <x:row r="559">
      <x:c r="A559" s="72" t="n">
        <x:v>46240.88255787037</x:v>
      </x:c>
      <x:c r="B559" s="72" t="n">
        <x:v>46240.88257175926</x:v>
      </x:c>
      <x:c r="C559" s="32" t="str">
        <x:v>P04</x:v>
      </x:c>
      <x:c r="D559" s="32" t="str">
        <x:v>B1-W1-V2</x:v>
      </x:c>
      <x:c r="E559" s="32" t="str">
        <x:v>B1</x:v>
      </x:c>
      <x:c r="F559" s="32" t="str">
        <x:v>W1</x:v>
      </x:c>
      <x:c r="G559" s="32" t="str">
        <x:v>V2</x:v>
      </x:c>
      <x:c r="H559" s="32" t="str">
        <x:v>tension_soil</x:v>
      </x:c>
      <x:c r="I559" s="32" t="str">
        <x:v>862323089930704</x:v>
      </x:c>
      <x:c r="J559" s="82"/>
      <x:c r="K559" s="82" t="n">
        <x:v>-28.6</x:v>
      </x:c>
      <x:c r="L559" s="82" t="n">
        <x:v>39.6</x:v>
      </x:c>
      <x:c r="M559" s="82" t="n">
        <x:v>25.5</x:v>
      </x:c>
      <x:c r="N559" s="86" t="n">
        <x:v>857</x:v>
      </x:c>
      <x:c r="O559" s="90" t="n">
        <x:v>6.52</x:v>
      </x:c>
      <x:c r="P559" s="150" t="n">
        <x:v>3.992</x:v>
      </x:c>
      <x:c r="Q559" s="86" t="n">
        <x:v>21</x:v>
      </x:c>
      <x:c r="R559" s="32"/>
      <x:c r="S559" s="32" t="str">
        <x:v>ok</x:v>
      </x:c>
      <x:c r="T559" s="32" t="str">
        <x:v>ok</x:v>
      </x:c>
      <x:c r="U559" s="32" t="str">
        <x:v>ok</x:v>
      </x:c>
      <x:c r="V559" s="32" t="str">
        <x:v>ok</x:v>
      </x:c>
      <x:c r="W559" s="154" t="str">
        <x:v>{"schema_version":1,"imei":"862323089930704","timestamp":1786021853,"report_sequence":24,"task_version":"rice_tension_soil_demo","sensor_mode":"tension_soil","soil_moisture_percent":39.6,"soil_temperature_c":25.5,"soil_ec_us_cm":857,"soil_ph":6.52,"battery_mv":3992,"csq":21,"soil_rs485_status":"ok","cycle_status":"ok","soil_tension_kpa":-28.6,"soil_tension_rs485_status":"ok"}</x:v>
      </x:c>
    </x:row>
    <x:row r="560">
      <x:c r="A560" s="72" t="n">
        <x:v>46240.88255787037</x:v>
      </x:c>
      <x:c r="B560" s="72" t="n">
        <x:v>46240.88257175926</x:v>
      </x:c>
      <x:c r="C560" s="32" t="str">
        <x:v>P05</x:v>
      </x:c>
      <x:c r="D560" s="32" t="str">
        <x:v>B1-W2-V1</x:v>
      </x:c>
      <x:c r="E560" s="32" t="str">
        <x:v>B1</x:v>
      </x:c>
      <x:c r="F560" s="32" t="str">
        <x:v>W2</x:v>
      </x:c>
      <x:c r="G560" s="32" t="str">
        <x:v>V1</x:v>
      </x:c>
      <x:c r="H560" s="32" t="str">
        <x:v>tension_soil</x:v>
      </x:c>
      <x:c r="I560" s="32" t="str">
        <x:v>862323089930705</x:v>
      </x:c>
      <x:c r="J560" s="82"/>
      <x:c r="K560" s="82" t="n">
        <x:v>-35.9</x:v>
      </x:c>
      <x:c r="L560" s="82" t="n">
        <x:v>40.9</x:v>
      </x:c>
      <x:c r="M560" s="82" t="n">
        <x:v>25.6</x:v>
      </x:c>
      <x:c r="N560" s="86" t="n">
        <x:v>873</x:v>
      </x:c>
      <x:c r="O560" s="90" t="n">
        <x:v>6.33</x:v>
      </x:c>
      <x:c r="P560" s="150" t="n">
        <x:v>4.01</x:v>
      </x:c>
      <x:c r="Q560" s="86" t="n">
        <x:v>22</x:v>
      </x:c>
      <x:c r="R560" s="32"/>
      <x:c r="S560" s="32" t="str">
        <x:v>ok</x:v>
      </x:c>
      <x:c r="T560" s="32" t="str">
        <x:v>ok</x:v>
      </x:c>
      <x:c r="U560" s="32" t="str">
        <x:v>ok</x:v>
      </x:c>
      <x:c r="V560" s="32" t="str">
        <x:v>ok</x:v>
      </x:c>
      <x:c r="W560" s="154" t="str">
        <x:v>{"schema_version":1,"imei":"862323089930705","timestamp":1786021853,"report_sequence":24,"task_version":"rice_tension_soil_demo","sensor_mode":"tension_soil","soil_moisture_percent":40.9,"soil_temperature_c":25.6,"soil_ec_us_cm":873,"soil_ph":6.33,"battery_mv":4010,"csq":22,"soil_rs485_status":"ok","cycle_status":"ok","soil_tension_kpa":-35.9,"soil_tension_rs485_status":"ok"}</x:v>
      </x:c>
    </x:row>
    <x:row r="561">
      <x:c r="A561" s="72" t="n">
        <x:v>46240.88255787037</x:v>
      </x:c>
      <x:c r="B561" s="72" t="n">
        <x:v>46240.88257175926</x:v>
      </x:c>
      <x:c r="C561" s="32" t="str">
        <x:v>P06</x:v>
      </x:c>
      <x:c r="D561" s="32" t="str">
        <x:v>B1-W2-V2</x:v>
      </x:c>
      <x:c r="E561" s="32" t="str">
        <x:v>B1</x:v>
      </x:c>
      <x:c r="F561" s="32" t="str">
        <x:v>W2</x:v>
      </x:c>
      <x:c r="G561" s="32" t="str">
        <x:v>V2</x:v>
      </x:c>
      <x:c r="H561" s="32" t="str">
        <x:v>tension_soil</x:v>
      </x:c>
      <x:c r="I561" s="32" t="str">
        <x:v>862323089930706</x:v>
      </x:c>
      <x:c r="J561" s="82"/>
      <x:c r="K561" s="82" t="n">
        <x:v>-37</x:v>
      </x:c>
      <x:c r="L561" s="82" t="n">
        <x:v>42</x:v>
      </x:c>
      <x:c r="M561" s="82" t="n">
        <x:v>25.6</x:v>
      </x:c>
      <x:c r="N561" s="86" t="n">
        <x:v>887</x:v>
      </x:c>
      <x:c r="O561" s="90" t="n">
        <x:v>6.38</x:v>
      </x:c>
      <x:c r="P561" s="150" t="n">
        <x:v>3.92</x:v>
      </x:c>
      <x:c r="Q561" s="86" t="n">
        <x:v>23</x:v>
      </x:c>
      <x:c r="R561" s="32"/>
      <x:c r="S561" s="32" t="str">
        <x:v>ok</x:v>
      </x:c>
      <x:c r="T561" s="32" t="str">
        <x:v>ok</x:v>
      </x:c>
      <x:c r="U561" s="32" t="str">
        <x:v>ok</x:v>
      </x:c>
      <x:c r="V561" s="32" t="str">
        <x:v>ok</x:v>
      </x:c>
      <x:c r="W561" s="154" t="str">
        <x:v>{"schema_version":1,"imei":"862323089930706","timestamp":1786021853,"report_sequence":24,"task_version":"rice_tension_soil_demo","sensor_mode":"tension_soil","soil_moisture_percent":42,"soil_temperature_c":25.6,"soil_ec_us_cm":887,"soil_ph":6.38,"battery_mv":3920,"csq":23,"soil_rs485_status":"ok","cycle_status":"ok","soil_tension_kpa":-37,"soil_tension_rs485_status":"ok"}</x:v>
      </x:c>
    </x:row>
    <x:row r="562">
      <x:c r="A562" s="72" t="n">
        <x:v>46240.88255787037</x:v>
      </x:c>
      <x:c r="B562" s="72" t="n">
        <x:v>46240.88257175926</x:v>
      </x:c>
      <x:c r="C562" s="32" t="str">
        <x:v>P07</x:v>
      </x:c>
      <x:c r="D562" s="32" t="str">
        <x:v>B2-W0-V1</x:v>
      </x:c>
      <x:c r="E562" s="32" t="str">
        <x:v>B2</x:v>
      </x:c>
      <x:c r="F562" s="32" t="str">
        <x:v>W0</x:v>
      </x:c>
      <x:c r="G562" s="32" t="str">
        <x:v>V1</x:v>
      </x:c>
      <x:c r="H562" s="32" t="str">
        <x:v>water_soil</x:v>
      </x:c>
      <x:c r="I562" s="32" t="str">
        <x:v>862323089930707</x:v>
      </x:c>
      <x:c r="J562" s="82" t="n">
        <x:v>41.9</x:v>
      </x:c>
      <x:c r="K562" s="82"/>
      <x:c r="L562" s="82" t="n">
        <x:v>43</x:v>
      </x:c>
      <x:c r="M562" s="82" t="n">
        <x:v>25.6</x:v>
      </x:c>
      <x:c r="N562" s="86" t="n">
        <x:v>899</x:v>
      </x:c>
      <x:c r="O562" s="90" t="n">
        <x:v>6.43</x:v>
      </x:c>
      <x:c r="P562" s="150" t="n">
        <x:v>3.938</x:v>
      </x:c>
      <x:c r="Q562" s="86" t="n">
        <x:v>24</x:v>
      </x:c>
      <x:c r="R562" s="32" t="str">
        <x:v>ok</x:v>
      </x:c>
      <x:c r="S562" s="32"/>
      <x:c r="T562" s="32" t="str">
        <x:v>ok</x:v>
      </x:c>
      <x:c r="U562" s="32" t="str">
        <x:v>ok</x:v>
      </x:c>
      <x:c r="V562" s="32" t="str">
        <x:v>ok</x:v>
      </x:c>
      <x:c r="W562" s="154" t="str">
        <x:v>{"schema_version":1,"imei":"862323089930707","timestamp":1786021853,"report_sequence":24,"task_version":"rice_w0_water_soil_demo","sensor_mode":"water_soil","soil_moisture_percent":43,"soil_temperature_c":25.6,"soil_ec_us_cm":899,"soil_ph":6.43,"battery_mv":3938,"csq":24,"soil_rs485_status":"ok","cycle_status":"ok","water_level_mm":41.9,"water_4_20ma_status":"ok"}</x:v>
      </x:c>
    </x:row>
    <x:row r="563">
      <x:c r="A563" s="72" t="n">
        <x:v>46240.88255787037</x:v>
      </x:c>
      <x:c r="B563" s="72" t="n">
        <x:v>46240.88257175926</x:v>
      </x:c>
      <x:c r="C563" s="32" t="str">
        <x:v>P08</x:v>
      </x:c>
      <x:c r="D563" s="32" t="str">
        <x:v>B2-W0-V2</x:v>
      </x:c>
      <x:c r="E563" s="32" t="str">
        <x:v>B2</x:v>
      </x:c>
      <x:c r="F563" s="32" t="str">
        <x:v>W0</x:v>
      </x:c>
      <x:c r="G563" s="32" t="str">
        <x:v>V2</x:v>
      </x:c>
      <x:c r="H563" s="32" t="str">
        <x:v>water_soil</x:v>
      </x:c>
      <x:c r="I563" s="32" t="str">
        <x:v>862323089930708</x:v>
      </x:c>
      <x:c r="J563" s="82" t="n">
        <x:v>32.6</x:v>
      </x:c>
      <x:c r="K563" s="82"/>
      <x:c r="L563" s="82" t="n">
        <x:v>35.8</x:v>
      </x:c>
      <x:c r="M563" s="82" t="n">
        <x:v>25.6</x:v>
      </x:c>
      <x:c r="N563" s="86" t="n">
        <x:v>908</x:v>
      </x:c>
      <x:c r="O563" s="90" t="n">
        <x:v>6.48</x:v>
      </x:c>
      <x:c r="P563" s="150" t="n">
        <x:v>3.956</x:v>
      </x:c>
      <x:c r="Q563" s="86" t="n">
        <x:v>17</x:v>
      </x:c>
      <x:c r="R563" s="32" t="str">
        <x:v>ok</x:v>
      </x:c>
      <x:c r="S563" s="32"/>
      <x:c r="T563" s="32" t="str">
        <x:v>ok</x:v>
      </x:c>
      <x:c r="U563" s="32" t="str">
        <x:v>ok</x:v>
      </x:c>
      <x:c r="V563" s="32" t="str">
        <x:v>ok</x:v>
      </x:c>
      <x:c r="W563" s="154" t="str">
        <x:v>{"schema_version":1,"imei":"862323089930708","timestamp":1786021853,"report_sequence":24,"task_version":"rice_w0_water_soil_demo","sensor_mode":"water_soil","soil_moisture_percent":35.8,"soil_temperature_c":25.6,"soil_ec_us_cm":908,"soil_ph":6.48,"battery_mv":3956,"csq":17,"soil_rs485_status":"ok","cycle_status":"ok","water_level_mm":32.6,"water_4_20ma_status":"ok"}</x:v>
      </x:c>
    </x:row>
    <x:row r="564">
      <x:c r="A564" s="72" t="n">
        <x:v>46240.88255787037</x:v>
      </x:c>
      <x:c r="B564" s="72" t="n">
        <x:v>46240.88257175926</x:v>
      </x:c>
      <x:c r="C564" s="32" t="str">
        <x:v>P09</x:v>
      </x:c>
      <x:c r="D564" s="32" t="str">
        <x:v>B2-W1-V1</x:v>
      </x:c>
      <x:c r="E564" s="32" t="str">
        <x:v>B2</x:v>
      </x:c>
      <x:c r="F564" s="32" t="str">
        <x:v>W1</x:v>
      </x:c>
      <x:c r="G564" s="32" t="str">
        <x:v>V1</x:v>
      </x:c>
      <x:c r="H564" s="32" t="str">
        <x:v>tension_soil</x:v>
      </x:c>
      <x:c r="I564" s="32" t="str">
        <x:v>862323089930709</x:v>
      </x:c>
      <x:c r="J564" s="82"/>
      <x:c r="K564" s="82" t="n">
        <x:v>-28.6</x:v>
      </x:c>
      <x:c r="L564" s="82" t="n">
        <x:v>36.6</x:v>
      </x:c>
      <x:c r="M564" s="82" t="n">
        <x:v>25.5</x:v>
      </x:c>
      <x:c r="N564" s="86" t="n">
        <x:v>916</x:v>
      </x:c>
      <x:c r="O564" s="90" t="n">
        <x:v>6.52</x:v>
      </x:c>
      <x:c r="P564" s="150" t="n">
        <x:v>3.974</x:v>
      </x:c>
      <x:c r="Q564" s="86" t="n">
        <x:v>18</x:v>
      </x:c>
      <x:c r="R564" s="32"/>
      <x:c r="S564" s="32" t="str">
        <x:v>ok</x:v>
      </x:c>
      <x:c r="T564" s="32" t="str">
        <x:v>ok</x:v>
      </x:c>
      <x:c r="U564" s="32" t="str">
        <x:v>ok</x:v>
      </x:c>
      <x:c r="V564" s="32" t="str">
        <x:v>ok</x:v>
      </x:c>
      <x:c r="W564" s="154" t="str">
        <x:v>{"schema_version":1,"imei":"862323089930709","timestamp":1786021853,"report_sequence":24,"task_version":"rice_tension_soil_demo","sensor_mode":"tension_soil","soil_moisture_percent":36.6,"soil_temperature_c":25.5,"soil_ec_us_cm":916,"soil_ph":6.52,"battery_mv":3974,"csq":18,"soil_rs485_status":"ok","cycle_status":"ok","soil_tension_kpa":-28.6,"soil_tension_rs485_status":"ok"}</x:v>
      </x:c>
    </x:row>
    <x:row r="565">
      <x:c r="A565" s="72" t="n">
        <x:v>46240.88255787037</x:v>
      </x:c>
      <x:c r="B565" s="72" t="n">
        <x:v>46240.88257175926</x:v>
      </x:c>
      <x:c r="C565" s="32" t="str">
        <x:v>P10</x:v>
      </x:c>
      <x:c r="D565" s="32" t="str">
        <x:v>B2-W1-V2</x:v>
      </x:c>
      <x:c r="E565" s="32" t="str">
        <x:v>B2</x:v>
      </x:c>
      <x:c r="F565" s="32" t="str">
        <x:v>W1</x:v>
      </x:c>
      <x:c r="G565" s="32" t="str">
        <x:v>V2</x:v>
      </x:c>
      <x:c r="H565" s="32" t="str">
        <x:v>tension_soil</x:v>
      </x:c>
      <x:c r="I565" s="32" t="str">
        <x:v>862323089930710</x:v>
      </x:c>
      <x:c r="J565" s="82"/>
      <x:c r="K565" s="82" t="n">
        <x:v>-24.2</x:v>
      </x:c>
      <x:c r="L565" s="82" t="n">
        <x:v>37.2</x:v>
      </x:c>
      <x:c r="M565" s="82" t="n">
        <x:v>25.4</x:v>
      </x:c>
      <x:c r="N565" s="86" t="n">
        <x:v>922</x:v>
      </x:c>
      <x:c r="O565" s="90" t="n">
        <x:v>6.32</x:v>
      </x:c>
      <x:c r="P565" s="150" t="n">
        <x:v>3.992</x:v>
      </x:c>
      <x:c r="Q565" s="86" t="n">
        <x:v>19</x:v>
      </x:c>
      <x:c r="R565" s="32"/>
      <x:c r="S565" s="32" t="str">
        <x:v>ok</x:v>
      </x:c>
      <x:c r="T565" s="32" t="str">
        <x:v>ok</x:v>
      </x:c>
      <x:c r="U565" s="32" t="str">
        <x:v>ok</x:v>
      </x:c>
      <x:c r="V565" s="32" t="str">
        <x:v>ok</x:v>
      </x:c>
      <x:c r="W565" s="154" t="str">
        <x:v>{"schema_version":1,"imei":"862323089930710","timestamp":1786021853,"report_sequence":24,"task_version":"rice_tension_soil_demo","sensor_mode":"tension_soil","soil_moisture_percent":37.2,"soil_temperature_c":25.4,"soil_ec_us_cm":922,"soil_ph":6.32,"battery_mv":3992,"csq":19,"soil_rs485_status":"ok","cycle_status":"ok","soil_tension_kpa":-24.2,"soil_tension_rs485_status":"ok"}</x:v>
      </x:c>
    </x:row>
    <x:row r="566">
      <x:c r="A566" s="72" t="n">
        <x:v>46240.88255787037</x:v>
      </x:c>
      <x:c r="B566" s="72" t="n">
        <x:v>46240.88257175926</x:v>
      </x:c>
      <x:c r="C566" s="32" t="str">
        <x:v>P11</x:v>
      </x:c>
      <x:c r="D566" s="32" t="str">
        <x:v>B2-W2-V1</x:v>
      </x:c>
      <x:c r="E566" s="32" t="str">
        <x:v>B2</x:v>
      </x:c>
      <x:c r="F566" s="32" t="str">
        <x:v>W2</x:v>
      </x:c>
      <x:c r="G566" s="32" t="str">
        <x:v>V1</x:v>
      </x:c>
      <x:c r="H566" s="32" t="str">
        <x:v>tension_soil</x:v>
      </x:c>
      <x:c r="I566" s="32" t="str">
        <x:v>862323089930711</x:v>
      </x:c>
      <x:c r="J566" s="82"/>
      <x:c r="K566" s="82" t="n">
        <x:v>-35.8</x:v>
      </x:c>
      <x:c r="L566" s="82" t="n">
        <x:v>37.8</x:v>
      </x:c>
      <x:c r="M566" s="82" t="n">
        <x:v>25.3</x:v>
      </x:c>
      <x:c r="N566" s="86" t="n">
        <x:v>926</x:v>
      </x:c>
      <x:c r="O566" s="90" t="n">
        <x:v>6.36</x:v>
      </x:c>
      <x:c r="P566" s="150" t="n">
        <x:v>4.01</x:v>
      </x:c>
      <x:c r="Q566" s="86" t="n">
        <x:v>20</x:v>
      </x:c>
      <x:c r="R566" s="32"/>
      <x:c r="S566" s="32" t="str">
        <x:v>ok</x:v>
      </x:c>
      <x:c r="T566" s="32" t="str">
        <x:v>ok</x:v>
      </x:c>
      <x:c r="U566" s="32" t="str">
        <x:v>ok</x:v>
      </x:c>
      <x:c r="V566" s="32" t="str">
        <x:v>ok</x:v>
      </x:c>
      <x:c r="W566" s="154" t="str">
        <x:v>{"schema_version":1,"imei":"862323089930711","timestamp":1786021853,"report_sequence":24,"task_version":"rice_tension_soil_demo","sensor_mode":"tension_soil","soil_moisture_percent":37.8,"soil_temperature_c":25.3,"soil_ec_us_cm":926,"soil_ph":6.36,"battery_mv":4010,"csq":20,"soil_rs485_status":"ok","cycle_status":"ok","soil_tension_kpa":-35.8,"soil_tension_rs485_status":"ok"}</x:v>
      </x:c>
    </x:row>
    <x:row r="567">
      <x:c r="A567" s="72" t="n">
        <x:v>46240.88255787037</x:v>
      </x:c>
      <x:c r="B567" s="72" t="n">
        <x:v>46240.88257175926</x:v>
      </x:c>
      <x:c r="C567" s="32" t="str">
        <x:v>P12</x:v>
      </x:c>
      <x:c r="D567" s="32" t="str">
        <x:v>B2-W2-V2</x:v>
      </x:c>
      <x:c r="E567" s="32" t="str">
        <x:v>B2</x:v>
      </x:c>
      <x:c r="F567" s="32" t="str">
        <x:v>W2</x:v>
      </x:c>
      <x:c r="G567" s="32" t="str">
        <x:v>V2</x:v>
      </x:c>
      <x:c r="H567" s="32" t="str">
        <x:v>tension_soil</x:v>
      </x:c>
      <x:c r="I567" s="32" t="str">
        <x:v>862323089930712</x:v>
      </x:c>
      <x:c r="J567" s="82"/>
      <x:c r="K567" s="82" t="n">
        <x:v>-36.3</x:v>
      </x:c>
      <x:c r="L567" s="82" t="n">
        <x:v>38.3</x:v>
      </x:c>
      <x:c r="M567" s="82" t="n">
        <x:v>25.2</x:v>
      </x:c>
      <x:c r="N567" s="86" t="n">
        <x:v>930</x:v>
      </x:c>
      <x:c r="O567" s="90" t="n">
        <x:v>6.41</x:v>
      </x:c>
      <x:c r="P567" s="150" t="n">
        <x:v>3.92</x:v>
      </x:c>
      <x:c r="Q567" s="86" t="n">
        <x:v>21</x:v>
      </x:c>
      <x:c r="R567" s="32"/>
      <x:c r="S567" s="32" t="str">
        <x:v>ok</x:v>
      </x:c>
      <x:c r="T567" s="32" t="str">
        <x:v>ok</x:v>
      </x:c>
      <x:c r="U567" s="32" t="str">
        <x:v>ok</x:v>
      </x:c>
      <x:c r="V567" s="32" t="str">
        <x:v>ok</x:v>
      </x:c>
      <x:c r="W567" s="154" t="str">
        <x:v>{"schema_version":1,"imei":"862323089930712","timestamp":1786021853,"report_sequence":24,"task_version":"rice_tension_soil_demo","sensor_mode":"tension_soil","soil_moisture_percent":38.3,"soil_temperature_c":25.2,"soil_ec_us_cm":930,"soil_ph":6.41,"battery_mv":3920,"csq":21,"soil_rs485_status":"ok","cycle_status":"ok","soil_tension_kpa":-36.3,"soil_tension_rs485_status":"ok"}</x:v>
      </x:c>
    </x:row>
    <x:row r="568">
      <x:c r="A568" s="72" t="n">
        <x:v>46240.88255787037</x:v>
      </x:c>
      <x:c r="B568" s="72" t="n">
        <x:v>46240.88257175926</x:v>
      </x:c>
      <x:c r="C568" s="32" t="str">
        <x:v>P13</x:v>
      </x:c>
      <x:c r="D568" s="32" t="str">
        <x:v>B3-W0-V1</x:v>
      </x:c>
      <x:c r="E568" s="32" t="str">
        <x:v>B3</x:v>
      </x:c>
      <x:c r="F568" s="32" t="str">
        <x:v>W0</x:v>
      </x:c>
      <x:c r="G568" s="32" t="str">
        <x:v>V1</x:v>
      </x:c>
      <x:c r="H568" s="32" t="str">
        <x:v>water_soil</x:v>
      </x:c>
      <x:c r="I568" s="32" t="str">
        <x:v>862323089930713</x:v>
      </x:c>
      <x:c r="J568" s="82" t="n">
        <x:v>30.6</x:v>
      </x:c>
      <x:c r="K568" s="82"/>
      <x:c r="L568" s="82" t="n">
        <x:v>38.8</x:v>
      </x:c>
      <x:c r="M568" s="82" t="n">
        <x:v>25.1</x:v>
      </x:c>
      <x:c r="N568" s="86" t="n">
        <x:v>933</x:v>
      </x:c>
      <x:c r="O568" s="90" t="n">
        <x:v>6.45</x:v>
      </x:c>
      <x:c r="P568" s="150" t="n">
        <x:v>3.938</x:v>
      </x:c>
      <x:c r="Q568" s="86" t="n">
        <x:v>22</x:v>
      </x:c>
      <x:c r="R568" s="32" t="str">
        <x:v>ok</x:v>
      </x:c>
      <x:c r="S568" s="32"/>
      <x:c r="T568" s="32" t="str">
        <x:v>ok</x:v>
      </x:c>
      <x:c r="U568" s="32" t="str">
        <x:v>ok</x:v>
      </x:c>
      <x:c r="V568" s="32" t="str">
        <x:v>ok</x:v>
      </x:c>
      <x:c r="W568" s="154" t="str">
        <x:v>{"schema_version":1,"imei":"862323089930713","timestamp":1786021853,"report_sequence":24,"task_version":"rice_w0_water_soil_demo","sensor_mode":"water_soil","soil_moisture_percent":38.8,"soil_temperature_c":25.1,"soil_ec_us_cm":933,"soil_ph":6.45,"battery_mv":3938,"csq":22,"soil_rs485_status":"ok","cycle_status":"ok","water_level_mm":30.6,"water_4_20ma_status":"ok"}</x:v>
      </x:c>
    </x:row>
    <x:row r="569">
      <x:c r="A569" s="72" t="n">
        <x:v>46240.88255787037</x:v>
      </x:c>
      <x:c r="B569" s="72" t="n">
        <x:v>46240.88257175926</x:v>
      </x:c>
      <x:c r="C569" s="32" t="str">
        <x:v>P14</x:v>
      </x:c>
      <x:c r="D569" s="32" t="str">
        <x:v>B3-W0-V2</x:v>
      </x:c>
      <x:c r="E569" s="32" t="str">
        <x:v>B3</x:v>
      </x:c>
      <x:c r="F569" s="32" t="str">
        <x:v>W0</x:v>
      </x:c>
      <x:c r="G569" s="32" t="str">
        <x:v>V2</x:v>
      </x:c>
      <x:c r="H569" s="32" t="str">
        <x:v>water_soil</x:v>
      </x:c>
      <x:c r="I569" s="32" t="str">
        <x:v>862323089930714</x:v>
      </x:c>
      <x:c r="J569" s="82" t="n">
        <x:v>32.4</x:v>
      </x:c>
      <x:c r="K569" s="82"/>
      <x:c r="L569" s="82" t="n">
        <x:v>39.4</x:v>
      </x:c>
      <x:c r="M569" s="82" t="n">
        <x:v>24.9</x:v>
      </x:c>
      <x:c r="N569" s="86" t="n">
        <x:v>937</x:v>
      </x:c>
      <x:c r="O569" s="90" t="n">
        <x:v>6.49</x:v>
      </x:c>
      <x:c r="P569" s="150" t="n">
        <x:v>3.956</x:v>
      </x:c>
      <x:c r="Q569" s="86" t="n">
        <x:v>23</x:v>
      </x:c>
      <x:c r="R569" s="32" t="str">
        <x:v>ok</x:v>
      </x:c>
      <x:c r="S569" s="32"/>
      <x:c r="T569" s="32" t="str">
        <x:v>ok</x:v>
      </x:c>
      <x:c r="U569" s="32" t="str">
        <x:v>ok</x:v>
      </x:c>
      <x:c r="V569" s="32" t="str">
        <x:v>ok</x:v>
      </x:c>
      <x:c r="W569" s="154" t="str">
        <x:v>{"schema_version":1,"imei":"862323089930714","timestamp":1786021853,"report_sequence":24,"task_version":"rice_w0_water_soil_demo","sensor_mode":"water_soil","soil_moisture_percent":39.4,"soil_temperature_c":24.9,"soil_ec_us_cm":937,"soil_ph":6.49,"battery_mv":3956,"csq":23,"soil_rs485_status":"ok","cycle_status":"ok","water_level_mm":32.4,"water_4_20ma_status":"ok"}</x:v>
      </x:c>
    </x:row>
    <x:row r="570">
      <x:c r="A570" s="72" t="n">
        <x:v>46240.88255787037</x:v>
      </x:c>
      <x:c r="B570" s="72" t="n">
        <x:v>46240.88257175926</x:v>
      </x:c>
      <x:c r="C570" s="32" t="str">
        <x:v>P15</x:v>
      </x:c>
      <x:c r="D570" s="32" t="str">
        <x:v>B3-W1-V1</x:v>
      </x:c>
      <x:c r="E570" s="32" t="str">
        <x:v>B3</x:v>
      </x:c>
      <x:c r="F570" s="32" t="str">
        <x:v>W1</x:v>
      </x:c>
      <x:c r="G570" s="32" t="str">
        <x:v>V1</x:v>
      </x:c>
      <x:c r="H570" s="32" t="str">
        <x:v>tension_soil</x:v>
      </x:c>
      <x:c r="I570" s="32" t="str">
        <x:v>862323089930715</x:v>
      </x:c>
      <x:c r="J570" s="82"/>
      <x:c r="K570" s="82" t="n">
        <x:v>-21.9</x:v>
      </x:c>
      <x:c r="L570" s="82" t="n">
        <x:v>39.9</x:v>
      </x:c>
      <x:c r="M570" s="82" t="n">
        <x:v>24.8</x:v>
      </x:c>
      <x:c r="N570" s="86" t="n">
        <x:v>941</x:v>
      </x:c>
      <x:c r="O570" s="90" t="n">
        <x:v>6.28</x:v>
      </x:c>
      <x:c r="P570" s="150" t="n">
        <x:v>3.974</x:v>
      </x:c>
      <x:c r="Q570" s="86" t="n">
        <x:v>24</x:v>
      </x:c>
      <x:c r="R570" s="32"/>
      <x:c r="S570" s="32" t="str">
        <x:v>ok</x:v>
      </x:c>
      <x:c r="T570" s="32" t="str">
        <x:v>ok</x:v>
      </x:c>
      <x:c r="U570" s="32" t="str">
        <x:v>ok</x:v>
      </x:c>
      <x:c r="V570" s="32" t="str">
        <x:v>ok</x:v>
      </x:c>
      <x:c r="W570" s="154" t="str">
        <x:v>{"schema_version":1,"imei":"862323089930715","timestamp":1786021853,"report_sequence":24,"task_version":"rice_tension_soil_demo","sensor_mode":"tension_soil","soil_moisture_percent":39.9,"soil_temperature_c":24.8,"soil_ec_us_cm":941,"soil_ph":6.28,"battery_mv":3974,"csq":24,"soil_rs485_status":"ok","cycle_status":"ok","soil_tension_kpa":-21.9,"soil_tension_rs485_status":"ok"}</x:v>
      </x:c>
    </x:row>
    <x:row r="571">
      <x:c r="A571" s="72" t="n">
        <x:v>46240.88255787037</x:v>
      </x:c>
      <x:c r="B571" s="72" t="n">
        <x:v>46240.88257175926</x:v>
      </x:c>
      <x:c r="C571" s="32" t="str">
        <x:v>P16</x:v>
      </x:c>
      <x:c r="D571" s="32" t="str">
        <x:v>B3-W1-V2</x:v>
      </x:c>
      <x:c r="E571" s="32" t="str">
        <x:v>B3</x:v>
      </x:c>
      <x:c r="F571" s="32" t="str">
        <x:v>W1</x:v>
      </x:c>
      <x:c r="G571" s="32" t="str">
        <x:v>V2</x:v>
      </x:c>
      <x:c r="H571" s="32" t="str">
        <x:v>tension_soil</x:v>
      </x:c>
      <x:c r="I571" s="32" t="str">
        <x:v>862323089930716</x:v>
      </x:c>
      <x:c r="J571" s="82"/>
      <x:c r="K571" s="82" t="n">
        <x:v>-22.5</x:v>
      </x:c>
      <x:c r="L571" s="82" t="n">
        <x:v>32.5</x:v>
      </x:c>
      <x:c r="M571" s="82" t="n">
        <x:v>24.7</x:v>
      </x:c>
      <x:c r="N571" s="86" t="n">
        <x:v>946</x:v>
      </x:c>
      <x:c r="O571" s="90" t="n">
        <x:v>6.33</x:v>
      </x:c>
      <x:c r="P571" s="150" t="n">
        <x:v>3.992</x:v>
      </x:c>
      <x:c r="Q571" s="86" t="n">
        <x:v>17</x:v>
      </x:c>
      <x:c r="R571" s="32"/>
      <x:c r="S571" s="32" t="str">
        <x:v>ok</x:v>
      </x:c>
      <x:c r="T571" s="32" t="str">
        <x:v>ok</x:v>
      </x:c>
      <x:c r="U571" s="32" t="str">
        <x:v>ok</x:v>
      </x:c>
      <x:c r="V571" s="32" t="str">
        <x:v>ok</x:v>
      </x:c>
      <x:c r="W571" s="154" t="str">
        <x:v>{"schema_version":1,"imei":"862323089930716","timestamp":1786021853,"report_sequence":24,"task_version":"rice_tension_soil_demo","sensor_mode":"tension_soil","soil_moisture_percent":32.5,"soil_temperature_c":24.7,"soil_ec_us_cm":946,"soil_ph":6.33,"battery_mv":3992,"csq":17,"soil_rs485_status":"ok","cycle_status":"ok","soil_tension_kpa":-22.5,"soil_tension_rs485_status":"ok"}</x:v>
      </x:c>
    </x:row>
    <x:row r="572">
      <x:c r="A572" s="72" t="n">
        <x:v>46240.88255787037</x:v>
      </x:c>
      <x:c r="B572" s="72" t="n">
        <x:v>46240.88257175926</x:v>
      </x:c>
      <x:c r="C572" s="32" t="str">
        <x:v>P17</x:v>
      </x:c>
      <x:c r="D572" s="32" t="str">
        <x:v>B3-W2-V1</x:v>
      </x:c>
      <x:c r="E572" s="32" t="str">
        <x:v>B3</x:v>
      </x:c>
      <x:c r="F572" s="32" t="str">
        <x:v>W2</x:v>
      </x:c>
      <x:c r="G572" s="32" t="str">
        <x:v>V1</x:v>
      </x:c>
      <x:c r="H572" s="32" t="str">
        <x:v>tension_soil</x:v>
      </x:c>
      <x:c r="I572" s="32" t="str">
        <x:v>862323089930717</x:v>
      </x:c>
      <x:c r="J572" s="82"/>
      <x:c r="K572" s="82" t="n">
        <x:v>-34.2</x:v>
      </x:c>
      <x:c r="L572" s="82" t="n">
        <x:v>33.2</x:v>
      </x:c>
      <x:c r="M572" s="82" t="n">
        <x:v>24.7</x:v>
      </x:c>
      <x:c r="N572" s="86" t="n">
        <x:v>953</x:v>
      </x:c>
      <x:c r="O572" s="90" t="n">
        <x:v>6.37</x:v>
      </x:c>
      <x:c r="P572" s="150" t="n">
        <x:v>4.01</x:v>
      </x:c>
      <x:c r="Q572" s="86" t="n">
        <x:v>18</x:v>
      </x:c>
      <x:c r="R572" s="32"/>
      <x:c r="S572" s="32" t="str">
        <x:v>ok</x:v>
      </x:c>
      <x:c r="T572" s="32" t="str">
        <x:v>ok</x:v>
      </x:c>
      <x:c r="U572" s="32" t="str">
        <x:v>ok</x:v>
      </x:c>
      <x:c r="V572" s="32" t="str">
        <x:v>ok</x:v>
      </x:c>
      <x:c r="W572" s="154" t="str">
        <x:v>{"schema_version":1,"imei":"862323089930717","timestamp":1786021853,"report_sequence":24,"task_version":"rice_tension_soil_demo","sensor_mode":"tension_soil","soil_moisture_percent":33.2,"soil_temperature_c":24.7,"soil_ec_us_cm":953,"soil_ph":6.37,"battery_mv":4010,"csq":18,"soil_rs485_status":"ok","cycle_status":"ok","soil_tension_kpa":-34.2,"soil_tension_rs485_status":"ok"}</x:v>
      </x:c>
    </x:row>
    <x:row r="573">
      <x:c r="A573" s="72" t="n">
        <x:v>46240.88255787037</x:v>
      </x:c>
      <x:c r="B573" s="72" t="n">
        <x:v>46240.88257175926</x:v>
      </x:c>
      <x:c r="C573" s="32" t="str">
        <x:v>P18</x:v>
      </x:c>
      <x:c r="D573" s="32" t="str">
        <x:v>B3-W2-V2</x:v>
      </x:c>
      <x:c r="E573" s="32" t="str">
        <x:v>B3</x:v>
      </x:c>
      <x:c r="F573" s="32" t="str">
        <x:v>W2</x:v>
      </x:c>
      <x:c r="G573" s="32" t="str">
        <x:v>V2</x:v>
      </x:c>
      <x:c r="H573" s="32" t="str">
        <x:v>tension_soil</x:v>
      </x:c>
      <x:c r="I573" s="32" t="str">
        <x:v>862323089930718</x:v>
      </x:c>
      <x:c r="J573" s="82"/>
      <x:c r="K573" s="82" t="n">
        <x:v>-35.1</x:v>
      </x:c>
      <x:c r="L573" s="82" t="n">
        <x:v>34.1</x:v>
      </x:c>
      <x:c r="M573" s="82" t="n">
        <x:v>24.6</x:v>
      </x:c>
      <x:c r="N573" s="86" t="n">
        <x:v>962</x:v>
      </x:c>
      <x:c r="O573" s="90" t="n">
        <x:v>6.42</x:v>
      </x:c>
      <x:c r="P573" s="150" t="n">
        <x:v>3.92</x:v>
      </x:c>
      <x:c r="Q573" s="86" t="n">
        <x:v>19</x:v>
      </x:c>
      <x:c r="R573" s="32"/>
      <x:c r="S573" s="32" t="str">
        <x:v>ok</x:v>
      </x:c>
      <x:c r="T573" s="32" t="str">
        <x:v>ok</x:v>
      </x:c>
      <x:c r="U573" s="32" t="str">
        <x:v>ok</x:v>
      </x:c>
      <x:c r="V573" s="32" t="str">
        <x:v>ok</x:v>
      </x:c>
      <x:c r="W573" s="154" t="str">
        <x:v>{"schema_version":1,"imei":"862323089930718","timestamp":1786021853,"report_sequence":24,"task_version":"rice_tension_soil_demo","sensor_mode":"tension_soil","soil_moisture_percent":34.1,"soil_temperature_c":24.6,"soil_ec_us_cm":962,"soil_ph":6.42,"battery_mv":3920,"csq":19,"soil_rs485_status":"ok","cycle_status":"ok","soil_tension_kpa":-35.1,"soil_tension_rs485_status":"ok"}</x:v>
      </x:c>
    </x:row>
    <x:row r="574">
      <x:c r="A574" s="72" t="n">
        <x:v>46240.88255787037</x:v>
      </x:c>
      <x:c r="B574" s="72" t="n">
        <x:v>46240.88257175926</x:v>
      </x:c>
      <x:c r="C574" s="32" t="str">
        <x:v>P19</x:v>
      </x:c>
      <x:c r="D574" s="32" t="str">
        <x:v>B4-W0-V1</x:v>
      </x:c>
      <x:c r="E574" s="32" t="str">
        <x:v>B4</x:v>
      </x:c>
      <x:c r="F574" s="32" t="str">
        <x:v>W0</x:v>
      </x:c>
      <x:c r="G574" s="32" t="str">
        <x:v>V1</x:v>
      </x:c>
      <x:c r="H574" s="32" t="str">
        <x:v>water_soil</x:v>
      </x:c>
      <x:c r="I574" s="32" t="str">
        <x:v>862323089930719</x:v>
      </x:c>
      <x:c r="J574" s="82" t="n">
        <x:v>32</x:v>
      </x:c>
      <x:c r="K574" s="82"/>
      <x:c r="L574" s="82" t="n">
        <x:v>35</x:v>
      </x:c>
      <x:c r="M574" s="82" t="n">
        <x:v>24.6</x:v>
      </x:c>
      <x:c r="N574" s="86" t="n">
        <x:v>973</x:v>
      </x:c>
      <x:c r="O574" s="90" t="n">
        <x:v>6.47</x:v>
      </x:c>
      <x:c r="P574" s="150" t="n">
        <x:v>3.938</x:v>
      </x:c>
      <x:c r="Q574" s="86" t="n">
        <x:v>20</x:v>
      </x:c>
      <x:c r="R574" s="32" t="str">
        <x:v>ok</x:v>
      </x:c>
      <x:c r="S574" s="32"/>
      <x:c r="T574" s="32" t="str">
        <x:v>ok</x:v>
      </x:c>
      <x:c r="U574" s="32" t="str">
        <x:v>ok</x:v>
      </x:c>
      <x:c r="V574" s="32" t="str">
        <x:v>ok</x:v>
      </x:c>
      <x:c r="W574" s="154" t="str">
        <x:v>{"schema_version":1,"imei":"862323089930719","timestamp":1786021853,"report_sequence":24,"task_version":"rice_w0_water_soil_demo","sensor_mode":"water_soil","soil_moisture_percent":35,"soil_temperature_c":24.6,"soil_ec_us_cm":973,"soil_ph":6.47,"battery_mv":3938,"csq":20,"soil_rs485_status":"ok","cycle_status":"ok","water_level_mm":32,"water_4_20ma_status":"ok"}</x:v>
      </x:c>
    </x:row>
    <x:row r="575">
      <x:c r="A575" s="72" t="n">
        <x:v>46240.88255787037</x:v>
      </x:c>
      <x:c r="B575" s="72" t="n">
        <x:v>46240.88257175926</x:v>
      </x:c>
      <x:c r="C575" s="32" t="str">
        <x:v>P20</x:v>
      </x:c>
      <x:c r="D575" s="32" t="str">
        <x:v>B4-W0-V2</x:v>
      </x:c>
      <x:c r="E575" s="32" t="str">
        <x:v>B4</x:v>
      </x:c>
      <x:c r="F575" s="32" t="str">
        <x:v>W0</x:v>
      </x:c>
      <x:c r="G575" s="32" t="str">
        <x:v>V2</x:v>
      </x:c>
      <x:c r="H575" s="32" t="str">
        <x:v>water_soil</x:v>
      </x:c>
      <x:c r="I575" s="32" t="str">
        <x:v>862323089930720</x:v>
      </x:c>
      <x:c r="J575" s="82" t="n">
        <x:v>23.2</x:v>
      </x:c>
      <x:c r="K575" s="82"/>
      <x:c r="L575" s="82" t="n">
        <x:v>36.1</x:v>
      </x:c>
      <x:c r="M575" s="82" t="n">
        <x:v>24.6</x:v>
      </x:c>
      <x:c r="N575" s="86" t="n">
        <x:v>986</x:v>
      </x:c>
      <x:c r="O575" s="90" t="n">
        <x:v>6.27</x:v>
      </x:c>
      <x:c r="P575" s="150" t="n">
        <x:v>3.956</x:v>
      </x:c>
      <x:c r="Q575" s="86" t="n">
        <x:v>21</x:v>
      </x:c>
      <x:c r="R575" s="32" t="str">
        <x:v>ok</x:v>
      </x:c>
      <x:c r="S575" s="32"/>
      <x:c r="T575" s="32" t="str">
        <x:v>ok</x:v>
      </x:c>
      <x:c r="U575" s="32" t="str">
        <x:v>ok</x:v>
      </x:c>
      <x:c r="V575" s="32" t="str">
        <x:v>ok</x:v>
      </x:c>
      <x:c r="W575" s="154" t="str">
        <x:v>{"schema_version":1,"imei":"862323089930720","timestamp":1786021853,"report_sequence":24,"task_version":"rice_w0_water_soil_demo","sensor_mode":"water_soil","soil_moisture_percent":36.1,"soil_temperature_c":24.6,"soil_ec_us_cm":986,"soil_ph":6.27,"battery_mv":3956,"csq":21,"soil_rs485_status":"ok","cycle_status":"ok","water_level_mm":23.2,"water_4_20ma_status":"ok"}</x:v>
      </x:c>
    </x:row>
    <x:row r="576">
      <x:c r="A576" s="72" t="n">
        <x:v>46240.88255787037</x:v>
      </x:c>
      <x:c r="B576" s="72" t="n">
        <x:v>46240.88257175926</x:v>
      </x:c>
      <x:c r="C576" s="32" t="str">
        <x:v>P21</x:v>
      </x:c>
      <x:c r="D576" s="32" t="str">
        <x:v>B4-W1-V1</x:v>
      </x:c>
      <x:c r="E576" s="32" t="str">
        <x:v>B4</x:v>
      </x:c>
      <x:c r="F576" s="32" t="str">
        <x:v>W1</x:v>
      </x:c>
      <x:c r="G576" s="32" t="str">
        <x:v>V1</x:v>
      </x:c>
      <x:c r="H576" s="32" t="str">
        <x:v>tension_soil</x:v>
      </x:c>
      <x:c r="I576" s="32" t="str">
        <x:v>862323089930721</x:v>
      </x:c>
      <x:c r="J576" s="82"/>
      <x:c r="K576" s="82" t="n">
        <x:v>-22.2</x:v>
      </x:c>
      <x:c r="L576" s="82" t="n">
        <x:v>37.2</x:v>
      </x:c>
      <x:c r="M576" s="82" t="n">
        <x:v>24.7</x:v>
      </x:c>
      <x:c r="N576" s="86" t="n">
        <x:v>1001</x:v>
      </x:c>
      <x:c r="O576" s="90" t="n">
        <x:v>6.32</x:v>
      </x:c>
      <x:c r="P576" s="150" t="n">
        <x:v>3.974</x:v>
      </x:c>
      <x:c r="Q576" s="86" t="n">
        <x:v>22</x:v>
      </x:c>
      <x:c r="R576" s="32"/>
      <x:c r="S576" s="32" t="str">
        <x:v>ok</x:v>
      </x:c>
      <x:c r="T576" s="32" t="str">
        <x:v>ok</x:v>
      </x:c>
      <x:c r="U576" s="32" t="str">
        <x:v>ok</x:v>
      </x:c>
      <x:c r="V576" s="32" t="str">
        <x:v>ok</x:v>
      </x:c>
      <x:c r="W576" s="154" t="str">
        <x:v>{"schema_version":1,"imei":"862323089930721","timestamp":1786021853,"report_sequence":24,"task_version":"rice_tension_soil_demo","sensor_mode":"tension_soil","soil_moisture_percent":37.2,"soil_temperature_c":24.7,"soil_ec_us_cm":1001,"soil_ph":6.32,"battery_mv":3974,"csq":22,"soil_rs485_status":"ok","cycle_status":"ok","soil_tension_kpa":-22.2,"soil_tension_rs485_status":"ok"}</x:v>
      </x:c>
    </x:row>
    <x:row r="577">
      <x:c r="A577" s="72" t="n">
        <x:v>46240.88255787037</x:v>
      </x:c>
      <x:c r="B577" s="72" t="n">
        <x:v>46240.88257175926</x:v>
      </x:c>
      <x:c r="C577" s="32" t="str">
        <x:v>P22</x:v>
      </x:c>
      <x:c r="D577" s="32" t="str">
        <x:v>B4-W1-V2</x:v>
      </x:c>
      <x:c r="E577" s="32" t="str">
        <x:v>B4</x:v>
      </x:c>
      <x:c r="F577" s="32" t="str">
        <x:v>W1</x:v>
      </x:c>
      <x:c r="G577" s="32" t="str">
        <x:v>V2</x:v>
      </x:c>
      <x:c r="H577" s="32" t="str">
        <x:v>tension_soil</x:v>
      </x:c>
      <x:c r="I577" s="32" t="str">
        <x:v>862323089930722</x:v>
      </x:c>
      <x:c r="J577" s="82"/>
      <x:c r="K577" s="82" t="n">
        <x:v>-23.5</x:v>
      </x:c>
      <x:c r="L577" s="82" t="n">
        <x:v>38.5</x:v>
      </x:c>
      <x:c r="M577" s="82" t="n">
        <x:v>24.7</x:v>
      </x:c>
      <x:c r="N577" s="86" t="n">
        <x:v>1018</x:v>
      </x:c>
      <x:c r="O577" s="90" t="n">
        <x:v>6.38</x:v>
      </x:c>
      <x:c r="P577" s="150" t="n">
        <x:v>3.992</x:v>
      </x:c>
      <x:c r="Q577" s="86" t="n">
        <x:v>23</x:v>
      </x:c>
      <x:c r="R577" s="32"/>
      <x:c r="S577" s="32" t="str">
        <x:v>ok</x:v>
      </x:c>
      <x:c r="T577" s="32" t="str">
        <x:v>ok</x:v>
      </x:c>
      <x:c r="U577" s="32" t="str">
        <x:v>ok</x:v>
      </x:c>
      <x:c r="V577" s="32" t="str">
        <x:v>ok</x:v>
      </x:c>
      <x:c r="W577" s="154" t="str">
        <x:v>{"schema_version":1,"imei":"862323089930722","timestamp":1786021853,"report_sequence":24,"task_version":"rice_tension_soil_demo","sensor_mode":"tension_soil","soil_moisture_percent":38.5,"soil_temperature_c":24.7,"soil_ec_us_cm":1018,"soil_ph":6.38,"battery_mv":3992,"csq":23,"soil_rs485_status":"ok","cycle_status":"ok","soil_tension_kpa":-23.5,"soil_tension_rs485_status":"ok"}</x:v>
      </x:c>
    </x:row>
    <x:row r="578">
      <x:c r="A578" s="72" t="n">
        <x:v>46240.88255787037</x:v>
      </x:c>
      <x:c r="B578" s="72" t="n">
        <x:v>46240.88257175926</x:v>
      </x:c>
      <x:c r="C578" s="32" t="str">
        <x:v>P23</x:v>
      </x:c>
      <x:c r="D578" s="32" t="str">
        <x:v>B4-W2-V1</x:v>
      </x:c>
      <x:c r="E578" s="32" t="str">
        <x:v>B4</x:v>
      </x:c>
      <x:c r="F578" s="32" t="str">
        <x:v>W2</x:v>
      </x:c>
      <x:c r="G578" s="32" t="str">
        <x:v>V1</x:v>
      </x:c>
      <x:c r="H578" s="32" t="str">
        <x:v>tension_soil</x:v>
      </x:c>
      <x:c r="I578" s="32" t="str">
        <x:v>862323089930723</x:v>
      </x:c>
      <x:c r="J578" s="82"/>
      <x:c r="K578" s="82" t="n">
        <x:v>-35.9</x:v>
      </x:c>
      <x:c r="L578" s="82" t="n">
        <x:v>39.9</x:v>
      </x:c>
      <x:c r="M578" s="82" t="n">
        <x:v>24.8</x:v>
      </x:c>
      <x:c r="N578" s="86" t="n">
        <x:v>1037</x:v>
      </x:c>
      <x:c r="O578" s="90" t="n">
        <x:v>6.43</x:v>
      </x:c>
      <x:c r="P578" s="150" t="n">
        <x:v>4.01</x:v>
      </x:c>
      <x:c r="Q578" s="86" t="n">
        <x:v>24</x:v>
      </x:c>
      <x:c r="R578" s="32"/>
      <x:c r="S578" s="32" t="str">
        <x:v>ok</x:v>
      </x:c>
      <x:c r="T578" s="32" t="str">
        <x:v>ok</x:v>
      </x:c>
      <x:c r="U578" s="32" t="str">
        <x:v>ok</x:v>
      </x:c>
      <x:c r="V578" s="32" t="str">
        <x:v>ok</x:v>
      </x:c>
      <x:c r="W578" s="154" t="str">
        <x:v>{"schema_version":1,"imei":"862323089930723","timestamp":1786021853,"report_sequence":24,"task_version":"rice_tension_soil_demo","sensor_mode":"tension_soil","soil_moisture_percent":39.9,"soil_temperature_c":24.8,"soil_ec_us_cm":1037,"soil_ph":6.43,"battery_mv":4010,"csq":24,"soil_rs485_status":"ok","cycle_status":"ok","soil_tension_kpa":-35.9,"soil_tension_rs485_status":"ok"}</x:v>
      </x:c>
    </x:row>
    <x:row r="579">
      <x:c r="A579" s="72" t="n">
        <x:v>46240.88255787037</x:v>
      </x:c>
      <x:c r="B579" s="72" t="n">
        <x:v>46240.88257175926</x:v>
      </x:c>
      <x:c r="C579" s="32" t="str">
        <x:v>P24</x:v>
      </x:c>
      <x:c r="D579" s="32" t="str">
        <x:v>B4-W2-V2</x:v>
      </x:c>
      <x:c r="E579" s="32" t="str">
        <x:v>B4</x:v>
      </x:c>
      <x:c r="F579" s="32" t="str">
        <x:v>W2</x:v>
      </x:c>
      <x:c r="G579" s="32" t="str">
        <x:v>V2</x:v>
      </x:c>
      <x:c r="H579" s="32" t="str">
        <x:v>tension_soil</x:v>
      </x:c>
      <x:c r="I579" s="32" t="str">
        <x:v>862323089930724</x:v>
      </x:c>
      <x:c r="J579" s="82"/>
      <x:c r="K579" s="82" t="n">
        <x:v>-37.4</x:v>
      </x:c>
      <x:c r="L579" s="82" t="n">
        <x:v>33.4</x:v>
      </x:c>
      <x:c r="M579" s="82" t="n">
        <x:v>24.9</x:v>
      </x:c>
      <x:c r="N579" s="86" t="n">
        <x:v>1057</x:v>
      </x:c>
      <x:c r="O579" s="90" t="n">
        <x:v>6.49</x:v>
      </x:c>
      <x:c r="P579" s="150" t="n">
        <x:v>3.92</x:v>
      </x:c>
      <x:c r="Q579" s="86" t="n">
        <x:v>17</x:v>
      </x:c>
      <x:c r="R579" s="32"/>
      <x:c r="S579" s="32" t="str">
        <x:v>ok</x:v>
      </x:c>
      <x:c r="T579" s="32" t="str">
        <x:v>ok</x:v>
      </x:c>
      <x:c r="U579" s="32" t="str">
        <x:v>ok</x:v>
      </x:c>
      <x:c r="V579" s="32" t="str">
        <x:v>ok</x:v>
      </x:c>
      <x:c r="W579" s="154" t="str">
        <x:v>{"schema_version":1,"imei":"862323089930724","timestamp":1786021853,"report_sequence":24,"task_version":"rice_tension_soil_demo","sensor_mode":"tension_soil","soil_moisture_percent":33.4,"soil_temperature_c":24.9,"soil_ec_us_cm":1057,"soil_ph":6.49,"battery_mv":3920,"csq":17,"soil_rs485_status":"ok","cycle_status":"ok","soil_tension_kpa":-37.4,"soil_tension_rs485_status":"ok"}</x:v>
      </x:c>
    </x:row>
    <x:row r="580">
      <x:c r="A580" s="72" t="n">
        <x:v>46240.886030092595</x:v>
      </x:c>
      <x:c r="B580" s="72" t="n">
        <x:v>46240.88604398148</x:v>
      </x:c>
      <x:c r="C580" s="32" t="str">
        <x:v>P01</x:v>
      </x:c>
      <x:c r="D580" s="32" t="str">
        <x:v>B1-W0-V1</x:v>
      </x:c>
      <x:c r="E580" s="32" t="str">
        <x:v>B1</x:v>
      </x:c>
      <x:c r="F580" s="32" t="str">
        <x:v>W0</x:v>
      </x:c>
      <x:c r="G580" s="32" t="str">
        <x:v>V1</x:v>
      </x:c>
      <x:c r="H580" s="32" t="str">
        <x:v>water_soil</x:v>
      </x:c>
      <x:c r="I580" s="32" t="str">
        <x:v>862323089930701</x:v>
      </x:c>
      <x:c r="J580" s="82" t="n">
        <x:v>30.8</x:v>
      </x:c>
      <x:c r="K580" s="82"/>
      <x:c r="L580" s="82" t="n">
        <x:v>34.9</x:v>
      </x:c>
      <x:c r="M580" s="82" t="n">
        <x:v>25.1</x:v>
      </x:c>
      <x:c r="N580" s="86" t="n">
        <x:v>791</x:v>
      </x:c>
      <x:c r="O580" s="90" t="n">
        <x:v>6.35</x:v>
      </x:c>
      <x:c r="P580" s="150" t="n">
        <x:v>3.938</x:v>
      </x:c>
      <x:c r="Q580" s="86" t="n">
        <x:v>18</x:v>
      </x:c>
      <x:c r="R580" s="32" t="str">
        <x:v>ok</x:v>
      </x:c>
      <x:c r="S580" s="32"/>
      <x:c r="T580" s="32" t="str">
        <x:v>ok</x:v>
      </x:c>
      <x:c r="U580" s="32" t="str">
        <x:v>ok</x:v>
      </x:c>
      <x:c r="V580" s="32" t="str">
        <x:v>ok</x:v>
      </x:c>
      <x:c r="W580" s="154" t="str">
        <x:v>{"schema_version":1,"imei":"862323089930701","timestamp":1786022153,"report_sequence":25,"task_version":"rice_w0_water_soil_demo","sensor_mode":"water_soil","soil_moisture_percent":34.9,"soil_temperature_c":25.1,"soil_ec_us_cm":791,"soil_ph":6.35,"battery_mv":3938,"csq":18,"soil_rs485_status":"ok","cycle_status":"ok","water_level_mm":30.8,"water_4_20ma_status":"ok"}</x:v>
      </x:c>
    </x:row>
    <x:row r="581">
      <x:c r="A581" s="72" t="n">
        <x:v>46240.886030092595</x:v>
      </x:c>
      <x:c r="B581" s="72" t="n">
        <x:v>46240.88604398148</x:v>
      </x:c>
      <x:c r="C581" s="32" t="str">
        <x:v>P02</x:v>
      </x:c>
      <x:c r="D581" s="32" t="str">
        <x:v>B1-W0-V2</x:v>
      </x:c>
      <x:c r="E581" s="32" t="str">
        <x:v>B1</x:v>
      </x:c>
      <x:c r="F581" s="32" t="str">
        <x:v>W0</x:v>
      </x:c>
      <x:c r="G581" s="32" t="str">
        <x:v>V2</x:v>
      </x:c>
      <x:c r="H581" s="32" t="str">
        <x:v>water_soil</x:v>
      </x:c>
      <x:c r="I581" s="32" t="str">
        <x:v>862323089930702</x:v>
      </x:c>
      <x:c r="J581" s="82" t="n">
        <x:v>35.1</x:v>
      </x:c>
      <x:c r="K581" s="82"/>
      <x:c r="L581" s="82" t="n">
        <x:v>36.4</x:v>
      </x:c>
      <x:c r="M581" s="82" t="n">
        <x:v>25.2</x:v>
      </x:c>
      <x:c r="N581" s="86" t="n">
        <x:v>812</x:v>
      </x:c>
      <x:c r="O581" s="90" t="n">
        <x:v>6.41</x:v>
      </x:c>
      <x:c r="P581" s="150" t="n">
        <x:v>3.956</x:v>
      </x:c>
      <x:c r="Q581" s="86" t="n">
        <x:v>19</x:v>
      </x:c>
      <x:c r="R581" s="32" t="str">
        <x:v>ok</x:v>
      </x:c>
      <x:c r="S581" s="32"/>
      <x:c r="T581" s="32" t="str">
        <x:v>ok</x:v>
      </x:c>
      <x:c r="U581" s="32" t="str">
        <x:v>ok</x:v>
      </x:c>
      <x:c r="V581" s="32" t="str">
        <x:v>ok</x:v>
      </x:c>
      <x:c r="W581" s="154" t="str">
        <x:v>{"schema_version":1,"imei":"862323089930702","timestamp":1786022153,"report_sequence":25,"task_version":"rice_w0_water_soil_demo","sensor_mode":"water_soil","soil_moisture_percent":36.4,"soil_temperature_c":25.2,"soil_ec_us_cm":812,"soil_ph":6.41,"battery_mv":3956,"csq":19,"soil_rs485_status":"ok","cycle_status":"ok","water_level_mm":35.1,"water_4_20ma_status":"ok"}</x:v>
      </x:c>
    </x:row>
    <x:row r="582">
      <x:c r="A582" s="72" t="n">
        <x:v>46240.886030092595</x:v>
      </x:c>
      <x:c r="B582" s="72" t="n">
        <x:v>46240.88604398148</x:v>
      </x:c>
      <x:c r="C582" s="32" t="str">
        <x:v>P03</x:v>
      </x:c>
      <x:c r="D582" s="32" t="str">
        <x:v>B1-W1-V1</x:v>
      </x:c>
      <x:c r="E582" s="32" t="str">
        <x:v>B1</x:v>
      </x:c>
      <x:c r="F582" s="32" t="str">
        <x:v>W1</x:v>
      </x:c>
      <x:c r="G582" s="32" t="str">
        <x:v>V1</x:v>
      </x:c>
      <x:c r="H582" s="32" t="str">
        <x:v>tension_soil</x:v>
      </x:c>
      <x:c r="I582" s="32" t="str">
        <x:v>862323089930703</x:v>
      </x:c>
      <x:c r="J582" s="82"/>
      <x:c r="K582" s="82" t="n">
        <x:v>-26.9</x:v>
      </x:c>
      <x:c r="L582" s="82" t="n">
        <x:v>37.9</x:v>
      </x:c>
      <x:c r="M582" s="82" t="n">
        <x:v>25.3</x:v>
      </x:c>
      <x:c r="N582" s="86" t="n">
        <x:v>832</x:v>
      </x:c>
      <x:c r="O582" s="90" t="n">
        <x:v>6.46</x:v>
      </x:c>
      <x:c r="P582" s="150" t="n">
        <x:v>3.974</x:v>
      </x:c>
      <x:c r="Q582" s="86" t="n">
        <x:v>20</x:v>
      </x:c>
      <x:c r="R582" s="32"/>
      <x:c r="S582" s="32" t="str">
        <x:v>ok</x:v>
      </x:c>
      <x:c r="T582" s="32" t="str">
        <x:v>ok</x:v>
      </x:c>
      <x:c r="U582" s="32" t="str">
        <x:v>ok</x:v>
      </x:c>
      <x:c r="V582" s="32" t="str">
        <x:v>ok</x:v>
      </x:c>
      <x:c r="W582" s="154" t="str">
        <x:v>{"schema_version":1,"imei":"862323089930703","timestamp":1786022153,"report_sequence":25,"task_version":"rice_tension_soil_demo","sensor_mode":"tension_soil","soil_moisture_percent":37.9,"soil_temperature_c":25.3,"soil_ec_us_cm":832,"soil_ph":6.46,"battery_mv":3974,"csq":20,"soil_rs485_status":"ok","cycle_status":"ok","soil_tension_kpa":-26.9,"soil_tension_rs485_status":"ok"}</x:v>
      </x:c>
    </x:row>
    <x:row r="583">
      <x:c r="A583" s="72" t="n">
        <x:v>46240.886030092595</x:v>
      </x:c>
      <x:c r="B583" s="72" t="n">
        <x:v>46240.88604398148</x:v>
      </x:c>
      <x:c r="C583" s="32" t="str">
        <x:v>P04</x:v>
      </x:c>
      <x:c r="D583" s="32" t="str">
        <x:v>B1-W1-V2</x:v>
      </x:c>
      <x:c r="E583" s="32" t="str">
        <x:v>B1</x:v>
      </x:c>
      <x:c r="F583" s="32" t="str">
        <x:v>W1</x:v>
      </x:c>
      <x:c r="G583" s="32" t="str">
        <x:v>V2</x:v>
      </x:c>
      <x:c r="H583" s="32" t="str">
        <x:v>tension_soil</x:v>
      </x:c>
      <x:c r="I583" s="32" t="str">
        <x:v>862323089930704</x:v>
      </x:c>
      <x:c r="J583" s="82"/>
      <x:c r="K583" s="82" t="n">
        <x:v>-28.3</x:v>
      </x:c>
      <x:c r="L583" s="82" t="n">
        <x:v>39.3</x:v>
      </x:c>
      <x:c r="M583" s="82" t="n">
        <x:v>25.4</x:v>
      </x:c>
      <x:c r="N583" s="86" t="n">
        <x:v>851</x:v>
      </x:c>
      <x:c r="O583" s="90" t="n">
        <x:v>6.52</x:v>
      </x:c>
      <x:c r="P583" s="150" t="n">
        <x:v>3.992</x:v>
      </x:c>
      <x:c r="Q583" s="86" t="n">
        <x:v>21</x:v>
      </x:c>
      <x:c r="R583" s="32"/>
      <x:c r="S583" s="32" t="str">
        <x:v>ok</x:v>
      </x:c>
      <x:c r="T583" s="32" t="str">
        <x:v>ok</x:v>
      </x:c>
      <x:c r="U583" s="32" t="str">
        <x:v>ok</x:v>
      </x:c>
      <x:c r="V583" s="32" t="str">
        <x:v>ok</x:v>
      </x:c>
      <x:c r="W583" s="154" t="str">
        <x:v>{"schema_version":1,"imei":"862323089930704","timestamp":1786022153,"report_sequence":25,"task_version":"rice_tension_soil_demo","sensor_mode":"tension_soil","soil_moisture_percent":39.3,"soil_temperature_c":25.4,"soil_ec_us_cm":851,"soil_ph":6.52,"battery_mv":3992,"csq":21,"soil_rs485_status":"ok","cycle_status":"ok","soil_tension_kpa":-28.3,"soil_tension_rs485_status":"ok"}</x:v>
      </x:c>
    </x:row>
    <x:row r="584">
      <x:c r="A584" s="72" t="n">
        <x:v>46240.886030092595</x:v>
      </x:c>
      <x:c r="B584" s="72" t="n">
        <x:v>46240.88604398148</x:v>
      </x:c>
      <x:c r="C584" s="32" t="str">
        <x:v>P05</x:v>
      </x:c>
      <x:c r="D584" s="32" t="str">
        <x:v>B1-W2-V1</x:v>
      </x:c>
      <x:c r="E584" s="32" t="str">
        <x:v>B1</x:v>
      </x:c>
      <x:c r="F584" s="32" t="str">
        <x:v>W2</x:v>
      </x:c>
      <x:c r="G584" s="32" t="str">
        <x:v>V1</x:v>
      </x:c>
      <x:c r="H584" s="32" t="str">
        <x:v>tension_soil</x:v>
      </x:c>
      <x:c r="I584" s="32" t="str">
        <x:v>862323089930705</x:v>
      </x:c>
      <x:c r="J584" s="82"/>
      <x:c r="K584" s="82" t="n">
        <x:v>-35.6</x:v>
      </x:c>
      <x:c r="L584" s="82" t="n">
        <x:v>40.6</x:v>
      </x:c>
      <x:c r="M584" s="82" t="n">
        <x:v>25.5</x:v>
      </x:c>
      <x:c r="N584" s="86" t="n">
        <x:v>869</x:v>
      </x:c>
      <x:c r="O584" s="90" t="n">
        <x:v>6.32</x:v>
      </x:c>
      <x:c r="P584" s="150" t="n">
        <x:v>4.01</x:v>
      </x:c>
      <x:c r="Q584" s="86" t="n">
        <x:v>22</x:v>
      </x:c>
      <x:c r="R584" s="32"/>
      <x:c r="S584" s="32" t="str">
        <x:v>ok</x:v>
      </x:c>
      <x:c r="T584" s="32" t="str">
        <x:v>ok</x:v>
      </x:c>
      <x:c r="U584" s="32" t="str">
        <x:v>ok</x:v>
      </x:c>
      <x:c r="V584" s="32" t="str">
        <x:v>ok</x:v>
      </x:c>
      <x:c r="W584" s="154" t="str">
        <x:v>{"schema_version":1,"imei":"862323089930705","timestamp":1786022153,"report_sequence":25,"task_version":"rice_tension_soil_demo","sensor_mode":"tension_soil","soil_moisture_percent":40.6,"soil_temperature_c":25.5,"soil_ec_us_cm":869,"soil_ph":6.32,"battery_mv":4010,"csq":22,"soil_rs485_status":"ok","cycle_status":"ok","soil_tension_kpa":-35.6,"soil_tension_rs485_status":"ok"}</x:v>
      </x:c>
    </x:row>
    <x:row r="585">
      <x:c r="A585" s="72" t="n">
        <x:v>46240.886030092595</x:v>
      </x:c>
      <x:c r="B585" s="72" t="n">
        <x:v>46240.88604398148</x:v>
      </x:c>
      <x:c r="C585" s="32" t="str">
        <x:v>P06</x:v>
      </x:c>
      <x:c r="D585" s="32" t="str">
        <x:v>B1-W2-V2</x:v>
      </x:c>
      <x:c r="E585" s="32" t="str">
        <x:v>B1</x:v>
      </x:c>
      <x:c r="F585" s="32" t="str">
        <x:v>W2</x:v>
      </x:c>
      <x:c r="G585" s="32" t="str">
        <x:v>V2</x:v>
      </x:c>
      <x:c r="H585" s="32" t="str">
        <x:v>tension_soil</x:v>
      </x:c>
      <x:c r="I585" s="32" t="str">
        <x:v>862323089930706</x:v>
      </x:c>
      <x:c r="J585" s="82"/>
      <x:c r="K585" s="82" t="n">
        <x:v>-36.9</x:v>
      </x:c>
      <x:c r="L585" s="82" t="n">
        <x:v>41.9</x:v>
      </x:c>
      <x:c r="M585" s="82" t="n">
        <x:v>25.6</x:v>
      </x:c>
      <x:c r="N585" s="86" t="n">
        <x:v>885</x:v>
      </x:c>
      <x:c r="O585" s="90" t="n">
        <x:v>6.38</x:v>
      </x:c>
      <x:c r="P585" s="150" t="n">
        <x:v>3.92</x:v>
      </x:c>
      <x:c r="Q585" s="86" t="n">
        <x:v>23</x:v>
      </x:c>
      <x:c r="R585" s="32"/>
      <x:c r="S585" s="32" t="str">
        <x:v>ok</x:v>
      </x:c>
      <x:c r="T585" s="32" t="str">
        <x:v>ok</x:v>
      </x:c>
      <x:c r="U585" s="32" t="str">
        <x:v>ok</x:v>
      </x:c>
      <x:c r="V585" s="32" t="str">
        <x:v>ok</x:v>
      </x:c>
      <x:c r="W585" s="154" t="str">
        <x:v>{"schema_version":1,"imei":"862323089930706","timestamp":1786022153,"report_sequence":25,"task_version":"rice_tension_soil_demo","sensor_mode":"tension_soil","soil_moisture_percent":41.9,"soil_temperature_c":25.6,"soil_ec_us_cm":885,"soil_ph":6.38,"battery_mv":3920,"csq":23,"soil_rs485_status":"ok","cycle_status":"ok","soil_tension_kpa":-36.9,"soil_tension_rs485_status":"ok"}</x:v>
      </x:c>
    </x:row>
    <x:row r="586">
      <x:c r="A586" s="72" t="n">
        <x:v>46240.886030092595</x:v>
      </x:c>
      <x:c r="B586" s="72" t="n">
        <x:v>46240.88604398148</x:v>
      </x:c>
      <x:c r="C586" s="32" t="str">
        <x:v>P07</x:v>
      </x:c>
      <x:c r="D586" s="32" t="str">
        <x:v>B2-W0-V1</x:v>
      </x:c>
      <x:c r="E586" s="32" t="str">
        <x:v>B2</x:v>
      </x:c>
      <x:c r="F586" s="32" t="str">
        <x:v>W0</x:v>
      </x:c>
      <x:c r="G586" s="32" t="str">
        <x:v>V1</x:v>
      </x:c>
      <x:c r="H586" s="32" t="str">
        <x:v>water_soil</x:v>
      </x:c>
      <x:c r="I586" s="32" t="str">
        <x:v>862323089930707</x:v>
      </x:c>
      <x:c r="J586" s="82" t="n">
        <x:v>42</x:v>
      </x:c>
      <x:c r="K586" s="82"/>
      <x:c r="L586" s="82" t="n">
        <x:v>43</x:v>
      </x:c>
      <x:c r="M586" s="82" t="n">
        <x:v>25.6</x:v>
      </x:c>
      <x:c r="N586" s="86" t="n">
        <x:v>899</x:v>
      </x:c>
      <x:c r="O586" s="90" t="n">
        <x:v>6.43</x:v>
      </x:c>
      <x:c r="P586" s="150" t="n">
        <x:v>3.938</x:v>
      </x:c>
      <x:c r="Q586" s="86" t="n">
        <x:v>24</x:v>
      </x:c>
      <x:c r="R586" s="32" t="str">
        <x:v>ok</x:v>
      </x:c>
      <x:c r="S586" s="32"/>
      <x:c r="T586" s="32" t="str">
        <x:v>ok</x:v>
      </x:c>
      <x:c r="U586" s="32" t="str">
        <x:v>ok</x:v>
      </x:c>
      <x:c r="V586" s="32" t="str">
        <x:v>ok</x:v>
      </x:c>
      <x:c r="W586" s="154" t="str">
        <x:v>{"schema_version":1,"imei":"862323089930707","timestamp":1786022153,"report_sequence":25,"task_version":"rice_w0_water_soil_demo","sensor_mode":"water_soil","soil_moisture_percent":43,"soil_temperature_c":25.6,"soil_ec_us_cm":899,"soil_ph":6.43,"battery_mv":3938,"csq":24,"soil_rs485_status":"ok","cycle_status":"ok","water_level_mm":42,"water_4_20ma_status":"ok"}</x:v>
      </x:c>
    </x:row>
    <x:row r="587">
      <x:c r="A587" s="72" t="n">
        <x:v>46240.886030092595</x:v>
      </x:c>
      <x:c r="B587" s="72" t="n">
        <x:v>46240.88604398148</x:v>
      </x:c>
      <x:c r="C587" s="32" t="str">
        <x:v>P08</x:v>
      </x:c>
      <x:c r="D587" s="32" t="str">
        <x:v>B2-W0-V2</x:v>
      </x:c>
      <x:c r="E587" s="32" t="str">
        <x:v>B2</x:v>
      </x:c>
      <x:c r="F587" s="32" t="str">
        <x:v>W0</x:v>
      </x:c>
      <x:c r="G587" s="32" t="str">
        <x:v>V2</x:v>
      </x:c>
      <x:c r="H587" s="32" t="str">
        <x:v>water_soil</x:v>
      </x:c>
      <x:c r="I587" s="32" t="str">
        <x:v>862323089930708</x:v>
      </x:c>
      <x:c r="J587" s="82" t="n">
        <x:v>32.9</x:v>
      </x:c>
      <x:c r="K587" s="82"/>
      <x:c r="L587" s="82" t="n">
        <x:v>36</x:v>
      </x:c>
      <x:c r="M587" s="82" t="n">
        <x:v>25.6</x:v>
      </x:c>
      <x:c r="N587" s="86" t="n">
        <x:v>911</x:v>
      </x:c>
      <x:c r="O587" s="90" t="n">
        <x:v>6.48</x:v>
      </x:c>
      <x:c r="P587" s="150" t="n">
        <x:v>3.956</x:v>
      </x:c>
      <x:c r="Q587" s="86" t="n">
        <x:v>17</x:v>
      </x:c>
      <x:c r="R587" s="32" t="str">
        <x:v>ok</x:v>
      </x:c>
      <x:c r="S587" s="32"/>
      <x:c r="T587" s="32" t="str">
        <x:v>ok</x:v>
      </x:c>
      <x:c r="U587" s="32" t="str">
        <x:v>ok</x:v>
      </x:c>
      <x:c r="V587" s="32" t="str">
        <x:v>ok</x:v>
      </x:c>
      <x:c r="W587" s="154" t="str">
        <x:v>{"schema_version":1,"imei":"862323089930708","timestamp":1786022153,"report_sequence":25,"task_version":"rice_w0_water_soil_demo","sensor_mode":"water_soil","soil_moisture_percent":36,"soil_temperature_c":25.6,"soil_ec_us_cm":911,"soil_ph":6.48,"battery_mv":3956,"csq":17,"soil_rs485_status":"ok","cycle_status":"ok","water_level_mm":32.9,"water_4_20ma_status":"ok"}</x:v>
      </x:c>
    </x:row>
    <x:row r="588">
      <x:c r="A588" s="72" t="n">
        <x:v>46240.886030092595</x:v>
      </x:c>
      <x:c r="B588" s="72" t="n">
        <x:v>46240.88604398148</x:v>
      </x:c>
      <x:c r="C588" s="32" t="str">
        <x:v>P09</x:v>
      </x:c>
      <x:c r="D588" s="32" t="str">
        <x:v>B2-W1-V1</x:v>
      </x:c>
      <x:c r="E588" s="32" t="str">
        <x:v>B2</x:v>
      </x:c>
      <x:c r="F588" s="32" t="str">
        <x:v>W1</x:v>
      </x:c>
      <x:c r="G588" s="32" t="str">
        <x:v>V1</x:v>
      </x:c>
      <x:c r="H588" s="32" t="str">
        <x:v>tension_soil</x:v>
      </x:c>
      <x:c r="I588" s="32" t="str">
        <x:v>862323089930709</x:v>
      </x:c>
      <x:c r="J588" s="82"/>
      <x:c r="K588" s="82" t="n">
        <x:v>-28.8</x:v>
      </x:c>
      <x:c r="L588" s="82" t="n">
        <x:v>36.8</x:v>
      </x:c>
      <x:c r="M588" s="82" t="n">
        <x:v>25.6</x:v>
      </x:c>
      <x:c r="N588" s="86" t="n">
        <x:v>920</x:v>
      </x:c>
      <x:c r="O588" s="90" t="n">
        <x:v>6.53</x:v>
      </x:c>
      <x:c r="P588" s="150" t="n">
        <x:v>3.974</x:v>
      </x:c>
      <x:c r="Q588" s="86" t="n">
        <x:v>18</x:v>
      </x:c>
      <x:c r="R588" s="32"/>
      <x:c r="S588" s="32" t="str">
        <x:v>ok</x:v>
      </x:c>
      <x:c r="T588" s="32" t="str">
        <x:v>ok</x:v>
      </x:c>
      <x:c r="U588" s="32" t="str">
        <x:v>ok</x:v>
      </x:c>
      <x:c r="V588" s="32" t="str">
        <x:v>ok</x:v>
      </x:c>
      <x:c r="W588" s="154" t="str">
        <x:v>{"schema_version":1,"imei":"862323089930709","timestamp":1786022153,"report_sequence":25,"task_version":"rice_tension_soil_demo","sensor_mode":"tension_soil","soil_moisture_percent":36.8,"soil_temperature_c":25.6,"soil_ec_us_cm":920,"soil_ph":6.53,"battery_mv":3974,"csq":18,"soil_rs485_status":"ok","cycle_status":"ok","soil_tension_kpa":-28.8,"soil_tension_rs485_status":"ok"}</x:v>
      </x:c>
    </x:row>
    <x:row r="589">
      <x:c r="A589" s="72" t="n">
        <x:v>46240.886030092595</x:v>
      </x:c>
      <x:c r="B589" s="72" t="n">
        <x:v>46240.88604398148</x:v>
      </x:c>
      <x:c r="C589" s="32" t="str">
        <x:v>P10</x:v>
      </x:c>
      <x:c r="D589" s="32" t="str">
        <x:v>B2-W1-V2</x:v>
      </x:c>
      <x:c r="E589" s="32" t="str">
        <x:v>B2</x:v>
      </x:c>
      <x:c r="F589" s="32" t="str">
        <x:v>W1</x:v>
      </x:c>
      <x:c r="G589" s="32" t="str">
        <x:v>V2</x:v>
      </x:c>
      <x:c r="H589" s="32" t="str">
        <x:v>tension_soil</x:v>
      </x:c>
      <x:c r="I589" s="32" t="str">
        <x:v>862323089930710</x:v>
      </x:c>
      <x:c r="J589" s="82"/>
      <x:c r="K589" s="82" t="n">
        <x:v>-24.6</x:v>
      </x:c>
      <x:c r="L589" s="82" t="n">
        <x:v>37.6</x:v>
      </x:c>
      <x:c r="M589" s="82" t="n">
        <x:v>25.5</x:v>
      </x:c>
      <x:c r="N589" s="86" t="n">
        <x:v>928</x:v>
      </x:c>
      <x:c r="O589" s="90" t="n">
        <x:v>6.32</x:v>
      </x:c>
      <x:c r="P589" s="150" t="n">
        <x:v>3.992</x:v>
      </x:c>
      <x:c r="Q589" s="86" t="n">
        <x:v>19</x:v>
      </x:c>
      <x:c r="R589" s="32"/>
      <x:c r="S589" s="32" t="str">
        <x:v>ok</x:v>
      </x:c>
      <x:c r="T589" s="32" t="str">
        <x:v>ok</x:v>
      </x:c>
      <x:c r="U589" s="32" t="str">
        <x:v>ok</x:v>
      </x:c>
      <x:c r="V589" s="32" t="str">
        <x:v>ok</x:v>
      </x:c>
      <x:c r="W589" s="154" t="str">
        <x:v>{"schema_version":1,"imei":"862323089930710","timestamp":1786022153,"report_sequence":25,"task_version":"rice_tension_soil_demo","sensor_mode":"tension_soil","soil_moisture_percent":37.6,"soil_temperature_c":25.5,"soil_ec_us_cm":928,"soil_ph":6.32,"battery_mv":3992,"csq":19,"soil_rs485_status":"ok","cycle_status":"ok","soil_tension_kpa":-24.6,"soil_tension_rs485_status":"ok"}</x:v>
      </x:c>
    </x:row>
    <x:row r="590">
      <x:c r="A590" s="72" t="n">
        <x:v>46240.886030092595</x:v>
      </x:c>
      <x:c r="B590" s="72" t="n">
        <x:v>46240.88604398148</x:v>
      </x:c>
      <x:c r="C590" s="32" t="str">
        <x:v>P11</x:v>
      </x:c>
      <x:c r="D590" s="32" t="str">
        <x:v>B2-W2-V1</x:v>
      </x:c>
      <x:c r="E590" s="32" t="str">
        <x:v>B2</x:v>
      </x:c>
      <x:c r="F590" s="32" t="str">
        <x:v>W2</x:v>
      </x:c>
      <x:c r="G590" s="32" t="str">
        <x:v>V1</x:v>
      </x:c>
      <x:c r="H590" s="32" t="str">
        <x:v>tension_soil</x:v>
      </x:c>
      <x:c r="I590" s="32" t="str">
        <x:v>862323089930711</x:v>
      </x:c>
      <x:c r="J590" s="82"/>
      <x:c r="K590" s="82" t="n">
        <x:v>-36.2</x:v>
      </x:c>
      <x:c r="L590" s="82" t="n">
        <x:v>38.2</x:v>
      </x:c>
      <x:c r="M590" s="82" t="n">
        <x:v>25.4</x:v>
      </x:c>
      <x:c r="N590" s="86" t="n">
        <x:v>934</x:v>
      </x:c>
      <x:c r="O590" s="90" t="n">
        <x:v>6.37</x:v>
      </x:c>
      <x:c r="P590" s="150" t="n">
        <x:v>4.01</x:v>
      </x:c>
      <x:c r="Q590" s="86" t="n">
        <x:v>20</x:v>
      </x:c>
      <x:c r="R590" s="32"/>
      <x:c r="S590" s="32" t="str">
        <x:v>ok</x:v>
      </x:c>
      <x:c r="T590" s="32" t="str">
        <x:v>ok</x:v>
      </x:c>
      <x:c r="U590" s="32" t="str">
        <x:v>ok</x:v>
      </x:c>
      <x:c r="V590" s="32" t="str">
        <x:v>ok</x:v>
      </x:c>
      <x:c r="W590" s="154" t="str">
        <x:v>{"schema_version":1,"imei":"862323089930711","timestamp":1786022153,"report_sequence":25,"task_version":"rice_tension_soil_demo","sensor_mode":"tension_soil","soil_moisture_percent":38.2,"soil_temperature_c":25.4,"soil_ec_us_cm":934,"soil_ph":6.37,"battery_mv":4010,"csq":20,"soil_rs485_status":"ok","cycle_status":"ok","soil_tension_kpa":-36.2,"soil_tension_rs485_status":"ok"}</x:v>
      </x:c>
    </x:row>
    <x:row r="591">
      <x:c r="A591" s="72" t="n">
        <x:v>46240.886030092595</x:v>
      </x:c>
      <x:c r="B591" s="72" t="n">
        <x:v>46240.88604398148</x:v>
      </x:c>
      <x:c r="C591" s="32" t="str">
        <x:v>P12</x:v>
      </x:c>
      <x:c r="D591" s="32" t="str">
        <x:v>B2-W2-V2</x:v>
      </x:c>
      <x:c r="E591" s="32" t="str">
        <x:v>B2</x:v>
      </x:c>
      <x:c r="F591" s="32" t="str">
        <x:v>W2</x:v>
      </x:c>
      <x:c r="G591" s="32" t="str">
        <x:v>V2</x:v>
      </x:c>
      <x:c r="H591" s="32" t="str">
        <x:v>tension_soil</x:v>
      </x:c>
      <x:c r="I591" s="32" t="str">
        <x:v>862323089930712</x:v>
      </x:c>
      <x:c r="J591" s="82"/>
      <x:c r="K591" s="82" t="n">
        <x:v>-36.8</x:v>
      </x:c>
      <x:c r="L591" s="82" t="n">
        <x:v>38.8</x:v>
      </x:c>
      <x:c r="M591" s="82" t="n">
        <x:v>25.3</x:v>
      </x:c>
      <x:c r="N591" s="86" t="n">
        <x:v>938</x:v>
      </x:c>
      <x:c r="O591" s="90" t="n">
        <x:v>6.41</x:v>
      </x:c>
      <x:c r="P591" s="150" t="n">
        <x:v>3.92</x:v>
      </x:c>
      <x:c r="Q591" s="86" t="n">
        <x:v>21</x:v>
      </x:c>
      <x:c r="R591" s="32"/>
      <x:c r="S591" s="32" t="str">
        <x:v>ok</x:v>
      </x:c>
      <x:c r="T591" s="32" t="str">
        <x:v>ok</x:v>
      </x:c>
      <x:c r="U591" s="32" t="str">
        <x:v>ok</x:v>
      </x:c>
      <x:c r="V591" s="32" t="str">
        <x:v>ok</x:v>
      </x:c>
      <x:c r="W591" s="154" t="str">
        <x:v>{"schema_version":1,"imei":"862323089930712","timestamp":1786022153,"report_sequence":25,"task_version":"rice_tension_soil_demo","sensor_mode":"tension_soil","soil_moisture_percent":38.8,"soil_temperature_c":25.3,"soil_ec_us_cm":938,"soil_ph":6.41,"battery_mv":3920,"csq":21,"soil_rs485_status":"ok","cycle_status":"ok","soil_tension_kpa":-36.8,"soil_tension_rs485_status":"ok"}</x:v>
      </x:c>
    </x:row>
    <x:row r="592">
      <x:c r="A592" s="72" t="n">
        <x:v>46240.886030092595</x:v>
      </x:c>
      <x:c r="B592" s="72" t="n">
        <x:v>46240.88604398148</x:v>
      </x:c>
      <x:c r="C592" s="32" t="str">
        <x:v>P13</x:v>
      </x:c>
      <x:c r="D592" s="32" t="str">
        <x:v>B3-W0-V1</x:v>
      </x:c>
      <x:c r="E592" s="32" t="str">
        <x:v>B3</x:v>
      </x:c>
      <x:c r="F592" s="32" t="str">
        <x:v>W0</x:v>
      </x:c>
      <x:c r="G592" s="32" t="str">
        <x:v>V1</x:v>
      </x:c>
      <x:c r="H592" s="32" t="str">
        <x:v>water_soil</x:v>
      </x:c>
      <x:c r="I592" s="32" t="str">
        <x:v>862323089930713</x:v>
      </x:c>
      <x:c r="J592" s="82" t="n">
        <x:v>31.9</x:v>
      </x:c>
      <x:c r="K592" s="82"/>
      <x:c r="L592" s="82" t="n">
        <x:v>39.3</x:v>
      </x:c>
      <x:c r="M592" s="82" t="n">
        <x:v>25.2</x:v>
      </x:c>
      <x:c r="N592" s="86" t="n">
        <x:v>942</x:v>
      </x:c>
      <x:c r="O592" s="90" t="n">
        <x:v>6.46</x:v>
      </x:c>
      <x:c r="P592" s="150" t="n">
        <x:v>3.938</x:v>
      </x:c>
      <x:c r="Q592" s="86" t="n">
        <x:v>22</x:v>
      </x:c>
      <x:c r="R592" s="32" t="str">
        <x:v>ok</x:v>
      </x:c>
      <x:c r="S592" s="32"/>
      <x:c r="T592" s="32" t="str">
        <x:v>ok</x:v>
      </x:c>
      <x:c r="U592" s="32" t="str">
        <x:v>ok</x:v>
      </x:c>
      <x:c r="V592" s="32" t="str">
        <x:v>ok</x:v>
      </x:c>
      <x:c r="W592" s="154" t="str">
        <x:v>{"schema_version":1,"imei":"862323089930713","timestamp":1786022153,"report_sequence":25,"task_version":"rice_w0_water_soil_demo","sensor_mode":"water_soil","soil_moisture_percent":39.3,"soil_temperature_c":25.2,"soil_ec_us_cm":942,"soil_ph":6.46,"battery_mv":3938,"csq":22,"soil_rs485_status":"ok","cycle_status":"ok","water_level_mm":31.9,"water_4_20ma_status":"ok"}</x:v>
      </x:c>
    </x:row>
    <x:row r="593">
      <x:c r="A593" s="72" t="n">
        <x:v>46240.886030092595</x:v>
      </x:c>
      <x:c r="B593" s="72" t="n">
        <x:v>46240.88604398148</x:v>
      </x:c>
      <x:c r="C593" s="32" t="str">
        <x:v>P14</x:v>
      </x:c>
      <x:c r="D593" s="32" t="str">
        <x:v>B3-W0-V2</x:v>
      </x:c>
      <x:c r="E593" s="32" t="str">
        <x:v>B3</x:v>
      </x:c>
      <x:c r="F593" s="32" t="str">
        <x:v>W0</x:v>
      </x:c>
      <x:c r="G593" s="32" t="str">
        <x:v>V2</x:v>
      </x:c>
      <x:c r="H593" s="32" t="str">
        <x:v>water_soil</x:v>
      </x:c>
      <x:c r="I593" s="32" t="str">
        <x:v>862323089930714</x:v>
      </x:c>
      <x:c r="J593" s="82" t="n">
        <x:v>33.6</x:v>
      </x:c>
      <x:c r="K593" s="82"/>
      <x:c r="L593" s="82" t="n">
        <x:v>39.8</x:v>
      </x:c>
      <x:c r="M593" s="82" t="n">
        <x:v>25.1</x:v>
      </x:c>
      <x:c r="N593" s="86" t="n">
        <x:v>945</x:v>
      </x:c>
      <x:c r="O593" s="90" t="n">
        <x:v>6.5</x:v>
      </x:c>
      <x:c r="P593" s="150" t="n">
        <x:v>3.956</x:v>
      </x:c>
      <x:c r="Q593" s="86" t="n">
        <x:v>23</x:v>
      </x:c>
      <x:c r="R593" s="32" t="str">
        <x:v>ok</x:v>
      </x:c>
      <x:c r="S593" s="32"/>
      <x:c r="T593" s="32" t="str">
        <x:v>ok</x:v>
      </x:c>
      <x:c r="U593" s="32" t="str">
        <x:v>ok</x:v>
      </x:c>
      <x:c r="V593" s="32" t="str">
        <x:v>ok</x:v>
      </x:c>
      <x:c r="W593" s="154" t="str">
        <x:v>{"schema_version":1,"imei":"862323089930714","timestamp":1786022153,"report_sequence":25,"task_version":"rice_w0_water_soil_demo","sensor_mode":"water_soil","soil_moisture_percent":39.8,"soil_temperature_c":25.1,"soil_ec_us_cm":945,"soil_ph":6.5,"battery_mv":3956,"csq":23,"soil_rs485_status":"ok","cycle_status":"ok","water_level_mm":33.6,"water_4_20ma_status":"ok"}</x:v>
      </x:c>
    </x:row>
    <x:row r="594">
      <x:c r="A594" s="72" t="n">
        <x:v>46240.886030092595</x:v>
      </x:c>
      <x:c r="B594" s="72" t="n">
        <x:v>46240.88604398148</x:v>
      </x:c>
      <x:c r="C594" s="32" t="str">
        <x:v>P15</x:v>
      </x:c>
      <x:c r="D594" s="32" t="str">
        <x:v>B3-W1-V1</x:v>
      </x:c>
      <x:c r="E594" s="32" t="str">
        <x:v>B3</x:v>
      </x:c>
      <x:c r="F594" s="32" t="str">
        <x:v>W1</x:v>
      </x:c>
      <x:c r="G594" s="32" t="str">
        <x:v>V1</x:v>
      </x:c>
      <x:c r="H594" s="32" t="str">
        <x:v>tension_soil</x:v>
      </x:c>
      <x:c r="I594" s="32" t="str">
        <x:v>862323089930715</x:v>
      </x:c>
      <x:c r="J594" s="82"/>
      <x:c r="K594" s="82" t="n">
        <x:v>-22.4</x:v>
      </x:c>
      <x:c r="L594" s="82" t="n">
        <x:v>40.4</x:v>
      </x:c>
      <x:c r="M594" s="82" t="n">
        <x:v>24.9</x:v>
      </x:c>
      <x:c r="N594" s="86" t="n">
        <x:v>949</x:v>
      </x:c>
      <x:c r="O594" s="90" t="n">
        <x:v>6.29</x:v>
      </x:c>
      <x:c r="P594" s="150" t="n">
        <x:v>3.974</x:v>
      </x:c>
      <x:c r="Q594" s="86" t="n">
        <x:v>24</x:v>
      </x:c>
      <x:c r="R594" s="32"/>
      <x:c r="S594" s="32" t="str">
        <x:v>ok</x:v>
      </x:c>
      <x:c r="T594" s="32" t="str">
        <x:v>ok</x:v>
      </x:c>
      <x:c r="U594" s="32" t="str">
        <x:v>ok</x:v>
      </x:c>
      <x:c r="V594" s="32" t="str">
        <x:v>ok</x:v>
      </x:c>
      <x:c r="W594" s="154" t="str">
        <x:v>{"schema_version":1,"imei":"862323089930715","timestamp":1786022153,"report_sequence":25,"task_version":"rice_tension_soil_demo","sensor_mode":"tension_soil","soil_moisture_percent":40.4,"soil_temperature_c":24.9,"soil_ec_us_cm":949,"soil_ph":6.29,"battery_mv":3974,"csq":24,"soil_rs485_status":"ok","cycle_status":"ok","soil_tension_kpa":-22.4,"soil_tension_rs485_status":"ok"}</x:v>
      </x:c>
    </x:row>
    <x:row r="595">
      <x:c r="A595" s="72" t="n">
        <x:v>46240.886030092595</x:v>
      </x:c>
      <x:c r="B595" s="72" t="n">
        <x:v>46240.88604398148</x:v>
      </x:c>
      <x:c r="C595" s="32" t="str">
        <x:v>P16</x:v>
      </x:c>
      <x:c r="D595" s="32" t="str">
        <x:v>B3-W1-V2</x:v>
      </x:c>
      <x:c r="E595" s="32" t="str">
        <x:v>B3</x:v>
      </x:c>
      <x:c r="F595" s="32" t="str">
        <x:v>W1</x:v>
      </x:c>
      <x:c r="G595" s="32" t="str">
        <x:v>V2</x:v>
      </x:c>
      <x:c r="H595" s="32" t="str">
        <x:v>tension_soil</x:v>
      </x:c>
      <x:c r="I595" s="32" t="str">
        <x:v>862323089930716</x:v>
      </x:c>
      <x:c r="J595" s="82"/>
      <x:c r="K595" s="82" t="n">
        <x:v>-22.9</x:v>
      </x:c>
      <x:c r="L595" s="82" t="n">
        <x:v>32.9</x:v>
      </x:c>
      <x:c r="M595" s="82" t="n">
        <x:v>24.8</x:v>
      </x:c>
      <x:c r="N595" s="86" t="n">
        <x:v>953</x:v>
      </x:c>
      <x:c r="O595" s="90" t="n">
        <x:v>6.33</x:v>
      </x:c>
      <x:c r="P595" s="150" t="n">
        <x:v>3.992</x:v>
      </x:c>
      <x:c r="Q595" s="86" t="n">
        <x:v>17</x:v>
      </x:c>
      <x:c r="R595" s="32"/>
      <x:c r="S595" s="32" t="str">
        <x:v>ok</x:v>
      </x:c>
      <x:c r="T595" s="32" t="str">
        <x:v>ok</x:v>
      </x:c>
      <x:c r="U595" s="32" t="str">
        <x:v>ok</x:v>
      </x:c>
      <x:c r="V595" s="32" t="str">
        <x:v>ok</x:v>
      </x:c>
      <x:c r="W595" s="154" t="str">
        <x:v>{"schema_version":1,"imei":"862323089930716","timestamp":1786022153,"report_sequence":25,"task_version":"rice_tension_soil_demo","sensor_mode":"tension_soil","soil_moisture_percent":32.9,"soil_temperature_c":24.8,"soil_ec_us_cm":953,"soil_ph":6.33,"battery_mv":3992,"csq":17,"soil_rs485_status":"ok","cycle_status":"ok","soil_tension_kpa":-22.9,"soil_tension_rs485_status":"ok"}</x:v>
      </x:c>
    </x:row>
    <x:row r="596">
      <x:c r="A596" s="72" t="n">
        <x:v>46240.886030092595</x:v>
      </x:c>
      <x:c r="B596" s="72" t="n">
        <x:v>46240.88604398148</x:v>
      </x:c>
      <x:c r="C596" s="32" t="str">
        <x:v>P17</x:v>
      </x:c>
      <x:c r="D596" s="32" t="str">
        <x:v>B3-W2-V1</x:v>
      </x:c>
      <x:c r="E596" s="32" t="str">
        <x:v>B3</x:v>
      </x:c>
      <x:c r="F596" s="32" t="str">
        <x:v>W2</x:v>
      </x:c>
      <x:c r="G596" s="32" t="str">
        <x:v>V1</x:v>
      </x:c>
      <x:c r="H596" s="32" t="str">
        <x:v>tension_soil</x:v>
      </x:c>
      <x:c r="I596" s="32" t="str">
        <x:v>862323089930717</x:v>
      </x:c>
      <x:c r="J596" s="82"/>
      <x:c r="K596" s="82" t="n">
        <x:v>-34.5</x:v>
      </x:c>
      <x:c r="L596" s="82" t="n">
        <x:v>33.5</x:v>
      </x:c>
      <x:c r="M596" s="82" t="n">
        <x:v>24.7</x:v>
      </x:c>
      <x:c r="N596" s="86" t="n">
        <x:v>958</x:v>
      </x:c>
      <x:c r="O596" s="90" t="n">
        <x:v>6.38</x:v>
      </x:c>
      <x:c r="P596" s="150" t="n">
        <x:v>4.01</x:v>
      </x:c>
      <x:c r="Q596" s="86" t="n">
        <x:v>18</x:v>
      </x:c>
      <x:c r="R596" s="32"/>
      <x:c r="S596" s="32" t="str">
        <x:v>ok</x:v>
      </x:c>
      <x:c r="T596" s="32" t="str">
        <x:v>ok</x:v>
      </x:c>
      <x:c r="U596" s="32" t="str">
        <x:v>ok</x:v>
      </x:c>
      <x:c r="V596" s="32" t="str">
        <x:v>ok</x:v>
      </x:c>
      <x:c r="W596" s="154" t="str">
        <x:v>{"schema_version":1,"imei":"862323089930717","timestamp":1786022153,"report_sequence":25,"task_version":"rice_tension_soil_demo","sensor_mode":"tension_soil","soil_moisture_percent":33.5,"soil_temperature_c":24.7,"soil_ec_us_cm":958,"soil_ph":6.38,"battery_mv":4010,"csq":18,"soil_rs485_status":"ok","cycle_status":"ok","soil_tension_kpa":-34.5,"soil_tension_rs485_status":"ok"}</x:v>
      </x:c>
    </x:row>
    <x:row r="597">
      <x:c r="A597" s="72" t="n">
        <x:v>46240.886030092595</x:v>
      </x:c>
      <x:c r="B597" s="72" t="n">
        <x:v>46240.88604398148</x:v>
      </x:c>
      <x:c r="C597" s="32" t="str">
        <x:v>P18</x:v>
      </x:c>
      <x:c r="D597" s="32" t="str">
        <x:v>B3-W2-V2</x:v>
      </x:c>
      <x:c r="E597" s="32" t="str">
        <x:v>B3</x:v>
      </x:c>
      <x:c r="F597" s="32" t="str">
        <x:v>W2</x:v>
      </x:c>
      <x:c r="G597" s="32" t="str">
        <x:v>V2</x:v>
      </x:c>
      <x:c r="H597" s="32" t="str">
        <x:v>tension_soil</x:v>
      </x:c>
      <x:c r="I597" s="32" t="str">
        <x:v>862323089930718</x:v>
      </x:c>
      <x:c r="J597" s="82"/>
      <x:c r="K597" s="82" t="n">
        <x:v>-35.2</x:v>
      </x:c>
      <x:c r="L597" s="82" t="n">
        <x:v>34.2</x:v>
      </x:c>
      <x:c r="M597" s="82" t="n">
        <x:v>24.7</x:v>
      </x:c>
      <x:c r="N597" s="86" t="n">
        <x:v>965</x:v>
      </x:c>
      <x:c r="O597" s="90" t="n">
        <x:v>6.42</x:v>
      </x:c>
      <x:c r="P597" s="150" t="n">
        <x:v>3.92</x:v>
      </x:c>
      <x:c r="Q597" s="86" t="n">
        <x:v>19</x:v>
      </x:c>
      <x:c r="R597" s="32"/>
      <x:c r="S597" s="32" t="str">
        <x:v>ok</x:v>
      </x:c>
      <x:c r="T597" s="32" t="str">
        <x:v>ok</x:v>
      </x:c>
      <x:c r="U597" s="32" t="str">
        <x:v>ok</x:v>
      </x:c>
      <x:c r="V597" s="32" t="str">
        <x:v>ok</x:v>
      </x:c>
      <x:c r="W597" s="154" t="str">
        <x:v>{"schema_version":1,"imei":"862323089930718","timestamp":1786022153,"report_sequence":25,"task_version":"rice_tension_soil_demo","sensor_mode":"tension_soil","soil_moisture_percent":34.2,"soil_temperature_c":24.7,"soil_ec_us_cm":965,"soil_ph":6.42,"battery_mv":3920,"csq":19,"soil_rs485_status":"ok","cycle_status":"ok","soil_tension_kpa":-35.2,"soil_tension_rs485_status":"ok"}</x:v>
      </x:c>
    </x:row>
    <x:row r="598">
      <x:c r="A598" s="72" t="n">
        <x:v>46240.886030092595</x:v>
      </x:c>
      <x:c r="B598" s="72" t="n">
        <x:v>46240.88604398148</x:v>
      </x:c>
      <x:c r="C598" s="32" t="str">
        <x:v>P19</x:v>
      </x:c>
      <x:c r="D598" s="32" t="str">
        <x:v>B4-W0-V1</x:v>
      </x:c>
      <x:c r="E598" s="32" t="str">
        <x:v>B4</x:v>
      </x:c>
      <x:c r="F598" s="32" t="str">
        <x:v>W0</x:v>
      </x:c>
      <x:c r="G598" s="32" t="str">
        <x:v>V1</x:v>
      </x:c>
      <x:c r="H598" s="32" t="str">
        <x:v>water_soil</x:v>
      </x:c>
      <x:c r="I598" s="32" t="str">
        <x:v>862323089930719</x:v>
      </x:c>
      <x:c r="J598" s="82" t="n">
        <x:v>32.2</x:v>
      </x:c>
      <x:c r="K598" s="82"/>
      <x:c r="L598" s="82" t="n">
        <x:v>35.1</x:v>
      </x:c>
      <x:c r="M598" s="82" t="n">
        <x:v>24.6</x:v>
      </x:c>
      <x:c r="N598" s="86" t="n">
        <x:v>974</x:v>
      </x:c>
      <x:c r="O598" s="90" t="n">
        <x:v>6.47</x:v>
      </x:c>
      <x:c r="P598" s="150" t="n">
        <x:v>3.938</x:v>
      </x:c>
      <x:c r="Q598" s="86" t="n">
        <x:v>20</x:v>
      </x:c>
      <x:c r="R598" s="32" t="str">
        <x:v>ok</x:v>
      </x:c>
      <x:c r="S598" s="32"/>
      <x:c r="T598" s="32" t="str">
        <x:v>ok</x:v>
      </x:c>
      <x:c r="U598" s="32" t="str">
        <x:v>ok</x:v>
      </x:c>
      <x:c r="V598" s="32" t="str">
        <x:v>ok</x:v>
      </x:c>
      <x:c r="W598" s="154" t="str">
        <x:v>{"schema_version":1,"imei":"862323089930719","timestamp":1786022153,"report_sequence":25,"task_version":"rice_w0_water_soil_demo","sensor_mode":"water_soil","soil_moisture_percent":35.1,"soil_temperature_c":24.6,"soil_ec_us_cm":974,"soil_ph":6.47,"battery_mv":3938,"csq":20,"soil_rs485_status":"ok","cycle_status":"ok","water_level_mm":32.2,"water_4_20ma_status":"ok"}</x:v>
      </x:c>
    </x:row>
    <x:row r="599">
      <x:c r="A599" s="72" t="n">
        <x:v>46240.886030092595</x:v>
      </x:c>
      <x:c r="B599" s="72" t="n">
        <x:v>46240.88604398148</x:v>
      </x:c>
      <x:c r="C599" s="32" t="str">
        <x:v>P20</x:v>
      </x:c>
      <x:c r="D599" s="32" t="str">
        <x:v>B4-W0-V2</x:v>
      </x:c>
      <x:c r="E599" s="32" t="str">
        <x:v>B4</x:v>
      </x:c>
      <x:c r="F599" s="32" t="str">
        <x:v>W0</x:v>
      </x:c>
      <x:c r="G599" s="32" t="str">
        <x:v>V2</x:v>
      </x:c>
      <x:c r="H599" s="32" t="str">
        <x:v>water_soil</x:v>
      </x:c>
      <x:c r="I599" s="32" t="str">
        <x:v>862323089930720</x:v>
      </x:c>
      <x:c r="J599" s="82" t="n">
        <x:v>23</x:v>
      </x:c>
      <x:c r="K599" s="82"/>
      <x:c r="L599" s="82" t="n">
        <x:v>36</x:v>
      </x:c>
      <x:c r="M599" s="82" t="n">
        <x:v>24.6</x:v>
      </x:c>
      <x:c r="N599" s="86" t="n">
        <x:v>985</x:v>
      </x:c>
      <x:c r="O599" s="90" t="n">
        <x:v>6.27</x:v>
      </x:c>
      <x:c r="P599" s="150" t="n">
        <x:v>3.956</x:v>
      </x:c>
      <x:c r="Q599" s="86" t="n">
        <x:v>21</x:v>
      </x:c>
      <x:c r="R599" s="32" t="str">
        <x:v>ok</x:v>
      </x:c>
      <x:c r="S599" s="32"/>
      <x:c r="T599" s="32" t="str">
        <x:v>ok</x:v>
      </x:c>
      <x:c r="U599" s="32" t="str">
        <x:v>ok</x:v>
      </x:c>
      <x:c r="V599" s="32" t="str">
        <x:v>ok</x:v>
      </x:c>
      <x:c r="W599" s="154" t="str">
        <x:v>{"schema_version":1,"imei":"862323089930720","timestamp":1786022153,"report_sequence":25,"task_version":"rice_w0_water_soil_demo","sensor_mode":"water_soil","soil_moisture_percent":36,"soil_temperature_c":24.6,"soil_ec_us_cm":985,"soil_ph":6.27,"battery_mv":3956,"csq":21,"soil_rs485_status":"ok","cycle_status":"ok","water_level_mm":23,"water_4_20ma_status":"ok"}</x:v>
      </x:c>
    </x:row>
    <x:row r="600">
      <x:c r="A600" s="72" t="n">
        <x:v>46240.886030092595</x:v>
      </x:c>
      <x:c r="B600" s="72" t="n">
        <x:v>46240.88604398148</x:v>
      </x:c>
      <x:c r="C600" s="32" t="str">
        <x:v>P21</x:v>
      </x:c>
      <x:c r="D600" s="32" t="str">
        <x:v>B4-W1-V1</x:v>
      </x:c>
      <x:c r="E600" s="32" t="str">
        <x:v>B4</x:v>
      </x:c>
      <x:c r="F600" s="32" t="str">
        <x:v>W1</x:v>
      </x:c>
      <x:c r="G600" s="32" t="str">
        <x:v>V1</x:v>
      </x:c>
      <x:c r="H600" s="32" t="str">
        <x:v>tension_soil</x:v>
      </x:c>
      <x:c r="I600" s="32" t="str">
        <x:v>862323089930721</x:v>
      </x:c>
      <x:c r="J600" s="82"/>
      <x:c r="K600" s="82" t="n">
        <x:v>-22.1</x:v>
      </x:c>
      <x:c r="L600" s="82" t="n">
        <x:v>37.1</x:v>
      </x:c>
      <x:c r="M600" s="82" t="n">
        <x:v>24.6</x:v>
      </x:c>
      <x:c r="N600" s="86" t="n">
        <x:v>998</x:v>
      </x:c>
      <x:c r="O600" s="90" t="n">
        <x:v>6.32</x:v>
      </x:c>
      <x:c r="P600" s="150" t="n">
        <x:v>3.974</x:v>
      </x:c>
      <x:c r="Q600" s="86" t="n">
        <x:v>22</x:v>
      </x:c>
      <x:c r="R600" s="32"/>
      <x:c r="S600" s="32" t="str">
        <x:v>ok</x:v>
      </x:c>
      <x:c r="T600" s="32" t="str">
        <x:v>ok</x:v>
      </x:c>
      <x:c r="U600" s="32" t="str">
        <x:v>ok</x:v>
      </x:c>
      <x:c r="V600" s="32" t="str">
        <x:v>ok</x:v>
      </x:c>
      <x:c r="W600" s="154" t="str">
        <x:v>{"schema_version":1,"imei":"862323089930721","timestamp":1786022153,"report_sequence":25,"task_version":"rice_tension_soil_demo","sensor_mode":"tension_soil","soil_moisture_percent":37.1,"soil_temperature_c":24.6,"soil_ec_us_cm":998,"soil_ph":6.32,"battery_mv":3974,"csq":22,"soil_rs485_status":"ok","cycle_status":"ok","soil_tension_kpa":-22.1,"soil_tension_rs485_status":"ok"}</x:v>
      </x:c>
    </x:row>
    <x:row r="601">
      <x:c r="A601" s="72" t="n">
        <x:v>46240.886030092595</x:v>
      </x:c>
      <x:c r="B601" s="72" t="n">
        <x:v>46240.88604398148</x:v>
      </x:c>
      <x:c r="C601" s="32" t="str">
        <x:v>P22</x:v>
      </x:c>
      <x:c r="D601" s="32" t="str">
        <x:v>B4-W1-V2</x:v>
      </x:c>
      <x:c r="E601" s="32" t="str">
        <x:v>B4</x:v>
      </x:c>
      <x:c r="F601" s="32" t="str">
        <x:v>W1</x:v>
      </x:c>
      <x:c r="G601" s="32" t="str">
        <x:v>V2</x:v>
      </x:c>
      <x:c r="H601" s="32" t="str">
        <x:v>tension_soil</x:v>
      </x:c>
      <x:c r="I601" s="32" t="str">
        <x:v>862323089930722</x:v>
      </x:c>
      <x:c r="J601" s="82"/>
      <x:c r="K601" s="82" t="n">
        <x:v>-23.2</x:v>
      </x:c>
      <x:c r="L601" s="82" t="n">
        <x:v>38.2</x:v>
      </x:c>
      <x:c r="M601" s="82" t="n">
        <x:v>24.7</x:v>
      </x:c>
      <x:c r="N601" s="86" t="n">
        <x:v>1013</x:v>
      </x:c>
      <x:c r="O601" s="90" t="n">
        <x:v>6.37</x:v>
      </x:c>
      <x:c r="P601" s="150" t="n">
        <x:v>3.992</x:v>
      </x:c>
      <x:c r="Q601" s="86" t="n">
        <x:v>23</x:v>
      </x:c>
      <x:c r="R601" s="32"/>
      <x:c r="S601" s="32" t="str">
        <x:v>ok</x:v>
      </x:c>
      <x:c r="T601" s="32" t="str">
        <x:v>ok</x:v>
      </x:c>
      <x:c r="U601" s="32" t="str">
        <x:v>ok</x:v>
      </x:c>
      <x:c r="V601" s="32" t="str">
        <x:v>ok</x:v>
      </x:c>
      <x:c r="W601" s="154" t="str">
        <x:v>{"schema_version":1,"imei":"862323089930722","timestamp":1786022153,"report_sequence":25,"task_version":"rice_tension_soil_demo","sensor_mode":"tension_soil","soil_moisture_percent":38.2,"soil_temperature_c":24.7,"soil_ec_us_cm":1013,"soil_ph":6.37,"battery_mv":3992,"csq":23,"soil_rs485_status":"ok","cycle_status":"ok","soil_tension_kpa":-23.2,"soil_tension_rs485_status":"ok"}</x:v>
      </x:c>
    </x:row>
    <x:row r="602">
      <x:c r="A602" s="72" t="n">
        <x:v>46240.886030092595</x:v>
      </x:c>
      <x:c r="B602" s="72" t="n">
        <x:v>46240.88604398148</x:v>
      </x:c>
      <x:c r="C602" s="32" t="str">
        <x:v>P23</x:v>
      </x:c>
      <x:c r="D602" s="32" t="str">
        <x:v>B4-W2-V1</x:v>
      </x:c>
      <x:c r="E602" s="32" t="str">
        <x:v>B4</x:v>
      </x:c>
      <x:c r="F602" s="32" t="str">
        <x:v>W2</x:v>
      </x:c>
      <x:c r="G602" s="32" t="str">
        <x:v>V1</x:v>
      </x:c>
      <x:c r="H602" s="32" t="str">
        <x:v>tension_soil</x:v>
      </x:c>
      <x:c r="I602" s="32" t="str">
        <x:v>862323089930723</x:v>
      </x:c>
      <x:c r="J602" s="82"/>
      <x:c r="K602" s="82" t="n">
        <x:v>-35.5</x:v>
      </x:c>
      <x:c r="L602" s="82" t="n">
        <x:v>39.5</x:v>
      </x:c>
      <x:c r="M602" s="82" t="n">
        <x:v>24.7</x:v>
      </x:c>
      <x:c r="N602" s="86" t="n">
        <x:v>1030</x:v>
      </x:c>
      <x:c r="O602" s="90" t="n">
        <x:v>6.43</x:v>
      </x:c>
      <x:c r="P602" s="150" t="n">
        <x:v>4.01</x:v>
      </x:c>
      <x:c r="Q602" s="86" t="n">
        <x:v>24</x:v>
      </x:c>
      <x:c r="R602" s="32"/>
      <x:c r="S602" s="32" t="str">
        <x:v>ok</x:v>
      </x:c>
      <x:c r="T602" s="32" t="str">
        <x:v>ok</x:v>
      </x:c>
      <x:c r="U602" s="32" t="str">
        <x:v>ok</x:v>
      </x:c>
      <x:c r="V602" s="32" t="str">
        <x:v>ok</x:v>
      </x:c>
      <x:c r="W602" s="154" t="str">
        <x:v>{"schema_version":1,"imei":"862323089930723","timestamp":1786022153,"report_sequence":25,"task_version":"rice_tension_soil_demo","sensor_mode":"tension_soil","soil_moisture_percent":39.5,"soil_temperature_c":24.7,"soil_ec_us_cm":1030,"soil_ph":6.43,"battery_mv":4010,"csq":24,"soil_rs485_status":"ok","cycle_status":"ok","soil_tension_kpa":-35.5,"soil_tension_rs485_status":"ok"}</x:v>
      </x:c>
    </x:row>
    <x:row r="603">
      <x:c r="A603" s="72" t="n">
        <x:v>46240.886030092595</x:v>
      </x:c>
      <x:c r="B603" s="72" t="n">
        <x:v>46240.88604398148</x:v>
      </x:c>
      <x:c r="C603" s="32" t="str">
        <x:v>P24</x:v>
      </x:c>
      <x:c r="D603" s="32" t="str">
        <x:v>B4-W2-V2</x:v>
      </x:c>
      <x:c r="E603" s="32" t="str">
        <x:v>B4</x:v>
      </x:c>
      <x:c r="F603" s="32" t="str">
        <x:v>W2</x:v>
      </x:c>
      <x:c r="G603" s="32" t="str">
        <x:v>V2</x:v>
      </x:c>
      <x:c r="H603" s="32" t="str">
        <x:v>tension_soil</x:v>
      </x:c>
      <x:c r="I603" s="32" t="str">
        <x:v>862323089930724</x:v>
      </x:c>
      <x:c r="J603" s="82"/>
      <x:c r="K603" s="82" t="n">
        <x:v>-36.9</x:v>
      </x:c>
      <x:c r="L603" s="82" t="n">
        <x:v>32.9</x:v>
      </x:c>
      <x:c r="M603" s="82" t="n">
        <x:v>24.8</x:v>
      </x:c>
      <x:c r="N603" s="86" t="n">
        <x:v>1049</x:v>
      </x:c>
      <x:c r="O603" s="90" t="n">
        <x:v>6.48</x:v>
      </x:c>
      <x:c r="P603" s="150" t="n">
        <x:v>3.92</x:v>
      </x:c>
      <x:c r="Q603" s="86" t="n">
        <x:v>17</x:v>
      </x:c>
      <x:c r="R603" s="32"/>
      <x:c r="S603" s="32" t="str">
        <x:v>ok</x:v>
      </x:c>
      <x:c r="T603" s="32" t="str">
        <x:v>ok</x:v>
      </x:c>
      <x:c r="U603" s="32" t="str">
        <x:v>ok</x:v>
      </x:c>
      <x:c r="V603" s="32" t="str">
        <x:v>ok</x:v>
      </x:c>
      <x:c r="W603" s="154" t="str">
        <x:v>{"schema_version":1,"imei":"862323089930724","timestamp":1786022153,"report_sequence":25,"task_version":"rice_tension_soil_demo","sensor_mode":"tension_soil","soil_moisture_percent":32.9,"soil_temperature_c":24.8,"soil_ec_us_cm":1049,"soil_ph":6.48,"battery_mv":3920,"csq":17,"soil_rs485_status":"ok","cycle_status":"ok","soil_tension_kpa":-36.9,"soil_tension_rs485_status":"ok"}</x:v>
      </x:c>
    </x:row>
    <x:row r="604">
      <x:c r="A604" s="72" t="n">
        <x:v>46240.889502314814</x:v>
      </x:c>
      <x:c r="B604" s="72" t="n">
        <x:v>46240.8895162037</x:v>
      </x:c>
      <x:c r="C604" s="32" t="str">
        <x:v>P01</x:v>
      </x:c>
      <x:c r="D604" s="32" t="str">
        <x:v>B1-W0-V1</x:v>
      </x:c>
      <x:c r="E604" s="32" t="str">
        <x:v>B1</x:v>
      </x:c>
      <x:c r="F604" s="32" t="str">
        <x:v>W0</x:v>
      </x:c>
      <x:c r="G604" s="32" t="str">
        <x:v>V1</x:v>
      </x:c>
      <x:c r="H604" s="32" t="str">
        <x:v>water_soil</x:v>
      </x:c>
      <x:c r="I604" s="32" t="str">
        <x:v>862323089930701</x:v>
      </x:c>
      <x:c r="J604" s="82" t="n">
        <x:v>29.6</x:v>
      </x:c>
      <x:c r="K604" s="82"/>
      <x:c r="L604" s="82" t="n">
        <x:v>34.4</x:v>
      </x:c>
      <x:c r="M604" s="82" t="n">
        <x:v>25</x:v>
      </x:c>
      <x:c r="N604" s="86" t="n">
        <x:v>782</x:v>
      </x:c>
      <x:c r="O604" s="90" t="n">
        <x:v>6.34</x:v>
      </x:c>
      <x:c r="P604" s="150" t="n">
        <x:v>3.938</x:v>
      </x:c>
      <x:c r="Q604" s="86" t="n">
        <x:v>18</x:v>
      </x:c>
      <x:c r="R604" s="32" t="str">
        <x:v>ok</x:v>
      </x:c>
      <x:c r="S604" s="32"/>
      <x:c r="T604" s="32" t="str">
        <x:v>ok</x:v>
      </x:c>
      <x:c r="U604" s="32" t="str">
        <x:v>ok</x:v>
      </x:c>
      <x:c r="V604" s="32" t="str">
        <x:v>ok</x:v>
      </x:c>
      <x:c r="W604" s="154" t="str">
        <x:v>{"schema_version":1,"imei":"862323089930701","timestamp":1786022453,"report_sequence":26,"task_version":"rice_w0_water_soil_demo","sensor_mode":"water_soil","soil_moisture_percent":34.4,"soil_temperature_c":25,"soil_ec_us_cm":782,"soil_ph":6.34,"battery_mv":3938,"csq":18,"soil_rs485_status":"ok","cycle_status":"ok","water_level_mm":29.6,"water_4_20ma_status":"ok"}</x:v>
      </x:c>
    </x:row>
    <x:row r="605">
      <x:c r="A605" s="72" t="n">
        <x:v>46240.889502314814</x:v>
      </x:c>
      <x:c r="B605" s="72" t="n">
        <x:v>46240.8895162037</x:v>
      </x:c>
      <x:c r="C605" s="32" t="str">
        <x:v>P02</x:v>
      </x:c>
      <x:c r="D605" s="32" t="str">
        <x:v>B1-W0-V2</x:v>
      </x:c>
      <x:c r="E605" s="32" t="str">
        <x:v>B1</x:v>
      </x:c>
      <x:c r="F605" s="32" t="str">
        <x:v>W0</x:v>
      </x:c>
      <x:c r="G605" s="32" t="str">
        <x:v>V2</x:v>
      </x:c>
      <x:c r="H605" s="32" t="str">
        <x:v>water_soil</x:v>
      </x:c>
      <x:c r="I605" s="32" t="str">
        <x:v>862323089930702</x:v>
      </x:c>
      <x:c r="J605" s="82" t="n">
        <x:v>33.8</x:v>
      </x:c>
      <x:c r="K605" s="82"/>
      <x:c r="L605" s="82" t="n">
        <x:v>35.9</x:v>
      </x:c>
      <x:c r="M605" s="82" t="n">
        <x:v>25.1</x:v>
      </x:c>
      <x:c r="N605" s="86" t="n">
        <x:v>803</x:v>
      </x:c>
      <x:c r="O605" s="90" t="n">
        <x:v>6.4</x:v>
      </x:c>
      <x:c r="P605" s="150" t="n">
        <x:v>3.956</x:v>
      </x:c>
      <x:c r="Q605" s="86" t="n">
        <x:v>19</x:v>
      </x:c>
      <x:c r="R605" s="32" t="str">
        <x:v>ok</x:v>
      </x:c>
      <x:c r="S605" s="32"/>
      <x:c r="T605" s="32" t="str">
        <x:v>ok</x:v>
      </x:c>
      <x:c r="U605" s="32" t="str">
        <x:v>ok</x:v>
      </x:c>
      <x:c r="V605" s="32" t="str">
        <x:v>ok</x:v>
      </x:c>
      <x:c r="W605" s="154" t="str">
        <x:v>{"schema_version":1,"imei":"862323089930702","timestamp":1786022453,"report_sequence":26,"task_version":"rice_w0_water_soil_demo","sensor_mode":"water_soil","soil_moisture_percent":35.9,"soil_temperature_c":25.1,"soil_ec_us_cm":803,"soil_ph":6.4,"battery_mv":3956,"csq":19,"soil_rs485_status":"ok","cycle_status":"ok","water_level_mm":33.8,"water_4_20ma_status":"ok"}</x:v>
      </x:c>
    </x:row>
    <x:row r="606">
      <x:c r="A606" s="72" t="n">
        <x:v>46240.889502314814</x:v>
      </x:c>
      <x:c r="B606" s="72" t="n">
        <x:v>46240.8895162037</x:v>
      </x:c>
      <x:c r="C606" s="32" t="str">
        <x:v>P03</x:v>
      </x:c>
      <x:c r="D606" s="32" t="str">
        <x:v>B1-W1-V1</x:v>
      </x:c>
      <x:c r="E606" s="32" t="str">
        <x:v>B1</x:v>
      </x:c>
      <x:c r="F606" s="32" t="str">
        <x:v>W1</x:v>
      </x:c>
      <x:c r="G606" s="32" t="str">
        <x:v>V1</x:v>
      </x:c>
      <x:c r="H606" s="32" t="str">
        <x:v>tension_soil</x:v>
      </x:c>
      <x:c r="I606" s="32" t="str">
        <x:v>862323089930703</x:v>
      </x:c>
      <x:c r="J606" s="82"/>
      <x:c r="K606" s="82" t="n">
        <x:v>-26.4</x:v>
      </x:c>
      <x:c r="L606" s="82" t="n">
        <x:v>37.4</x:v>
      </x:c>
      <x:c r="M606" s="82" t="n">
        <x:v>25.2</x:v>
      </x:c>
      <x:c r="N606" s="86" t="n">
        <x:v>824</x:v>
      </x:c>
      <x:c r="O606" s="90" t="n">
        <x:v>6.46</x:v>
      </x:c>
      <x:c r="P606" s="150" t="n">
        <x:v>3.974</x:v>
      </x:c>
      <x:c r="Q606" s="86" t="n">
        <x:v>20</x:v>
      </x:c>
      <x:c r="R606" s="32"/>
      <x:c r="S606" s="32" t="str">
        <x:v>ok</x:v>
      </x:c>
      <x:c r="T606" s="32" t="str">
        <x:v>ok</x:v>
      </x:c>
      <x:c r="U606" s="32" t="str">
        <x:v>ok</x:v>
      </x:c>
      <x:c r="V606" s="32" t="str">
        <x:v>ok</x:v>
      </x:c>
      <x:c r="W606" s="154" t="str">
        <x:v>{"schema_version":1,"imei":"862323089930703","timestamp":1786022453,"report_sequence":26,"task_version":"rice_tension_soil_demo","sensor_mode":"tension_soil","soil_moisture_percent":37.4,"soil_temperature_c":25.2,"soil_ec_us_cm":824,"soil_ph":6.46,"battery_mv":3974,"csq":20,"soil_rs485_status":"ok","cycle_status":"ok","soil_tension_kpa":-26.4,"soil_tension_rs485_status":"ok"}</x:v>
      </x:c>
    </x:row>
    <x:row r="607">
      <x:c r="A607" s="72" t="n">
        <x:v>46240.889502314814</x:v>
      </x:c>
      <x:c r="B607" s="72" t="n">
        <x:v>46240.8895162037</x:v>
      </x:c>
      <x:c r="C607" s="32" t="str">
        <x:v>P04</x:v>
      </x:c>
      <x:c r="D607" s="32" t="str">
        <x:v>B1-W1-V2</x:v>
      </x:c>
      <x:c r="E607" s="32" t="str">
        <x:v>B1</x:v>
      </x:c>
      <x:c r="F607" s="32" t="str">
        <x:v>W1</x:v>
      </x:c>
      <x:c r="G607" s="32" t="str">
        <x:v>V2</x:v>
      </x:c>
      <x:c r="H607" s="32" t="str">
        <x:v>tension_soil</x:v>
      </x:c>
      <x:c r="I607" s="32" t="str">
        <x:v>862323089930704</x:v>
      </x:c>
      <x:c r="J607" s="82"/>
      <x:c r="K607" s="82" t="n">
        <x:v>-27.9</x:v>
      </x:c>
      <x:c r="L607" s="82" t="n">
        <x:v>38.9</x:v>
      </x:c>
      <x:c r="M607" s="82" t="n">
        <x:v>25.3</x:v>
      </x:c>
      <x:c r="N607" s="86" t="n">
        <x:v>844</x:v>
      </x:c>
      <x:c r="O607" s="90" t="n">
        <x:v>6.51</x:v>
      </x:c>
      <x:c r="P607" s="150" t="n">
        <x:v>3.992</x:v>
      </x:c>
      <x:c r="Q607" s="86" t="n">
        <x:v>21</x:v>
      </x:c>
      <x:c r="R607" s="32"/>
      <x:c r="S607" s="32" t="str">
        <x:v>ok</x:v>
      </x:c>
      <x:c r="T607" s="32" t="str">
        <x:v>ok</x:v>
      </x:c>
      <x:c r="U607" s="32" t="str">
        <x:v>ok</x:v>
      </x:c>
      <x:c r="V607" s="32" t="str">
        <x:v>ok</x:v>
      </x:c>
      <x:c r="W607" s="154" t="str">
        <x:v>{"schema_version":1,"imei":"862323089930704","timestamp":1786022453,"report_sequence":26,"task_version":"rice_tension_soil_demo","sensor_mode":"tension_soil","soil_moisture_percent":38.9,"soil_temperature_c":25.3,"soil_ec_us_cm":844,"soil_ph":6.51,"battery_mv":3992,"csq":21,"soil_rs485_status":"ok","cycle_status":"ok","soil_tension_kpa":-27.9,"soil_tension_rs485_status":"ok"}</x:v>
      </x:c>
    </x:row>
    <x:row r="608">
      <x:c r="A608" s="72" t="n">
        <x:v>46240.889502314814</x:v>
      </x:c>
      <x:c r="B608" s="72" t="n">
        <x:v>46240.8895162037</x:v>
      </x:c>
      <x:c r="C608" s="32" t="str">
        <x:v>P05</x:v>
      </x:c>
      <x:c r="D608" s="32" t="str">
        <x:v>B1-W2-V1</x:v>
      </x:c>
      <x:c r="E608" s="32" t="str">
        <x:v>B1</x:v>
      </x:c>
      <x:c r="F608" s="32" t="str">
        <x:v>W2</x:v>
      </x:c>
      <x:c r="G608" s="32" t="str">
        <x:v>V1</x:v>
      </x:c>
      <x:c r="H608" s="32" t="str">
        <x:v>tension_soil</x:v>
      </x:c>
      <x:c r="I608" s="32" t="str">
        <x:v>862323089930705</x:v>
      </x:c>
      <x:c r="J608" s="82"/>
      <x:c r="K608" s="82" t="n">
        <x:v>-35.3</x:v>
      </x:c>
      <x:c r="L608" s="82" t="n">
        <x:v>40.3</x:v>
      </x:c>
      <x:c r="M608" s="82" t="n">
        <x:v>25.4</x:v>
      </x:c>
      <x:c r="N608" s="86" t="n">
        <x:v>863</x:v>
      </x:c>
      <x:c r="O608" s="90" t="n">
        <x:v>6.32</x:v>
      </x:c>
      <x:c r="P608" s="150" t="n">
        <x:v>4.01</x:v>
      </x:c>
      <x:c r="Q608" s="86" t="n">
        <x:v>22</x:v>
      </x:c>
      <x:c r="R608" s="32"/>
      <x:c r="S608" s="32" t="str">
        <x:v>ok</x:v>
      </x:c>
      <x:c r="T608" s="32" t="str">
        <x:v>ok</x:v>
      </x:c>
      <x:c r="U608" s="32" t="str">
        <x:v>ok</x:v>
      </x:c>
      <x:c r="V608" s="32" t="str">
        <x:v>ok</x:v>
      </x:c>
      <x:c r="W608" s="154" t="str">
        <x:v>{"schema_version":1,"imei":"862323089930705","timestamp":1786022453,"report_sequence":26,"task_version":"rice_tension_soil_demo","sensor_mode":"tension_soil","soil_moisture_percent":40.3,"soil_temperature_c":25.4,"soil_ec_us_cm":863,"soil_ph":6.32,"battery_mv":4010,"csq":22,"soil_rs485_status":"ok","cycle_status":"ok","soil_tension_kpa":-35.3,"soil_tension_rs485_status":"ok"}</x:v>
      </x:c>
    </x:row>
    <x:row r="609">
      <x:c r="A609" s="72" t="n">
        <x:v>46240.889502314814</x:v>
      </x:c>
      <x:c r="B609" s="72" t="n">
        <x:v>46240.8895162037</x:v>
      </x:c>
      <x:c r="C609" s="32" t="str">
        <x:v>P06</x:v>
      </x:c>
      <x:c r="D609" s="32" t="str">
        <x:v>B1-W2-V2</x:v>
      </x:c>
      <x:c r="E609" s="32" t="str">
        <x:v>B1</x:v>
      </x:c>
      <x:c r="F609" s="32" t="str">
        <x:v>W2</x:v>
      </x:c>
      <x:c r="G609" s="32" t="str">
        <x:v>V2</x:v>
      </x:c>
      <x:c r="H609" s="32" t="str">
        <x:v>tension_soil</x:v>
      </x:c>
      <x:c r="I609" s="32" t="str">
        <x:v>862323089930706</x:v>
      </x:c>
      <x:c r="J609" s="82"/>
      <x:c r="K609" s="82" t="n">
        <x:v>-36.6</x:v>
      </x:c>
      <x:c r="L609" s="82" t="n">
        <x:v>41.6</x:v>
      </x:c>
      <x:c r="M609" s="82" t="n">
        <x:v>25.5</x:v>
      </x:c>
      <x:c r="N609" s="86" t="n">
        <x:v>881</x:v>
      </x:c>
      <x:c r="O609" s="90" t="n">
        <x:v>6.37</x:v>
      </x:c>
      <x:c r="P609" s="150" t="n">
        <x:v>3.92</x:v>
      </x:c>
      <x:c r="Q609" s="86" t="n">
        <x:v>23</x:v>
      </x:c>
      <x:c r="R609" s="32"/>
      <x:c r="S609" s="32" t="str">
        <x:v>ok</x:v>
      </x:c>
      <x:c r="T609" s="32" t="str">
        <x:v>ok</x:v>
      </x:c>
      <x:c r="U609" s="32" t="str">
        <x:v>ok</x:v>
      </x:c>
      <x:c r="V609" s="32" t="str">
        <x:v>ok</x:v>
      </x:c>
      <x:c r="W609" s="154" t="str">
        <x:v>{"schema_version":1,"imei":"862323089930706","timestamp":1786022453,"report_sequence":26,"task_version":"rice_tension_soil_demo","sensor_mode":"tension_soil","soil_moisture_percent":41.6,"soil_temperature_c":25.5,"soil_ec_us_cm":881,"soil_ph":6.37,"battery_mv":3920,"csq":23,"soil_rs485_status":"ok","cycle_status":"ok","soil_tension_kpa":-36.6,"soil_tension_rs485_status":"ok"}</x:v>
      </x:c>
    </x:row>
    <x:row r="610">
      <x:c r="A610" s="72" t="n">
        <x:v>46240.889502314814</x:v>
      </x:c>
      <x:c r="B610" s="72" t="n">
        <x:v>46240.8895162037</x:v>
      </x:c>
      <x:c r="C610" s="32" t="str">
        <x:v>P07</x:v>
      </x:c>
      <x:c r="D610" s="32" t="str">
        <x:v>B2-W0-V1</x:v>
      </x:c>
      <x:c r="E610" s="32" t="str">
        <x:v>B2</x:v>
      </x:c>
      <x:c r="F610" s="32" t="str">
        <x:v>W0</x:v>
      </x:c>
      <x:c r="G610" s="32" t="str">
        <x:v>V1</x:v>
      </x:c>
      <x:c r="H610" s="32" t="str">
        <x:v>water_soil</x:v>
      </x:c>
      <x:c r="I610" s="32" t="str">
        <x:v>862323089930707</x:v>
      </x:c>
      <x:c r="J610" s="82" t="n">
        <x:v>41.7</x:v>
      </x:c>
      <x:c r="K610" s="82"/>
      <x:c r="L610" s="82" t="n">
        <x:v>42.9</x:v>
      </x:c>
      <x:c r="M610" s="82" t="n">
        <x:v>25.6</x:v>
      </x:c>
      <x:c r="N610" s="86" t="n">
        <x:v>897</x:v>
      </x:c>
      <x:c r="O610" s="90" t="n">
        <x:v>6.43</x:v>
      </x:c>
      <x:c r="P610" s="150" t="n">
        <x:v>3.938</x:v>
      </x:c>
      <x:c r="Q610" s="86" t="n">
        <x:v>24</x:v>
      </x:c>
      <x:c r="R610" s="32" t="str">
        <x:v>ok</x:v>
      </x:c>
      <x:c r="S610" s="32"/>
      <x:c r="T610" s="32" t="str">
        <x:v>ok</x:v>
      </x:c>
      <x:c r="U610" s="32" t="str">
        <x:v>ok</x:v>
      </x:c>
      <x:c r="V610" s="32" t="str">
        <x:v>ok</x:v>
      </x:c>
      <x:c r="W610" s="154" t="str">
        <x:v>{"schema_version":1,"imei":"862323089930707","timestamp":1786022453,"report_sequence":26,"task_version":"rice_w0_water_soil_demo","sensor_mode":"water_soil","soil_moisture_percent":42.9,"soil_temperature_c":25.6,"soil_ec_us_cm":897,"soil_ph":6.43,"battery_mv":3938,"csq":24,"soil_rs485_status":"ok","cycle_status":"ok","water_level_mm":41.7,"water_4_20ma_status":"ok"}</x:v>
      </x:c>
    </x:row>
    <x:row r="611">
      <x:c r="A611" s="72" t="n">
        <x:v>46240.889502314814</x:v>
      </x:c>
      <x:c r="B611" s="72" t="n">
        <x:v>46240.8895162037</x:v>
      </x:c>
      <x:c r="C611" s="32" t="str">
        <x:v>P08</x:v>
      </x:c>
      <x:c r="D611" s="32" t="str">
        <x:v>B2-W0-V2</x:v>
      </x:c>
      <x:c r="E611" s="32" t="str">
        <x:v>B2</x:v>
      </x:c>
      <x:c r="F611" s="32" t="str">
        <x:v>W0</x:v>
      </x:c>
      <x:c r="G611" s="32" t="str">
        <x:v>V2</x:v>
      </x:c>
      <x:c r="H611" s="32" t="str">
        <x:v>water_soil</x:v>
      </x:c>
      <x:c r="I611" s="32" t="str">
        <x:v>862323089930708</x:v>
      </x:c>
      <x:c r="J611" s="82" t="n">
        <x:v>33</x:v>
      </x:c>
      <x:c r="K611" s="82"/>
      <x:c r="L611" s="82" t="n">
        <x:v>36</x:v>
      </x:c>
      <x:c r="M611" s="82" t="n">
        <x:v>25.6</x:v>
      </x:c>
      <x:c r="N611" s="86" t="n">
        <x:v>911</x:v>
      </x:c>
      <x:c r="O611" s="90" t="n">
        <x:v>6.48</x:v>
      </x:c>
      <x:c r="P611" s="150" t="n">
        <x:v>3.956</x:v>
      </x:c>
      <x:c r="Q611" s="86" t="n">
        <x:v>17</x:v>
      </x:c>
      <x:c r="R611" s="32" t="str">
        <x:v>ok</x:v>
      </x:c>
      <x:c r="S611" s="32"/>
      <x:c r="T611" s="32" t="str">
        <x:v>ok</x:v>
      </x:c>
      <x:c r="U611" s="32" t="str">
        <x:v>ok</x:v>
      </x:c>
      <x:c r="V611" s="32" t="str">
        <x:v>ok</x:v>
      </x:c>
      <x:c r="W611" s="154" t="str">
        <x:v>{"schema_version":1,"imei":"862323089930708","timestamp":1786022453,"report_sequence":26,"task_version":"rice_w0_water_soil_demo","sensor_mode":"water_soil","soil_moisture_percent":36,"soil_temperature_c":25.6,"soil_ec_us_cm":911,"soil_ph":6.48,"battery_mv":3956,"csq":17,"soil_rs485_status":"ok","cycle_status":"ok","water_level_mm":33,"water_4_20ma_status":"ok"}</x:v>
      </x:c>
    </x:row>
    <x:row r="612">
      <x:c r="A612" s="72" t="n">
        <x:v>46240.889502314814</x:v>
      </x:c>
      <x:c r="B612" s="72" t="n">
        <x:v>46240.8895162037</x:v>
      </x:c>
      <x:c r="C612" s="32" t="str">
        <x:v>P09</x:v>
      </x:c>
      <x:c r="D612" s="32" t="str">
        <x:v>B2-W1-V1</x:v>
      </x:c>
      <x:c r="E612" s="32" t="str">
        <x:v>B2</x:v>
      </x:c>
      <x:c r="F612" s="32" t="str">
        <x:v>W1</x:v>
      </x:c>
      <x:c r="G612" s="32" t="str">
        <x:v>V1</x:v>
      </x:c>
      <x:c r="H612" s="32" t="str">
        <x:v>tension_soil</x:v>
      </x:c>
      <x:c r="I612" s="32" t="str">
        <x:v>862323089930709</x:v>
      </x:c>
      <x:c r="J612" s="82"/>
      <x:c r="K612" s="82" t="n">
        <x:v>-29</x:v>
      </x:c>
      <x:c r="L612" s="82" t="n">
        <x:v>37</x:v>
      </x:c>
      <x:c r="M612" s="82" t="n">
        <x:v>25.6</x:v>
      </x:c>
      <x:c r="N612" s="86" t="n">
        <x:v>923</x:v>
      </x:c>
      <x:c r="O612" s="90" t="n">
        <x:v>6.53</x:v>
      </x:c>
      <x:c r="P612" s="150" t="n">
        <x:v>3.974</x:v>
      </x:c>
      <x:c r="Q612" s="86" t="n">
        <x:v>18</x:v>
      </x:c>
      <x:c r="R612" s="32"/>
      <x:c r="S612" s="32" t="str">
        <x:v>ok</x:v>
      </x:c>
      <x:c r="T612" s="32" t="str">
        <x:v>ok</x:v>
      </x:c>
      <x:c r="U612" s="32" t="str">
        <x:v>ok</x:v>
      </x:c>
      <x:c r="V612" s="32" t="str">
        <x:v>ok</x:v>
      </x:c>
      <x:c r="W612" s="154" t="str">
        <x:v>{"schema_version":1,"imei":"862323089930709","timestamp":1786022453,"report_sequence":26,"task_version":"rice_tension_soil_demo","sensor_mode":"tension_soil","soil_moisture_percent":37,"soil_temperature_c":25.6,"soil_ec_us_cm":923,"soil_ph":6.53,"battery_mv":3974,"csq":18,"soil_rs485_status":"ok","cycle_status":"ok","soil_tension_kpa":-29,"soil_tension_rs485_status":"ok"}</x:v>
      </x:c>
    </x:row>
    <x:row r="613">
      <x:c r="A613" s="72" t="n">
        <x:v>46240.889502314814</x:v>
      </x:c>
      <x:c r="B613" s="72" t="n">
        <x:v>46240.8895162037</x:v>
      </x:c>
      <x:c r="C613" s="32" t="str">
        <x:v>P10</x:v>
      </x:c>
      <x:c r="D613" s="32" t="str">
        <x:v>B2-W1-V2</x:v>
      </x:c>
      <x:c r="E613" s="32" t="str">
        <x:v>B2</x:v>
      </x:c>
      <x:c r="F613" s="32" t="str">
        <x:v>W1</x:v>
      </x:c>
      <x:c r="G613" s="32" t="str">
        <x:v>V2</x:v>
      </x:c>
      <x:c r="H613" s="32" t="str">
        <x:v>tension_soil</x:v>
      </x:c>
      <x:c r="I613" s="32" t="str">
        <x:v>862323089930710</x:v>
      </x:c>
      <x:c r="J613" s="82"/>
      <x:c r="K613" s="82" t="n">
        <x:v>-24.8</x:v>
      </x:c>
      <x:c r="L613" s="82" t="n">
        <x:v>37.8</x:v>
      </x:c>
      <x:c r="M613" s="82" t="n">
        <x:v>25.6</x:v>
      </x:c>
      <x:c r="N613" s="86" t="n">
        <x:v>932</x:v>
      </x:c>
      <x:c r="O613" s="90" t="n">
        <x:v>6.33</x:v>
      </x:c>
      <x:c r="P613" s="150" t="n">
        <x:v>3.992</x:v>
      </x:c>
      <x:c r="Q613" s="86" t="n">
        <x:v>19</x:v>
      </x:c>
      <x:c r="R613" s="32"/>
      <x:c r="S613" s="32" t="str">
        <x:v>ok</x:v>
      </x:c>
      <x:c r="T613" s="32" t="str">
        <x:v>ok</x:v>
      </x:c>
      <x:c r="U613" s="32" t="str">
        <x:v>ok</x:v>
      </x:c>
      <x:c r="V613" s="32" t="str">
        <x:v>ok</x:v>
      </x:c>
      <x:c r="W613" s="154" t="str">
        <x:v>{"schema_version":1,"imei":"862323089930710","timestamp":1786022453,"report_sequence":26,"task_version":"rice_tension_soil_demo","sensor_mode":"tension_soil","soil_moisture_percent":37.8,"soil_temperature_c":25.6,"soil_ec_us_cm":932,"soil_ph":6.33,"battery_mv":3992,"csq":19,"soil_rs485_status":"ok","cycle_status":"ok","soil_tension_kpa":-24.8,"soil_tension_rs485_status":"ok"}</x:v>
      </x:c>
    </x:row>
    <x:row r="614">
      <x:c r="A614" s="72" t="n">
        <x:v>46240.889502314814</x:v>
      </x:c>
      <x:c r="B614" s="72" t="n">
        <x:v>46240.8895162037</x:v>
      </x:c>
      <x:c r="C614" s="32" t="str">
        <x:v>P11</x:v>
      </x:c>
      <x:c r="D614" s="32" t="str">
        <x:v>B2-W2-V1</x:v>
      </x:c>
      <x:c r="E614" s="32" t="str">
        <x:v>B2</x:v>
      </x:c>
      <x:c r="F614" s="32" t="str">
        <x:v>W2</x:v>
      </x:c>
      <x:c r="G614" s="32" t="str">
        <x:v>V1</x:v>
      </x:c>
      <x:c r="H614" s="32" t="str">
        <x:v>tension_soil</x:v>
      </x:c>
      <x:c r="I614" s="32" t="str">
        <x:v>862323089930711</x:v>
      </x:c>
      <x:c r="J614" s="82"/>
      <x:c r="K614" s="82" t="n">
        <x:v>-36.6</x:v>
      </x:c>
      <x:c r="L614" s="82" t="n">
        <x:v>38.6</x:v>
      </x:c>
      <x:c r="M614" s="82" t="n">
        <x:v>25.5</x:v>
      </x:c>
      <x:c r="N614" s="86" t="n">
        <x:v>940</x:v>
      </x:c>
      <x:c r="O614" s="90" t="n">
        <x:v>6.37</x:v>
      </x:c>
      <x:c r="P614" s="150" t="n">
        <x:v>4.01</x:v>
      </x:c>
      <x:c r="Q614" s="86" t="n">
        <x:v>20</x:v>
      </x:c>
      <x:c r="R614" s="32"/>
      <x:c r="S614" s="32" t="str">
        <x:v>ok</x:v>
      </x:c>
      <x:c r="T614" s="32" t="str">
        <x:v>ok</x:v>
      </x:c>
      <x:c r="U614" s="32" t="str">
        <x:v>ok</x:v>
      </x:c>
      <x:c r="V614" s="32" t="str">
        <x:v>ok</x:v>
      </x:c>
      <x:c r="W614" s="154" t="str">
        <x:v>{"schema_version":1,"imei":"862323089930711","timestamp":1786022453,"report_sequence":26,"task_version":"rice_tension_soil_demo","sensor_mode":"tension_soil","soil_moisture_percent":38.6,"soil_temperature_c":25.5,"soil_ec_us_cm":940,"soil_ph":6.37,"battery_mv":4010,"csq":20,"soil_rs485_status":"ok","cycle_status":"ok","soil_tension_kpa":-36.6,"soil_tension_rs485_status":"ok"}</x:v>
      </x:c>
    </x:row>
    <x:row r="615">
      <x:c r="A615" s="72" t="n">
        <x:v>46240.889502314814</x:v>
      </x:c>
      <x:c r="B615" s="72" t="n">
        <x:v>46240.8895162037</x:v>
      </x:c>
      <x:c r="C615" s="32" t="str">
        <x:v>P12</x:v>
      </x:c>
      <x:c r="D615" s="32" t="str">
        <x:v>B2-W2-V2</x:v>
      </x:c>
      <x:c r="E615" s="32" t="str">
        <x:v>B2</x:v>
      </x:c>
      <x:c r="F615" s="32" t="str">
        <x:v>W2</x:v>
      </x:c>
      <x:c r="G615" s="32" t="str">
        <x:v>V2</x:v>
      </x:c>
      <x:c r="H615" s="32" t="str">
        <x:v>tension_soil</x:v>
      </x:c>
      <x:c r="I615" s="32" t="str">
        <x:v>862323089930712</x:v>
      </x:c>
      <x:c r="J615" s="82"/>
      <x:c r="K615" s="82" t="n">
        <x:v>-37.2</x:v>
      </x:c>
      <x:c r="L615" s="82" t="n">
        <x:v>39.2</x:v>
      </x:c>
      <x:c r="M615" s="82" t="n">
        <x:v>25.4</x:v>
      </x:c>
      <x:c r="N615" s="86" t="n">
        <x:v>946</x:v>
      </x:c>
      <x:c r="O615" s="90" t="n">
        <x:v>6.42</x:v>
      </x:c>
      <x:c r="P615" s="150" t="n">
        <x:v>3.92</x:v>
      </x:c>
      <x:c r="Q615" s="86" t="n">
        <x:v>21</x:v>
      </x:c>
      <x:c r="R615" s="32"/>
      <x:c r="S615" s="32" t="str">
        <x:v>ok</x:v>
      </x:c>
      <x:c r="T615" s="32" t="str">
        <x:v>ok</x:v>
      </x:c>
      <x:c r="U615" s="32" t="str">
        <x:v>ok</x:v>
      </x:c>
      <x:c r="V615" s="32" t="str">
        <x:v>ok</x:v>
      </x:c>
      <x:c r="W615" s="154" t="str">
        <x:v>{"schema_version":1,"imei":"862323089930712","timestamp":1786022453,"report_sequence":26,"task_version":"rice_tension_soil_demo","sensor_mode":"tension_soil","soil_moisture_percent":39.2,"soil_temperature_c":25.4,"soil_ec_us_cm":946,"soil_ph":6.42,"battery_mv":3920,"csq":21,"soil_rs485_status":"ok","cycle_status":"ok","soil_tension_kpa":-37.2,"soil_tension_rs485_status":"ok"}</x:v>
      </x:c>
    </x:row>
    <x:row r="616">
      <x:c r="A616" s="72" t="n">
        <x:v>46240.889502314814</x:v>
      </x:c>
      <x:c r="B616" s="72" t="n">
        <x:v>46240.8895162037</x:v>
      </x:c>
      <x:c r="C616" s="32" t="str">
        <x:v>P13</x:v>
      </x:c>
      <x:c r="D616" s="32" t="str">
        <x:v>B3-W0-V1</x:v>
      </x:c>
      <x:c r="E616" s="32" t="str">
        <x:v>B3</x:v>
      </x:c>
      <x:c r="F616" s="32" t="str">
        <x:v>W0</x:v>
      </x:c>
      <x:c r="G616" s="32" t="str">
        <x:v>V1</x:v>
      </x:c>
      <x:c r="H616" s="32" t="str">
        <x:v>water_soil</x:v>
      </x:c>
      <x:c r="I616" s="32" t="str">
        <x:v>862323089930713</x:v>
      </x:c>
      <x:c r="J616" s="82" t="n">
        <x:v>33.1</x:v>
      </x:c>
      <x:c r="K616" s="82"/>
      <x:c r="L616" s="82" t="n">
        <x:v>39.8</x:v>
      </x:c>
      <x:c r="M616" s="82" t="n">
        <x:v>25.3</x:v>
      </x:c>
      <x:c r="N616" s="86" t="n">
        <x:v>950</x:v>
      </x:c>
      <x:c r="O616" s="90" t="n">
        <x:v>6.46</x:v>
      </x:c>
      <x:c r="P616" s="150" t="n">
        <x:v>3.938</x:v>
      </x:c>
      <x:c r="Q616" s="86" t="n">
        <x:v>22</x:v>
      </x:c>
      <x:c r="R616" s="32" t="str">
        <x:v>ok</x:v>
      </x:c>
      <x:c r="S616" s="32"/>
      <x:c r="T616" s="32" t="str">
        <x:v>ok</x:v>
      </x:c>
      <x:c r="U616" s="32" t="str">
        <x:v>ok</x:v>
      </x:c>
      <x:c r="V616" s="32" t="str">
        <x:v>ok</x:v>
      </x:c>
      <x:c r="W616" s="154" t="str">
        <x:v>{"schema_version":1,"imei":"862323089930713","timestamp":1786022453,"report_sequence":26,"task_version":"rice_w0_water_soil_demo","sensor_mode":"water_soil","soil_moisture_percent":39.8,"soil_temperature_c":25.3,"soil_ec_us_cm":950,"soil_ph":6.46,"battery_mv":3938,"csq":22,"soil_rs485_status":"ok","cycle_status":"ok","water_level_mm":33.1,"water_4_20ma_status":"ok"}</x:v>
      </x:c>
    </x:row>
    <x:row r="617">
      <x:c r="A617" s="72" t="n">
        <x:v>46240.889502314814</x:v>
      </x:c>
      <x:c r="B617" s="72" t="n">
        <x:v>46240.8895162037</x:v>
      </x:c>
      <x:c r="C617" s="32" t="str">
        <x:v>P14</x:v>
      </x:c>
      <x:c r="D617" s="32" t="str">
        <x:v>B3-W0-V2</x:v>
      </x:c>
      <x:c r="E617" s="32" t="str">
        <x:v>B3</x:v>
      </x:c>
      <x:c r="F617" s="32" t="str">
        <x:v>W0</x:v>
      </x:c>
      <x:c r="G617" s="32" t="str">
        <x:v>V2</x:v>
      </x:c>
      <x:c r="H617" s="32" t="str">
        <x:v>water_soil</x:v>
      </x:c>
      <x:c r="I617" s="32" t="str">
        <x:v>862323089930714</x:v>
      </x:c>
      <x:c r="J617" s="82" t="n">
        <x:v>34.9</x:v>
      </x:c>
      <x:c r="K617" s="82"/>
      <x:c r="L617" s="82" t="n">
        <x:v>40.3</x:v>
      </x:c>
      <x:c r="M617" s="82" t="n">
        <x:v>25.2</x:v>
      </x:c>
      <x:c r="N617" s="86" t="n">
        <x:v>954</x:v>
      </x:c>
      <x:c r="O617" s="90" t="n">
        <x:v>6.51</x:v>
      </x:c>
      <x:c r="P617" s="150" t="n">
        <x:v>3.956</x:v>
      </x:c>
      <x:c r="Q617" s="86" t="n">
        <x:v>23</x:v>
      </x:c>
      <x:c r="R617" s="32" t="str">
        <x:v>ok</x:v>
      </x:c>
      <x:c r="S617" s="32"/>
      <x:c r="T617" s="32" t="str">
        <x:v>ok</x:v>
      </x:c>
      <x:c r="U617" s="32" t="str">
        <x:v>ok</x:v>
      </x:c>
      <x:c r="V617" s="32" t="str">
        <x:v>ok</x:v>
      </x:c>
      <x:c r="W617" s="154" t="str">
        <x:v>{"schema_version":1,"imei":"862323089930714","timestamp":1786022453,"report_sequence":26,"task_version":"rice_w0_water_soil_demo","sensor_mode":"water_soil","soil_moisture_percent":40.3,"soil_temperature_c":25.2,"soil_ec_us_cm":954,"soil_ph":6.51,"battery_mv":3956,"csq":23,"soil_rs485_status":"ok","cycle_status":"ok","water_level_mm":34.9,"water_4_20ma_status":"ok"}</x:v>
      </x:c>
    </x:row>
    <x:row r="618">
      <x:c r="A618" s="72" t="n">
        <x:v>46240.889502314814</x:v>
      </x:c>
      <x:c r="B618" s="72" t="n">
        <x:v>46240.8895162037</x:v>
      </x:c>
      <x:c r="C618" s="32" t="str">
        <x:v>P15</x:v>
      </x:c>
      <x:c r="D618" s="32" t="str">
        <x:v>B3-W1-V1</x:v>
      </x:c>
      <x:c r="E618" s="32" t="str">
        <x:v>B3</x:v>
      </x:c>
      <x:c r="F618" s="32" t="str">
        <x:v>W1</x:v>
      </x:c>
      <x:c r="G618" s="32" t="str">
        <x:v>V1</x:v>
      </x:c>
      <x:c r="H618" s="32" t="str">
        <x:v>tension_soil</x:v>
      </x:c>
      <x:c r="I618" s="32" t="str">
        <x:v>862323089930715</x:v>
      </x:c>
      <x:c r="J618" s="82"/>
      <x:c r="K618" s="82" t="n">
        <x:v>-22.8</x:v>
      </x:c>
      <x:c r="L618" s="82" t="n">
        <x:v>40.8</x:v>
      </x:c>
      <x:c r="M618" s="82" t="n">
        <x:v>25.1</x:v>
      </x:c>
      <x:c r="N618" s="86" t="n">
        <x:v>957</x:v>
      </x:c>
      <x:c r="O618" s="90" t="n">
        <x:v>6.3</x:v>
      </x:c>
      <x:c r="P618" s="150" t="n">
        <x:v>3.974</x:v>
      </x:c>
      <x:c r="Q618" s="86" t="n">
        <x:v>24</x:v>
      </x:c>
      <x:c r="R618" s="32"/>
      <x:c r="S618" s="32" t="str">
        <x:v>ok</x:v>
      </x:c>
      <x:c r="T618" s="32" t="str">
        <x:v>ok</x:v>
      </x:c>
      <x:c r="U618" s="32" t="str">
        <x:v>ok</x:v>
      </x:c>
      <x:c r="V618" s="32" t="str">
        <x:v>ok</x:v>
      </x:c>
      <x:c r="W618" s="154" t="str">
        <x:v>{"schema_version":1,"imei":"862323089930715","timestamp":1786022453,"report_sequence":26,"task_version":"rice_tension_soil_demo","sensor_mode":"tension_soil","soil_moisture_percent":40.8,"soil_temperature_c":25.1,"soil_ec_us_cm":957,"soil_ph":6.3,"battery_mv":3974,"csq":24,"soil_rs485_status":"ok","cycle_status":"ok","soil_tension_kpa":-22.8,"soil_tension_rs485_status":"ok"}</x:v>
      </x:c>
    </x:row>
    <x:row r="619">
      <x:c r="A619" s="72" t="n">
        <x:v>46240.889502314814</x:v>
      </x:c>
      <x:c r="B619" s="72" t="n">
        <x:v>46240.8895162037</x:v>
      </x:c>
      <x:c r="C619" s="32" t="str">
        <x:v>P16</x:v>
      </x:c>
      <x:c r="D619" s="32" t="str">
        <x:v>B3-W1-V2</x:v>
      </x:c>
      <x:c r="E619" s="32" t="str">
        <x:v>B3</x:v>
      </x:c>
      <x:c r="F619" s="32" t="str">
        <x:v>W1</x:v>
      </x:c>
      <x:c r="G619" s="32" t="str">
        <x:v>V2</x:v>
      </x:c>
      <x:c r="H619" s="32" t="str">
        <x:v>tension_soil</x:v>
      </x:c>
      <x:c r="I619" s="32" t="str">
        <x:v>862323089930716</x:v>
      </x:c>
      <x:c r="J619" s="82"/>
      <x:c r="K619" s="82" t="n">
        <x:v>-23.4</x:v>
      </x:c>
      <x:c r="L619" s="82" t="n">
        <x:v>33.4</x:v>
      </x:c>
      <x:c r="M619" s="82" t="n">
        <x:v>24.9</x:v>
      </x:c>
      <x:c r="N619" s="86" t="n">
        <x:v>961</x:v>
      </x:c>
      <x:c r="O619" s="90" t="n">
        <x:v>6.34</x:v>
      </x:c>
      <x:c r="P619" s="150" t="n">
        <x:v>3.992</x:v>
      </x:c>
      <x:c r="Q619" s="86" t="n">
        <x:v>17</x:v>
      </x:c>
      <x:c r="R619" s="32"/>
      <x:c r="S619" s="32" t="str">
        <x:v>ok</x:v>
      </x:c>
      <x:c r="T619" s="32" t="str">
        <x:v>ok</x:v>
      </x:c>
      <x:c r="U619" s="32" t="str">
        <x:v>ok</x:v>
      </x:c>
      <x:c r="V619" s="32" t="str">
        <x:v>ok</x:v>
      </x:c>
      <x:c r="W619" s="154" t="str">
        <x:v>{"schema_version":1,"imei":"862323089930716","timestamp":1786022453,"report_sequence":26,"task_version":"rice_tension_soil_demo","sensor_mode":"tension_soil","soil_moisture_percent":33.4,"soil_temperature_c":24.9,"soil_ec_us_cm":961,"soil_ph":6.34,"battery_mv":3992,"csq":17,"soil_rs485_status":"ok","cycle_status":"ok","soil_tension_kpa":-23.4,"soil_tension_rs485_status":"ok"}</x:v>
      </x:c>
    </x:row>
    <x:row r="620">
      <x:c r="A620" s="72" t="n">
        <x:v>46240.889502314814</x:v>
      </x:c>
      <x:c r="B620" s="72" t="n">
        <x:v>46240.8895162037</x:v>
      </x:c>
      <x:c r="C620" s="32" t="str">
        <x:v>P17</x:v>
      </x:c>
      <x:c r="D620" s="32" t="str">
        <x:v>B3-W2-V1</x:v>
      </x:c>
      <x:c r="E620" s="32" t="str">
        <x:v>B3</x:v>
      </x:c>
      <x:c r="F620" s="32" t="str">
        <x:v>W2</x:v>
      </x:c>
      <x:c r="G620" s="32" t="str">
        <x:v>V1</x:v>
      </x:c>
      <x:c r="H620" s="32" t="str">
        <x:v>tension_soil</x:v>
      </x:c>
      <x:c r="I620" s="32" t="str">
        <x:v>862323089930717</x:v>
      </x:c>
      <x:c r="J620" s="82"/>
      <x:c r="K620" s="82" t="n">
        <x:v>-34.9</x:v>
      </x:c>
      <x:c r="L620" s="82" t="n">
        <x:v>33.9</x:v>
      </x:c>
      <x:c r="M620" s="82" t="n">
        <x:v>24.8</x:v>
      </x:c>
      <x:c r="N620" s="86" t="n">
        <x:v>965</x:v>
      </x:c>
      <x:c r="O620" s="90" t="n">
        <x:v>6.38</x:v>
      </x:c>
      <x:c r="P620" s="150" t="n">
        <x:v>4.01</x:v>
      </x:c>
      <x:c r="Q620" s="86" t="n">
        <x:v>18</x:v>
      </x:c>
      <x:c r="R620" s="32"/>
      <x:c r="S620" s="32" t="str">
        <x:v>ok</x:v>
      </x:c>
      <x:c r="T620" s="32" t="str">
        <x:v>ok</x:v>
      </x:c>
      <x:c r="U620" s="32" t="str">
        <x:v>ok</x:v>
      </x:c>
      <x:c r="V620" s="32" t="str">
        <x:v>ok</x:v>
      </x:c>
      <x:c r="W620" s="154" t="str">
        <x:v>{"schema_version":1,"imei":"862323089930717","timestamp":1786022453,"report_sequence":26,"task_version":"rice_tension_soil_demo","sensor_mode":"tension_soil","soil_moisture_percent":33.9,"soil_temperature_c":24.8,"soil_ec_us_cm":965,"soil_ph":6.38,"battery_mv":4010,"csq":18,"soil_rs485_status":"ok","cycle_status":"ok","soil_tension_kpa":-34.9,"soil_tension_rs485_status":"ok"}</x:v>
      </x:c>
    </x:row>
    <x:row r="621">
      <x:c r="A621" s="72" t="n">
        <x:v>46240.889502314814</x:v>
      </x:c>
      <x:c r="B621" s="72" t="n">
        <x:v>46240.8895162037</x:v>
      </x:c>
      <x:c r="C621" s="32" t="str">
        <x:v>P18</x:v>
      </x:c>
      <x:c r="D621" s="32" t="str">
        <x:v>B3-W2-V2</x:v>
      </x:c>
      <x:c r="E621" s="32" t="str">
        <x:v>B3</x:v>
      </x:c>
      <x:c r="F621" s="32" t="str">
        <x:v>W2</x:v>
      </x:c>
      <x:c r="G621" s="32" t="str">
        <x:v>V2</x:v>
      </x:c>
      <x:c r="H621" s="32" t="str">
        <x:v>tension_soil</x:v>
      </x:c>
      <x:c r="I621" s="32" t="str">
        <x:v>862323089930718</x:v>
      </x:c>
      <x:c r="J621" s="82"/>
      <x:c r="K621" s="82" t="n">
        <x:v>-35.5</x:v>
      </x:c>
      <x:c r="L621" s="82" t="n">
        <x:v>34.5</x:v>
      </x:c>
      <x:c r="M621" s="82" t="n">
        <x:v>24.7</x:v>
      </x:c>
      <x:c r="N621" s="86" t="n">
        <x:v>970</x:v>
      </x:c>
      <x:c r="O621" s="90" t="n">
        <x:v>6.43</x:v>
      </x:c>
      <x:c r="P621" s="150" t="n">
        <x:v>3.92</x:v>
      </x:c>
      <x:c r="Q621" s="86" t="n">
        <x:v>19</x:v>
      </x:c>
      <x:c r="R621" s="32"/>
      <x:c r="S621" s="32" t="str">
        <x:v>ok</x:v>
      </x:c>
      <x:c r="T621" s="32" t="str">
        <x:v>ok</x:v>
      </x:c>
      <x:c r="U621" s="32" t="str">
        <x:v>ok</x:v>
      </x:c>
      <x:c r="V621" s="32" t="str">
        <x:v>ok</x:v>
      </x:c>
      <x:c r="W621" s="154" t="str">
        <x:v>{"schema_version":1,"imei":"862323089930718","timestamp":1786022453,"report_sequence":26,"task_version":"rice_tension_soil_demo","sensor_mode":"tension_soil","soil_moisture_percent":34.5,"soil_temperature_c":24.7,"soil_ec_us_cm":970,"soil_ph":6.43,"battery_mv":3920,"csq":19,"soil_rs485_status":"ok","cycle_status":"ok","soil_tension_kpa":-35.5,"soil_tension_rs485_status":"ok"}</x:v>
      </x:c>
    </x:row>
    <x:row r="622">
      <x:c r="A622" s="72" t="n">
        <x:v>46240.889502314814</x:v>
      </x:c>
      <x:c r="B622" s="72" t="n">
        <x:v>46240.8895162037</x:v>
      </x:c>
      <x:c r="C622" s="32" t="str">
        <x:v>P19</x:v>
      </x:c>
      <x:c r="D622" s="32" t="str">
        <x:v>B4-W0-V1</x:v>
      </x:c>
      <x:c r="E622" s="32" t="str">
        <x:v>B4</x:v>
      </x:c>
      <x:c r="F622" s="32" t="str">
        <x:v>W0</x:v>
      </x:c>
      <x:c r="G622" s="32" t="str">
        <x:v>V1</x:v>
      </x:c>
      <x:c r="H622" s="32" t="str">
        <x:v>water_soil</x:v>
      </x:c>
      <x:c r="I622" s="32" t="str">
        <x:v>862323089930719</x:v>
      </x:c>
      <x:c r="J622" s="82" t="n">
        <x:v>32.6</x:v>
      </x:c>
      <x:c r="K622" s="82"/>
      <x:c r="L622" s="82" t="n">
        <x:v>35.2</x:v>
      </x:c>
      <x:c r="M622" s="82" t="n">
        <x:v>24.7</x:v>
      </x:c>
      <x:c r="N622" s="86" t="n">
        <x:v>977</x:v>
      </x:c>
      <x:c r="O622" s="90" t="n">
        <x:v>6.47</x:v>
      </x:c>
      <x:c r="P622" s="150" t="n">
        <x:v>3.938</x:v>
      </x:c>
      <x:c r="Q622" s="86" t="n">
        <x:v>20</x:v>
      </x:c>
      <x:c r="R622" s="32" t="str">
        <x:v>ok</x:v>
      </x:c>
      <x:c r="S622" s="32"/>
      <x:c r="T622" s="32" t="str">
        <x:v>ok</x:v>
      </x:c>
      <x:c r="U622" s="32" t="str">
        <x:v>ok</x:v>
      </x:c>
      <x:c r="V622" s="32" t="str">
        <x:v>ok</x:v>
      </x:c>
      <x:c r="W622" s="154" t="str">
        <x:v>{"schema_version":1,"imei":"862323089930719","timestamp":1786022453,"report_sequence":26,"task_version":"rice_w0_water_soil_demo","sensor_mode":"water_soil","soil_moisture_percent":35.2,"soil_temperature_c":24.7,"soil_ec_us_cm":977,"soil_ph":6.47,"battery_mv":3938,"csq":20,"soil_rs485_status":"ok","cycle_status":"ok","water_level_mm":32.6,"water_4_20ma_status":"ok"}</x:v>
      </x:c>
    </x:row>
    <x:row r="623">
      <x:c r="A623" s="72" t="n">
        <x:v>46240.889502314814</x:v>
      </x:c>
      <x:c r="B623" s="72" t="n">
        <x:v>46240.8895162037</x:v>
      </x:c>
      <x:c r="C623" s="32" t="str">
        <x:v>P20</x:v>
      </x:c>
      <x:c r="D623" s="32" t="str">
        <x:v>B4-W0-V2</x:v>
      </x:c>
      <x:c r="E623" s="32" t="str">
        <x:v>B4</x:v>
      </x:c>
      <x:c r="F623" s="32" t="str">
        <x:v>W0</x:v>
      </x:c>
      <x:c r="G623" s="32" t="str">
        <x:v>V2</x:v>
      </x:c>
      <x:c r="H623" s="32" t="str">
        <x:v>water_soil</x:v>
      </x:c>
      <x:c r="I623" s="32" t="str">
        <x:v>862323089930720</x:v>
      </x:c>
      <x:c r="J623" s="82" t="n">
        <x:v>23.2</x:v>
      </x:c>
      <x:c r="K623" s="82"/>
      <x:c r="L623" s="82" t="n">
        <x:v>36.1</x:v>
      </x:c>
      <x:c r="M623" s="82" t="n">
        <x:v>24.6</x:v>
      </x:c>
      <x:c r="N623" s="86" t="n">
        <x:v>986</x:v>
      </x:c>
      <x:c r="O623" s="90" t="n">
        <x:v>6.27</x:v>
      </x:c>
      <x:c r="P623" s="150" t="n">
        <x:v>3.956</x:v>
      </x:c>
      <x:c r="Q623" s="86" t="n">
        <x:v>21</x:v>
      </x:c>
      <x:c r="R623" s="32" t="str">
        <x:v>ok</x:v>
      </x:c>
      <x:c r="S623" s="32"/>
      <x:c r="T623" s="32" t="str">
        <x:v>ok</x:v>
      </x:c>
      <x:c r="U623" s="32" t="str">
        <x:v>ok</x:v>
      </x:c>
      <x:c r="V623" s="32" t="str">
        <x:v>ok</x:v>
      </x:c>
      <x:c r="W623" s="154" t="str">
        <x:v>{"schema_version":1,"imei":"862323089930720","timestamp":1786022453,"report_sequence":26,"task_version":"rice_w0_water_soil_demo","sensor_mode":"water_soil","soil_moisture_percent":36.1,"soil_temperature_c":24.6,"soil_ec_us_cm":986,"soil_ph":6.27,"battery_mv":3956,"csq":21,"soil_rs485_status":"ok","cycle_status":"ok","water_level_mm":23.2,"water_4_20ma_status":"ok"}</x:v>
      </x:c>
    </x:row>
    <x:row r="624">
      <x:c r="A624" s="72" t="n">
        <x:v>46240.889502314814</x:v>
      </x:c>
      <x:c r="B624" s="72" t="n">
        <x:v>46240.8895162037</x:v>
      </x:c>
      <x:c r="C624" s="32" t="str">
        <x:v>P21</x:v>
      </x:c>
      <x:c r="D624" s="32" t="str">
        <x:v>B4-W1-V1</x:v>
      </x:c>
      <x:c r="E624" s="32" t="str">
        <x:v>B4</x:v>
      </x:c>
      <x:c r="F624" s="32" t="str">
        <x:v>W1</x:v>
      </x:c>
      <x:c r="G624" s="32" t="str">
        <x:v>V1</x:v>
      </x:c>
      <x:c r="H624" s="32" t="str">
        <x:v>tension_soil</x:v>
      </x:c>
      <x:c r="I624" s="32" t="str">
        <x:v>862323089930721</x:v>
      </x:c>
      <x:c r="J624" s="82"/>
      <x:c r="K624" s="82" t="n">
        <x:v>-22</x:v>
      </x:c>
      <x:c r="L624" s="82" t="n">
        <x:v>37</x:v>
      </x:c>
      <x:c r="M624" s="82" t="n">
        <x:v>24.6</x:v>
      </x:c>
      <x:c r="N624" s="86" t="n">
        <x:v>997</x:v>
      </x:c>
      <x:c r="O624" s="90" t="n">
        <x:v>6.32</x:v>
      </x:c>
      <x:c r="P624" s="150" t="n">
        <x:v>3.974</x:v>
      </x:c>
      <x:c r="Q624" s="86" t="n">
        <x:v>22</x:v>
      </x:c>
      <x:c r="R624" s="32"/>
      <x:c r="S624" s="32" t="str">
        <x:v>ok</x:v>
      </x:c>
      <x:c r="T624" s="32" t="str">
        <x:v>ok</x:v>
      </x:c>
      <x:c r="U624" s="32" t="str">
        <x:v>ok</x:v>
      </x:c>
      <x:c r="V624" s="32" t="str">
        <x:v>ok</x:v>
      </x:c>
      <x:c r="W624" s="154" t="str">
        <x:v>{"schema_version":1,"imei":"862323089930721","timestamp":1786022453,"report_sequence":26,"task_version":"rice_tension_soil_demo","sensor_mode":"tension_soil","soil_moisture_percent":37,"soil_temperature_c":24.6,"soil_ec_us_cm":997,"soil_ph":6.32,"battery_mv":3974,"csq":22,"soil_rs485_status":"ok","cycle_status":"ok","soil_tension_kpa":-22,"soil_tension_rs485_status":"ok"}</x:v>
      </x:c>
    </x:row>
    <x:row r="625">
      <x:c r="A625" s="72" t="n">
        <x:v>46240.889502314814</x:v>
      </x:c>
      <x:c r="B625" s="72" t="n">
        <x:v>46240.8895162037</x:v>
      </x:c>
      <x:c r="C625" s="32" t="str">
        <x:v>P22</x:v>
      </x:c>
      <x:c r="D625" s="32" t="str">
        <x:v>B4-W1-V2</x:v>
      </x:c>
      <x:c r="E625" s="32" t="str">
        <x:v>B4</x:v>
      </x:c>
      <x:c r="F625" s="32" t="str">
        <x:v>W1</x:v>
      </x:c>
      <x:c r="G625" s="32" t="str">
        <x:v>V2</x:v>
      </x:c>
      <x:c r="H625" s="32" t="str">
        <x:v>tension_soil</x:v>
      </x:c>
      <x:c r="I625" s="32" t="str">
        <x:v>862323089930722</x:v>
      </x:c>
      <x:c r="J625" s="82"/>
      <x:c r="K625" s="82" t="n">
        <x:v>-23.1</x:v>
      </x:c>
      <x:c r="L625" s="82" t="n">
        <x:v>38.1</x:v>
      </x:c>
      <x:c r="M625" s="82" t="n">
        <x:v>24.6</x:v>
      </x:c>
      <x:c r="N625" s="86" t="n">
        <x:v>1010</x:v>
      </x:c>
      <x:c r="O625" s="90" t="n">
        <x:v>6.37</x:v>
      </x:c>
      <x:c r="P625" s="150" t="n">
        <x:v>3.992</x:v>
      </x:c>
      <x:c r="Q625" s="86" t="n">
        <x:v>23</x:v>
      </x:c>
      <x:c r="R625" s="32"/>
      <x:c r="S625" s="32" t="str">
        <x:v>ok</x:v>
      </x:c>
      <x:c r="T625" s="32" t="str">
        <x:v>ok</x:v>
      </x:c>
      <x:c r="U625" s="32" t="str">
        <x:v>ok</x:v>
      </x:c>
      <x:c r="V625" s="32" t="str">
        <x:v>ok</x:v>
      </x:c>
      <x:c r="W625" s="154" t="str">
        <x:v>{"schema_version":1,"imei":"862323089930722","timestamp":1786022453,"report_sequence":26,"task_version":"rice_tension_soil_demo","sensor_mode":"tension_soil","soil_moisture_percent":38.1,"soil_temperature_c":24.6,"soil_ec_us_cm":1010,"soil_ph":6.37,"battery_mv":3992,"csq":23,"soil_rs485_status":"ok","cycle_status":"ok","soil_tension_kpa":-23.1,"soil_tension_rs485_status":"ok"}</x:v>
      </x:c>
    </x:row>
    <x:row r="626">
      <x:c r="A626" s="72" t="n">
        <x:v>46240.889502314814</x:v>
      </x:c>
      <x:c r="B626" s="72" t="n">
        <x:v>46240.8895162037</x:v>
      </x:c>
      <x:c r="C626" s="32" t="str">
        <x:v>P23</x:v>
      </x:c>
      <x:c r="D626" s="32" t="str">
        <x:v>B4-W2-V1</x:v>
      </x:c>
      <x:c r="E626" s="32" t="str">
        <x:v>B4</x:v>
      </x:c>
      <x:c r="F626" s="32" t="str">
        <x:v>W2</x:v>
      </x:c>
      <x:c r="G626" s="32" t="str">
        <x:v>V1</x:v>
      </x:c>
      <x:c r="H626" s="32" t="str">
        <x:v>tension_soil</x:v>
      </x:c>
      <x:c r="I626" s="32" t="str">
        <x:v>862323089930723</x:v>
      </x:c>
      <x:c r="J626" s="82"/>
      <x:c r="K626" s="82" t="n">
        <x:v>-35.2</x:v>
      </x:c>
      <x:c r="L626" s="82" t="n">
        <x:v>39.2</x:v>
      </x:c>
      <x:c r="M626" s="82" t="n">
        <x:v>24.7</x:v>
      </x:c>
      <x:c r="N626" s="86" t="n">
        <x:v>1025</x:v>
      </x:c>
      <x:c r="O626" s="90" t="n">
        <x:v>6.42</x:v>
      </x:c>
      <x:c r="P626" s="150" t="n">
        <x:v>4.01</x:v>
      </x:c>
      <x:c r="Q626" s="86" t="n">
        <x:v>24</x:v>
      </x:c>
      <x:c r="R626" s="32"/>
      <x:c r="S626" s="32" t="str">
        <x:v>ok</x:v>
      </x:c>
      <x:c r="T626" s="32" t="str">
        <x:v>ok</x:v>
      </x:c>
      <x:c r="U626" s="32" t="str">
        <x:v>ok</x:v>
      </x:c>
      <x:c r="V626" s="32" t="str">
        <x:v>ok</x:v>
      </x:c>
      <x:c r="W626" s="154" t="str">
        <x:v>{"schema_version":1,"imei":"862323089930723","timestamp":1786022453,"report_sequence":26,"task_version":"rice_tension_soil_demo","sensor_mode":"tension_soil","soil_moisture_percent":39.2,"soil_temperature_c":24.7,"soil_ec_us_cm":1025,"soil_ph":6.42,"battery_mv":4010,"csq":24,"soil_rs485_status":"ok","cycle_status":"ok","soil_tension_kpa":-35.2,"soil_tension_rs485_status":"ok"}</x:v>
      </x:c>
    </x:row>
    <x:row r="627">
      <x:c r="A627" s="72" t="n">
        <x:v>46240.889502314814</x:v>
      </x:c>
      <x:c r="B627" s="72" t="n">
        <x:v>46240.8895162037</x:v>
      </x:c>
      <x:c r="C627" s="32" t="str">
        <x:v>P24</x:v>
      </x:c>
      <x:c r="D627" s="32" t="str">
        <x:v>B4-W2-V2</x:v>
      </x:c>
      <x:c r="E627" s="32" t="str">
        <x:v>B4</x:v>
      </x:c>
      <x:c r="F627" s="32" t="str">
        <x:v>W2</x:v>
      </x:c>
      <x:c r="G627" s="32" t="str">
        <x:v>V2</x:v>
      </x:c>
      <x:c r="H627" s="32" t="str">
        <x:v>tension_soil</x:v>
      </x:c>
      <x:c r="I627" s="32" t="str">
        <x:v>862323089930724</x:v>
      </x:c>
      <x:c r="J627" s="82"/>
      <x:c r="K627" s="82" t="n">
        <x:v>-36.5</x:v>
      </x:c>
      <x:c r="L627" s="82" t="n">
        <x:v>32.5</x:v>
      </x:c>
      <x:c r="M627" s="82" t="n">
        <x:v>24.7</x:v>
      </x:c>
      <x:c r="N627" s="86" t="n">
        <x:v>1042</x:v>
      </x:c>
      <x:c r="O627" s="90" t="n">
        <x:v>6.48</x:v>
      </x:c>
      <x:c r="P627" s="150" t="n">
        <x:v>3.92</x:v>
      </x:c>
      <x:c r="Q627" s="86" t="n">
        <x:v>17</x:v>
      </x:c>
      <x:c r="R627" s="32"/>
      <x:c r="S627" s="32" t="str">
        <x:v>ok</x:v>
      </x:c>
      <x:c r="T627" s="32" t="str">
        <x:v>ok</x:v>
      </x:c>
      <x:c r="U627" s="32" t="str">
        <x:v>ok</x:v>
      </x:c>
      <x:c r="V627" s="32" t="str">
        <x:v>ok</x:v>
      </x:c>
      <x:c r="W627" s="154" t="str">
        <x:v>{"schema_version":1,"imei":"862323089930724","timestamp":1786022453,"report_sequence":26,"task_version":"rice_tension_soil_demo","sensor_mode":"tension_soil","soil_moisture_percent":32.5,"soil_temperature_c":24.7,"soil_ec_us_cm":1042,"soil_ph":6.48,"battery_mv":3920,"csq":17,"soil_rs485_status":"ok","cycle_status":"ok","soil_tension_kpa":-36.5,"soil_tension_rs485_status":"ok"}</x:v>
      </x:c>
    </x:row>
    <x:row r="628">
      <x:c r="A628" s="72" t="n">
        <x:v>46240.89297453704</x:v>
      </x:c>
      <x:c r="B628" s="72" t="n">
        <x:v>46240.89298842593</x:v>
      </x:c>
      <x:c r="C628" s="32" t="str">
        <x:v>P01</x:v>
      </x:c>
      <x:c r="D628" s="32" t="str">
        <x:v>B1-W0-V1</x:v>
      </x:c>
      <x:c r="E628" s="32" t="str">
        <x:v>B1</x:v>
      </x:c>
      <x:c r="F628" s="32" t="str">
        <x:v>W0</x:v>
      </x:c>
      <x:c r="G628" s="32" t="str">
        <x:v>V1</x:v>
      </x:c>
      <x:c r="H628" s="32" t="str">
        <x:v>water_soil</x:v>
      </x:c>
      <x:c r="I628" s="32" t="str">
        <x:v>862323089930701</x:v>
      </x:c>
      <x:c r="J628" s="82" t="n">
        <x:v>28.5</x:v>
      </x:c>
      <x:c r="K628" s="82"/>
      <x:c r="L628" s="82" t="n">
        <x:v>34</x:v>
      </x:c>
      <x:c r="M628" s="82" t="n">
        <x:v>24.8</x:v>
      </x:c>
      <x:c r="N628" s="86" t="n">
        <x:v>774</x:v>
      </x:c>
      <x:c r="O628" s="90" t="n">
        <x:v>6.33</x:v>
      </x:c>
      <x:c r="P628" s="150" t="n">
        <x:v>3.938</x:v>
      </x:c>
      <x:c r="Q628" s="86" t="n">
        <x:v>18</x:v>
      </x:c>
      <x:c r="R628" s="32" t="str">
        <x:v>ok</x:v>
      </x:c>
      <x:c r="S628" s="32"/>
      <x:c r="T628" s="32" t="str">
        <x:v>ok</x:v>
      </x:c>
      <x:c r="U628" s="32" t="str">
        <x:v>ok</x:v>
      </x:c>
      <x:c r="V628" s="32" t="str">
        <x:v>ok</x:v>
      </x:c>
      <x:c r="W628" s="154" t="str">
        <x:v>{"schema_version":1,"imei":"862323089930701","timestamp":1786022753,"report_sequence":27,"task_version":"rice_w0_water_soil_demo","sensor_mode":"water_soil","soil_moisture_percent":34,"soil_temperature_c":24.8,"soil_ec_us_cm":774,"soil_ph":6.33,"battery_mv":3938,"csq":18,"soil_rs485_status":"ok","cycle_status":"ok","water_level_mm":28.5,"water_4_20ma_status":"ok"}</x:v>
      </x:c>
    </x:row>
    <x:row r="629">
      <x:c r="A629" s="72" t="n">
        <x:v>46240.89297453704</x:v>
      </x:c>
      <x:c r="B629" s="72" t="n">
        <x:v>46240.89298842593</x:v>
      </x:c>
      <x:c r="C629" s="32" t="str">
        <x:v>P02</x:v>
      </x:c>
      <x:c r="D629" s="32" t="str">
        <x:v>B1-W0-V2</x:v>
      </x:c>
      <x:c r="E629" s="32" t="str">
        <x:v>B1</x:v>
      </x:c>
      <x:c r="F629" s="32" t="str">
        <x:v>W0</x:v>
      </x:c>
      <x:c r="G629" s="32" t="str">
        <x:v>V2</x:v>
      </x:c>
      <x:c r="H629" s="32" t="str">
        <x:v>water_soil</x:v>
      </x:c>
      <x:c r="I629" s="32" t="str">
        <x:v>862323089930702</x:v>
      </x:c>
      <x:c r="J629" s="82" t="n">
        <x:v>32.6</x:v>
      </x:c>
      <x:c r="K629" s="82"/>
      <x:c r="L629" s="82" t="n">
        <x:v>35.4</x:v>
      </x:c>
      <x:c r="M629" s="82" t="n">
        <x:v>25</x:v>
      </x:c>
      <x:c r="N629" s="86" t="n">
        <x:v>794</x:v>
      </x:c>
      <x:c r="O629" s="90" t="n">
        <x:v>6.39</x:v>
      </x:c>
      <x:c r="P629" s="150" t="n">
        <x:v>3.956</x:v>
      </x:c>
      <x:c r="Q629" s="86" t="n">
        <x:v>19</x:v>
      </x:c>
      <x:c r="R629" s="32" t="str">
        <x:v>ok</x:v>
      </x:c>
      <x:c r="S629" s="32"/>
      <x:c r="T629" s="32" t="str">
        <x:v>ok</x:v>
      </x:c>
      <x:c r="U629" s="32" t="str">
        <x:v>ok</x:v>
      </x:c>
      <x:c r="V629" s="32" t="str">
        <x:v>ok</x:v>
      </x:c>
      <x:c r="W629" s="154" t="str">
        <x:v>{"schema_version":1,"imei":"862323089930702","timestamp":1786022753,"report_sequence":27,"task_version":"rice_w0_water_soil_demo","sensor_mode":"water_soil","soil_moisture_percent":35.4,"soil_temperature_c":25,"soil_ec_us_cm":794,"soil_ph":6.39,"battery_mv":3956,"csq":19,"soil_rs485_status":"ok","cycle_status":"ok","water_level_mm":32.6,"water_4_20ma_status":"ok"}</x:v>
      </x:c>
    </x:row>
    <x:row r="630">
      <x:c r="A630" s="72" t="n">
        <x:v>46240.89297453704</x:v>
      </x:c>
      <x:c r="B630" s="72" t="n">
        <x:v>46240.89298842593</x:v>
      </x:c>
      <x:c r="C630" s="32" t="str">
        <x:v>P03</x:v>
      </x:c>
      <x:c r="D630" s="32" t="str">
        <x:v>B1-W1-V1</x:v>
      </x:c>
      <x:c r="E630" s="32" t="str">
        <x:v>B1</x:v>
      </x:c>
      <x:c r="F630" s="32" t="str">
        <x:v>W1</x:v>
      </x:c>
      <x:c r="G630" s="32" t="str">
        <x:v>V1</x:v>
      </x:c>
      <x:c r="H630" s="32" t="str">
        <x:v>tension_soil</x:v>
      </x:c>
      <x:c r="I630" s="32" t="str">
        <x:v>862323089930703</x:v>
      </x:c>
      <x:c r="J630" s="82"/>
      <x:c r="K630" s="82" t="n">
        <x:v>-25.9</x:v>
      </x:c>
      <x:c r="L630" s="82" t="n">
        <x:v>36.9</x:v>
      </x:c>
      <x:c r="M630" s="82" t="n">
        <x:v>25.1</x:v>
      </x:c>
      <x:c r="N630" s="86" t="n">
        <x:v>815</x:v>
      </x:c>
      <x:c r="O630" s="90" t="n">
        <x:v>6.45</x:v>
      </x:c>
      <x:c r="P630" s="150" t="n">
        <x:v>3.974</x:v>
      </x:c>
      <x:c r="Q630" s="86" t="n">
        <x:v>20</x:v>
      </x:c>
      <x:c r="R630" s="32"/>
      <x:c r="S630" s="32" t="str">
        <x:v>ok</x:v>
      </x:c>
      <x:c r="T630" s="32" t="str">
        <x:v>ok</x:v>
      </x:c>
      <x:c r="U630" s="32" t="str">
        <x:v>ok</x:v>
      </x:c>
      <x:c r="V630" s="32" t="str">
        <x:v>ok</x:v>
      </x:c>
      <x:c r="W630" s="154" t="str">
        <x:v>{"schema_version":1,"imei":"862323089930703","timestamp":1786022753,"report_sequence":27,"task_version":"rice_tension_soil_demo","sensor_mode":"tension_soil","soil_moisture_percent":36.9,"soil_temperature_c":25.1,"soil_ec_us_cm":815,"soil_ph":6.45,"battery_mv":3974,"csq":20,"soil_rs485_status":"ok","cycle_status":"ok","soil_tension_kpa":-25.9,"soil_tension_rs485_status":"ok"}</x:v>
      </x:c>
    </x:row>
    <x:row r="631">
      <x:c r="A631" s="72" t="n">
        <x:v>46240.89297453704</x:v>
      </x:c>
      <x:c r="B631" s="72" t="n">
        <x:v>46240.89298842593</x:v>
      </x:c>
      <x:c r="C631" s="32" t="str">
        <x:v>P04</x:v>
      </x:c>
      <x:c r="D631" s="32" t="str">
        <x:v>B1-W1-V2</x:v>
      </x:c>
      <x:c r="E631" s="32" t="str">
        <x:v>B1</x:v>
      </x:c>
      <x:c r="F631" s="32" t="str">
        <x:v>W1</x:v>
      </x:c>
      <x:c r="G631" s="32" t="str">
        <x:v>V2</x:v>
      </x:c>
      <x:c r="H631" s="32" t="str">
        <x:v>tension_soil</x:v>
      </x:c>
      <x:c r="I631" s="32" t="str">
        <x:v>862323089930704</x:v>
      </x:c>
      <x:c r="J631" s="82"/>
      <x:c r="K631" s="82" t="n">
        <x:v>-27.4</x:v>
      </x:c>
      <x:c r="L631" s="82" t="n">
        <x:v>38.4</x:v>
      </x:c>
      <x:c r="M631" s="82" t="n">
        <x:v>25.2</x:v>
      </x:c>
      <x:c r="N631" s="86" t="n">
        <x:v>836</x:v>
      </x:c>
      <x:c r="O631" s="90" t="n">
        <x:v>6.51</x:v>
      </x:c>
      <x:c r="P631" s="150" t="n">
        <x:v>3.992</x:v>
      </x:c>
      <x:c r="Q631" s="86" t="n">
        <x:v>21</x:v>
      </x:c>
      <x:c r="R631" s="32"/>
      <x:c r="S631" s="32" t="str">
        <x:v>ok</x:v>
      </x:c>
      <x:c r="T631" s="32" t="str">
        <x:v>ok</x:v>
      </x:c>
      <x:c r="U631" s="32" t="str">
        <x:v>ok</x:v>
      </x:c>
      <x:c r="V631" s="32" t="str">
        <x:v>ok</x:v>
      </x:c>
      <x:c r="W631" s="154" t="str">
        <x:v>{"schema_version":1,"imei":"862323089930704","timestamp":1786022753,"report_sequence":27,"task_version":"rice_tension_soil_demo","sensor_mode":"tension_soil","soil_moisture_percent":38.4,"soil_temperature_c":25.2,"soil_ec_us_cm":836,"soil_ph":6.51,"battery_mv":3992,"csq":21,"soil_rs485_status":"ok","cycle_status":"ok","soil_tension_kpa":-27.4,"soil_tension_rs485_status":"ok"}</x:v>
      </x:c>
    </x:row>
    <x:row r="632">
      <x:c r="A632" s="72" t="n">
        <x:v>46240.89297453704</x:v>
      </x:c>
      <x:c r="B632" s="72" t="n">
        <x:v>46240.89298842593</x:v>
      </x:c>
      <x:c r="C632" s="32" t="str">
        <x:v>P05</x:v>
      </x:c>
      <x:c r="D632" s="32" t="str">
        <x:v>B1-W2-V1</x:v>
      </x:c>
      <x:c r="E632" s="32" t="str">
        <x:v>B1</x:v>
      </x:c>
      <x:c r="F632" s="32" t="str">
        <x:v>W2</x:v>
      </x:c>
      <x:c r="G632" s="32" t="str">
        <x:v>V1</x:v>
      </x:c>
      <x:c r="H632" s="32" t="str">
        <x:v>tension_soil</x:v>
      </x:c>
      <x:c r="I632" s="32" t="str">
        <x:v>862323089930705</x:v>
      </x:c>
      <x:c r="J632" s="82"/>
      <x:c r="K632" s="82" t="n">
        <x:v>-34.9</x:v>
      </x:c>
      <x:c r="L632" s="82" t="n">
        <x:v>39.9</x:v>
      </x:c>
      <x:c r="M632" s="82" t="n">
        <x:v>25.3</x:v>
      </x:c>
      <x:c r="N632" s="86" t="n">
        <x:v>856</x:v>
      </x:c>
      <x:c r="O632" s="90" t="n">
        <x:v>6.31</x:v>
      </x:c>
      <x:c r="P632" s="150" t="n">
        <x:v>4.01</x:v>
      </x:c>
      <x:c r="Q632" s="86" t="n">
        <x:v>22</x:v>
      </x:c>
      <x:c r="R632" s="32"/>
      <x:c r="S632" s="32" t="str">
        <x:v>ok</x:v>
      </x:c>
      <x:c r="T632" s="32" t="str">
        <x:v>ok</x:v>
      </x:c>
      <x:c r="U632" s="32" t="str">
        <x:v>ok</x:v>
      </x:c>
      <x:c r="V632" s="32" t="str">
        <x:v>ok</x:v>
      </x:c>
      <x:c r="W632" s="154" t="str">
        <x:v>{"schema_version":1,"imei":"862323089930705","timestamp":1786022753,"report_sequence":27,"task_version":"rice_tension_soil_demo","sensor_mode":"tension_soil","soil_moisture_percent":39.9,"soil_temperature_c":25.3,"soil_ec_us_cm":856,"soil_ph":6.31,"battery_mv":4010,"csq":22,"soil_rs485_status":"ok","cycle_status":"ok","soil_tension_kpa":-34.9,"soil_tension_rs485_status":"ok"}</x:v>
      </x:c>
    </x:row>
    <x:row r="633">
      <x:c r="A633" s="72" t="n">
        <x:v>46240.89297453704</x:v>
      </x:c>
      <x:c r="B633" s="72" t="n">
        <x:v>46240.89298842593</x:v>
      </x:c>
      <x:c r="C633" s="32" t="str">
        <x:v>P06</x:v>
      </x:c>
      <x:c r="D633" s="32" t="str">
        <x:v>B1-W2-V2</x:v>
      </x:c>
      <x:c r="E633" s="32" t="str">
        <x:v>B1</x:v>
      </x:c>
      <x:c r="F633" s="32" t="str">
        <x:v>W2</x:v>
      </x:c>
      <x:c r="G633" s="32" t="str">
        <x:v>V2</x:v>
      </x:c>
      <x:c r="H633" s="32" t="str">
        <x:v>tension_soil</x:v>
      </x:c>
      <x:c r="I633" s="32" t="str">
        <x:v>862323089930706</x:v>
      </x:c>
      <x:c r="J633" s="82"/>
      <x:c r="K633" s="82" t="n">
        <x:v>-36.3</x:v>
      </x:c>
      <x:c r="L633" s="82" t="n">
        <x:v>41.3</x:v>
      </x:c>
      <x:c r="M633" s="82" t="n">
        <x:v>25.4</x:v>
      </x:c>
      <x:c r="N633" s="86" t="n">
        <x:v>875</x:v>
      </x:c>
      <x:c r="O633" s="90" t="n">
        <x:v>6.37</x:v>
      </x:c>
      <x:c r="P633" s="150" t="n">
        <x:v>3.92</x:v>
      </x:c>
      <x:c r="Q633" s="86" t="n">
        <x:v>23</x:v>
      </x:c>
      <x:c r="R633" s="32"/>
      <x:c r="S633" s="32" t="str">
        <x:v>ok</x:v>
      </x:c>
      <x:c r="T633" s="32" t="str">
        <x:v>ok</x:v>
      </x:c>
      <x:c r="U633" s="32" t="str">
        <x:v>ok</x:v>
      </x:c>
      <x:c r="V633" s="32" t="str">
        <x:v>ok</x:v>
      </x:c>
      <x:c r="W633" s="154" t="str">
        <x:v>{"schema_version":1,"imei":"862323089930706","timestamp":1786022753,"report_sequence":27,"task_version":"rice_tension_soil_demo","sensor_mode":"tension_soil","soil_moisture_percent":41.3,"soil_temperature_c":25.4,"soil_ec_us_cm":875,"soil_ph":6.37,"battery_mv":3920,"csq":23,"soil_rs485_status":"ok","cycle_status":"ok","soil_tension_kpa":-36.3,"soil_tension_rs485_status":"ok"}</x:v>
      </x:c>
    </x:row>
    <x:row r="634">
      <x:c r="A634" s="72" t="n">
        <x:v>46240.89297453704</x:v>
      </x:c>
      <x:c r="B634" s="72" t="n">
        <x:v>46240.89298842593</x:v>
      </x:c>
      <x:c r="C634" s="32" t="str">
        <x:v>P07</x:v>
      </x:c>
      <x:c r="D634" s="32" t="str">
        <x:v>B2-W0-V1</x:v>
      </x:c>
      <x:c r="E634" s="32" t="str">
        <x:v>B2</x:v>
      </x:c>
      <x:c r="F634" s="32" t="str">
        <x:v>W0</x:v>
      </x:c>
      <x:c r="G634" s="32" t="str">
        <x:v>V1</x:v>
      </x:c>
      <x:c r="H634" s="32" t="str">
        <x:v>water_soil</x:v>
      </x:c>
      <x:c r="I634" s="32" t="str">
        <x:v>862323089930707</x:v>
      </x:c>
      <x:c r="J634" s="82" t="n">
        <x:v>41.1</x:v>
      </x:c>
      <x:c r="K634" s="82"/>
      <x:c r="L634" s="82" t="n">
        <x:v>42.6</x:v>
      </x:c>
      <x:c r="M634" s="82" t="n">
        <x:v>25.5</x:v>
      </x:c>
      <x:c r="N634" s="86" t="n">
        <x:v>893</x:v>
      </x:c>
      <x:c r="O634" s="90" t="n">
        <x:v>6.42</x:v>
      </x:c>
      <x:c r="P634" s="150" t="n">
        <x:v>3.938</x:v>
      </x:c>
      <x:c r="Q634" s="86" t="n">
        <x:v>24</x:v>
      </x:c>
      <x:c r="R634" s="32" t="str">
        <x:v>ok</x:v>
      </x:c>
      <x:c r="S634" s="32"/>
      <x:c r="T634" s="32" t="str">
        <x:v>ok</x:v>
      </x:c>
      <x:c r="U634" s="32" t="str">
        <x:v>ok</x:v>
      </x:c>
      <x:c r="V634" s="32" t="str">
        <x:v>ok</x:v>
      </x:c>
      <x:c r="W634" s="154" t="str">
        <x:v>{"schema_version":1,"imei":"862323089930707","timestamp":1786022753,"report_sequence":27,"task_version":"rice_w0_water_soil_demo","sensor_mode":"water_soil","soil_moisture_percent":42.6,"soil_temperature_c":25.5,"soil_ec_us_cm":893,"soil_ph":6.42,"battery_mv":3938,"csq":24,"soil_rs485_status":"ok","cycle_status":"ok","water_level_mm":41.1,"water_4_20ma_status":"ok"}</x:v>
      </x:c>
    </x:row>
    <x:row r="635">
      <x:c r="A635" s="72" t="n">
        <x:v>46240.89297453704</x:v>
      </x:c>
      <x:c r="B635" s="72" t="n">
        <x:v>46240.89298842593</x:v>
      </x:c>
      <x:c r="C635" s="32" t="str">
        <x:v>P08</x:v>
      </x:c>
      <x:c r="D635" s="32" t="str">
        <x:v>B2-W0-V2</x:v>
      </x:c>
      <x:c r="E635" s="32" t="str">
        <x:v>B2</x:v>
      </x:c>
      <x:c r="F635" s="32" t="str">
        <x:v>W0</x:v>
      </x:c>
      <x:c r="G635" s="32" t="str">
        <x:v>V2</x:v>
      </x:c>
      <x:c r="H635" s="32" t="str">
        <x:v>water_soil</x:v>
      </x:c>
      <x:c r="I635" s="32" t="str">
        <x:v>862323089930708</x:v>
      </x:c>
      <x:c r="J635" s="82" t="n">
        <x:v>32.7</x:v>
      </x:c>
      <x:c r="K635" s="82"/>
      <x:c r="L635" s="82" t="n">
        <x:v>35.9</x:v>
      </x:c>
      <x:c r="M635" s="82" t="n">
        <x:v>25.6</x:v>
      </x:c>
      <x:c r="N635" s="86" t="n">
        <x:v>909</x:v>
      </x:c>
      <x:c r="O635" s="90" t="n">
        <x:v>6.48</x:v>
      </x:c>
      <x:c r="P635" s="150" t="n">
        <x:v>3.956</x:v>
      </x:c>
      <x:c r="Q635" s="86" t="n">
        <x:v>17</x:v>
      </x:c>
      <x:c r="R635" s="32" t="str">
        <x:v>ok</x:v>
      </x:c>
      <x:c r="S635" s="32"/>
      <x:c r="T635" s="32" t="str">
        <x:v>ok</x:v>
      </x:c>
      <x:c r="U635" s="32" t="str">
        <x:v>ok</x:v>
      </x:c>
      <x:c r="V635" s="32" t="str">
        <x:v>ok</x:v>
      </x:c>
      <x:c r="W635" s="154" t="str">
        <x:v>{"schema_version":1,"imei":"862323089930708","timestamp":1786022753,"report_sequence":27,"task_version":"rice_w0_water_soil_demo","sensor_mode":"water_soil","soil_moisture_percent":35.9,"soil_temperature_c":25.6,"soil_ec_us_cm":909,"soil_ph":6.48,"battery_mv":3956,"csq":17,"soil_rs485_status":"ok","cycle_status":"ok","water_level_mm":32.7,"water_4_20ma_status":"ok"}</x:v>
      </x:c>
    </x:row>
    <x:row r="636">
      <x:c r="A636" s="72" t="n">
        <x:v>46240.89297453704</x:v>
      </x:c>
      <x:c r="B636" s="72" t="n">
        <x:v>46240.89298842593</x:v>
      </x:c>
      <x:c r="C636" s="32" t="str">
        <x:v>P09</x:v>
      </x:c>
      <x:c r="D636" s="32" t="str">
        <x:v>B2-W1-V1</x:v>
      </x:c>
      <x:c r="E636" s="32" t="str">
        <x:v>B2</x:v>
      </x:c>
      <x:c r="F636" s="32" t="str">
        <x:v>W1</x:v>
      </x:c>
      <x:c r="G636" s="32" t="str">
        <x:v>V1</x:v>
      </x:c>
      <x:c r="H636" s="32" t="str">
        <x:v>tension_soil</x:v>
      </x:c>
      <x:c r="I636" s="32" t="str">
        <x:v>862323089930709</x:v>
      </x:c>
      <x:c r="J636" s="82"/>
      <x:c r="K636" s="82" t="n">
        <x:v>-29</x:v>
      </x:c>
      <x:c r="L636" s="82" t="n">
        <x:v>37</x:v>
      </x:c>
      <x:c r="M636" s="82" t="n">
        <x:v>25.6</x:v>
      </x:c>
      <x:c r="N636" s="86" t="n">
        <x:v>923</x:v>
      </x:c>
      <x:c r="O636" s="90" t="n">
        <x:v>6.53</x:v>
      </x:c>
      <x:c r="P636" s="150" t="n">
        <x:v>3.974</x:v>
      </x:c>
      <x:c r="Q636" s="86" t="n">
        <x:v>18</x:v>
      </x:c>
      <x:c r="R636" s="32"/>
      <x:c r="S636" s="32" t="str">
        <x:v>ok</x:v>
      </x:c>
      <x:c r="T636" s="32" t="str">
        <x:v>ok</x:v>
      </x:c>
      <x:c r="U636" s="32" t="str">
        <x:v>ok</x:v>
      </x:c>
      <x:c r="V636" s="32" t="str">
        <x:v>ok</x:v>
      </x:c>
      <x:c r="W636" s="154" t="str">
        <x:v>{"schema_version":1,"imei":"862323089930709","timestamp":1786022753,"report_sequence":27,"task_version":"rice_tension_soil_demo","sensor_mode":"tension_soil","soil_moisture_percent":37,"soil_temperature_c":25.6,"soil_ec_us_cm":923,"soil_ph":6.53,"battery_mv":3974,"csq":18,"soil_rs485_status":"ok","cycle_status":"ok","soil_tension_kpa":-29,"soil_tension_rs485_status":"ok"}</x:v>
      </x:c>
    </x:row>
    <x:row r="637">
      <x:c r="A637" s="72" t="n">
        <x:v>46240.89297453704</x:v>
      </x:c>
      <x:c r="B637" s="72" t="n">
        <x:v>46240.89298842593</x:v>
      </x:c>
      <x:c r="C637" s="32" t="str">
        <x:v>P10</x:v>
      </x:c>
      <x:c r="D637" s="32" t="str">
        <x:v>B2-W1-V2</x:v>
      </x:c>
      <x:c r="E637" s="32" t="str">
        <x:v>B2</x:v>
      </x:c>
      <x:c r="F637" s="32" t="str">
        <x:v>W1</x:v>
      </x:c>
      <x:c r="G637" s="32" t="str">
        <x:v>V2</x:v>
      </x:c>
      <x:c r="H637" s="32" t="str">
        <x:v>tension_soil</x:v>
      </x:c>
      <x:c r="I637" s="32" t="str">
        <x:v>862323089930710</x:v>
      </x:c>
      <x:c r="J637" s="82"/>
      <x:c r="K637" s="82" t="n">
        <x:v>-25</x:v>
      </x:c>
      <x:c r="L637" s="82" t="n">
        <x:v>38</x:v>
      </x:c>
      <x:c r="M637" s="82" t="n">
        <x:v>25.6</x:v>
      </x:c>
      <x:c r="N637" s="86" t="n">
        <x:v>935</x:v>
      </x:c>
      <x:c r="O637" s="90" t="n">
        <x:v>6.33</x:v>
      </x:c>
      <x:c r="P637" s="150" t="n">
        <x:v>3.992</x:v>
      </x:c>
      <x:c r="Q637" s="86" t="n">
        <x:v>19</x:v>
      </x:c>
      <x:c r="R637" s="32"/>
      <x:c r="S637" s="32" t="str">
        <x:v>ok</x:v>
      </x:c>
      <x:c r="T637" s="32" t="str">
        <x:v>ok</x:v>
      </x:c>
      <x:c r="U637" s="32" t="str">
        <x:v>ok</x:v>
      </x:c>
      <x:c r="V637" s="32" t="str">
        <x:v>ok</x:v>
      </x:c>
      <x:c r="W637" s="154" t="str">
        <x:v>{"schema_version":1,"imei":"862323089930710","timestamp":1786022753,"report_sequence":27,"task_version":"rice_tension_soil_demo","sensor_mode":"tension_soil","soil_moisture_percent":38,"soil_temperature_c":25.6,"soil_ec_us_cm":935,"soil_ph":6.33,"battery_mv":3992,"csq":19,"soil_rs485_status":"ok","cycle_status":"ok","soil_tension_kpa":-25,"soil_tension_rs485_status":"ok"}</x:v>
      </x:c>
    </x:row>
    <x:row r="638">
      <x:c r="A638" s="72" t="n">
        <x:v>46240.89297453704</x:v>
      </x:c>
      <x:c r="B638" s="72" t="n">
        <x:v>46240.89298842593</x:v>
      </x:c>
      <x:c r="C638" s="32" t="str">
        <x:v>P11</x:v>
      </x:c>
      <x:c r="D638" s="32" t="str">
        <x:v>B2-W2-V1</x:v>
      </x:c>
      <x:c r="E638" s="32" t="str">
        <x:v>B2</x:v>
      </x:c>
      <x:c r="F638" s="32" t="str">
        <x:v>W2</x:v>
      </x:c>
      <x:c r="G638" s="32" t="str">
        <x:v>V1</x:v>
      </x:c>
      <x:c r="H638" s="32" t="str">
        <x:v>tension_soil</x:v>
      </x:c>
      <x:c r="I638" s="32" t="str">
        <x:v>862323089930711</x:v>
      </x:c>
      <x:c r="J638" s="82"/>
      <x:c r="K638" s="82" t="n">
        <x:v>-36.8</x:v>
      </x:c>
      <x:c r="L638" s="82" t="n">
        <x:v>38.8</x:v>
      </x:c>
      <x:c r="M638" s="82" t="n">
        <x:v>25.6</x:v>
      </x:c>
      <x:c r="N638" s="86" t="n">
        <x:v>944</x:v>
      </x:c>
      <x:c r="O638" s="90" t="n">
        <x:v>6.38</x:v>
      </x:c>
      <x:c r="P638" s="150" t="n">
        <x:v>4.01</x:v>
      </x:c>
      <x:c r="Q638" s="86" t="n">
        <x:v>20</x:v>
      </x:c>
      <x:c r="R638" s="32"/>
      <x:c r="S638" s="32" t="str">
        <x:v>ok</x:v>
      </x:c>
      <x:c r="T638" s="32" t="str">
        <x:v>ok</x:v>
      </x:c>
      <x:c r="U638" s="32" t="str">
        <x:v>ok</x:v>
      </x:c>
      <x:c r="V638" s="32" t="str">
        <x:v>ok</x:v>
      </x:c>
      <x:c r="W638" s="154" t="str">
        <x:v>{"schema_version":1,"imei":"862323089930711","timestamp":1786022753,"report_sequence":27,"task_version":"rice_tension_soil_demo","sensor_mode":"tension_soil","soil_moisture_percent":38.8,"soil_temperature_c":25.6,"soil_ec_us_cm":944,"soil_ph":6.38,"battery_mv":4010,"csq":20,"soil_rs485_status":"ok","cycle_status":"ok","soil_tension_kpa":-36.8,"soil_tension_rs485_status":"ok"}</x:v>
      </x:c>
    </x:row>
    <x:row r="639">
      <x:c r="A639" s="72" t="n">
        <x:v>46240.89297453704</x:v>
      </x:c>
      <x:c r="B639" s="72" t="n">
        <x:v>46240.89298842593</x:v>
      </x:c>
      <x:c r="C639" s="32" t="str">
        <x:v>P12</x:v>
      </x:c>
      <x:c r="D639" s="32" t="str">
        <x:v>B2-W2-V2</x:v>
      </x:c>
      <x:c r="E639" s="32" t="str">
        <x:v>B2</x:v>
      </x:c>
      <x:c r="F639" s="32" t="str">
        <x:v>W2</x:v>
      </x:c>
      <x:c r="G639" s="32" t="str">
        <x:v>V2</x:v>
      </x:c>
      <x:c r="H639" s="32" t="str">
        <x:v>tension_soil</x:v>
      </x:c>
      <x:c r="I639" s="32" t="str">
        <x:v>862323089930712</x:v>
      </x:c>
      <x:c r="J639" s="82"/>
      <x:c r="K639" s="82" t="n">
        <x:v>-37.6</x:v>
      </x:c>
      <x:c r="L639" s="82" t="n">
        <x:v>39.6</x:v>
      </x:c>
      <x:c r="M639" s="82" t="n">
        <x:v>25.5</x:v>
      </x:c>
      <x:c r="N639" s="86" t="n">
        <x:v>952</x:v>
      </x:c>
      <x:c r="O639" s="90" t="n">
        <x:v>6.42</x:v>
      </x:c>
      <x:c r="P639" s="150" t="n">
        <x:v>3.92</x:v>
      </x:c>
      <x:c r="Q639" s="86" t="n">
        <x:v>21</x:v>
      </x:c>
      <x:c r="R639" s="32"/>
      <x:c r="S639" s="32" t="str">
        <x:v>ok</x:v>
      </x:c>
      <x:c r="T639" s="32" t="str">
        <x:v>ok</x:v>
      </x:c>
      <x:c r="U639" s="32" t="str">
        <x:v>ok</x:v>
      </x:c>
      <x:c r="V639" s="32" t="str">
        <x:v>ok</x:v>
      </x:c>
      <x:c r="W639" s="154" t="str">
        <x:v>{"schema_version":1,"imei":"862323089930712","timestamp":1786022753,"report_sequence":27,"task_version":"rice_tension_soil_demo","sensor_mode":"tension_soil","soil_moisture_percent":39.6,"soil_temperature_c":25.5,"soil_ec_us_cm":952,"soil_ph":6.42,"battery_mv":3920,"csq":21,"soil_rs485_status":"ok","cycle_status":"ok","soil_tension_kpa":-37.6,"soil_tension_rs485_status":"ok"}</x:v>
      </x:c>
    </x:row>
    <x:row r="640">
      <x:c r="A640" s="72" t="n">
        <x:v>46240.89297453704</x:v>
      </x:c>
      <x:c r="B640" s="72" t="n">
        <x:v>46240.89298842593</x:v>
      </x:c>
      <x:c r="C640" s="32" t="str">
        <x:v>P13</x:v>
      </x:c>
      <x:c r="D640" s="32" t="str">
        <x:v>B3-W0-V1</x:v>
      </x:c>
      <x:c r="E640" s="32" t="str">
        <x:v>B3</x:v>
      </x:c>
      <x:c r="F640" s="32" t="str">
        <x:v>W0</x:v>
      </x:c>
      <x:c r="G640" s="32" t="str">
        <x:v>V1</x:v>
      </x:c>
      <x:c r="H640" s="32" t="str">
        <x:v>water_soil</x:v>
      </x:c>
      <x:c r="I640" s="32" t="str">
        <x:v>862323089930713</x:v>
      </x:c>
      <x:c r="J640" s="82" t="n">
        <x:v>34.1</x:v>
      </x:c>
      <x:c r="K640" s="82"/>
      <x:c r="L640" s="82" t="n">
        <x:v>40.2</x:v>
      </x:c>
      <x:c r="M640" s="82" t="n">
        <x:v>25.4</x:v>
      </x:c>
      <x:c r="N640" s="86" t="n">
        <x:v>958</x:v>
      </x:c>
      <x:c r="O640" s="90" t="n">
        <x:v>6.47</x:v>
      </x:c>
      <x:c r="P640" s="150" t="n">
        <x:v>3.938</x:v>
      </x:c>
      <x:c r="Q640" s="86" t="n">
        <x:v>22</x:v>
      </x:c>
      <x:c r="R640" s="32" t="str">
        <x:v>ok</x:v>
      </x:c>
      <x:c r="S640" s="32"/>
      <x:c r="T640" s="32" t="str">
        <x:v>ok</x:v>
      </x:c>
      <x:c r="U640" s="32" t="str">
        <x:v>ok</x:v>
      </x:c>
      <x:c r="V640" s="32" t="str">
        <x:v>ok</x:v>
      </x:c>
      <x:c r="W640" s="154" t="str">
        <x:v>{"schema_version":1,"imei":"862323089930713","timestamp":1786022753,"report_sequence":27,"task_version":"rice_w0_water_soil_demo","sensor_mode":"water_soil","soil_moisture_percent":40.2,"soil_temperature_c":25.4,"soil_ec_us_cm":958,"soil_ph":6.47,"battery_mv":3938,"csq":22,"soil_rs485_status":"ok","cycle_status":"ok","water_level_mm":34.1,"water_4_20ma_status":"ok"}</x:v>
      </x:c>
    </x:row>
    <x:row r="641">
      <x:c r="A641" s="72" t="n">
        <x:v>46240.89297453704</x:v>
      </x:c>
      <x:c r="B641" s="72" t="n">
        <x:v>46240.89298842593</x:v>
      </x:c>
      <x:c r="C641" s="32" t="str">
        <x:v>P14</x:v>
      </x:c>
      <x:c r="D641" s="32" t="str">
        <x:v>B3-W0-V2</x:v>
      </x:c>
      <x:c r="E641" s="32" t="str">
        <x:v>B3</x:v>
      </x:c>
      <x:c r="F641" s="32" t="str">
        <x:v>W0</x:v>
      </x:c>
      <x:c r="G641" s="32" t="str">
        <x:v>V2</x:v>
      </x:c>
      <x:c r="H641" s="32" t="str">
        <x:v>water_soil</x:v>
      </x:c>
      <x:c r="I641" s="32" t="str">
        <x:v>862323089930714</x:v>
      </x:c>
      <x:c r="J641" s="82" t="n">
        <x:v>36.1</x:v>
      </x:c>
      <x:c r="K641" s="82"/>
      <x:c r="L641" s="82" t="n">
        <x:v>40.8</x:v>
      </x:c>
      <x:c r="M641" s="82" t="n">
        <x:v>25.3</x:v>
      </x:c>
      <x:c r="N641" s="86" t="n">
        <x:v>962</x:v>
      </x:c>
      <x:c r="O641" s="90" t="n">
        <x:v>6.51</x:v>
      </x:c>
      <x:c r="P641" s="150" t="n">
        <x:v>3.956</x:v>
      </x:c>
      <x:c r="Q641" s="86" t="n">
        <x:v>23</x:v>
      </x:c>
      <x:c r="R641" s="32" t="str">
        <x:v>ok</x:v>
      </x:c>
      <x:c r="S641" s="32"/>
      <x:c r="T641" s="32" t="str">
        <x:v>ok</x:v>
      </x:c>
      <x:c r="U641" s="32" t="str">
        <x:v>ok</x:v>
      </x:c>
      <x:c r="V641" s="32" t="str">
        <x:v>ok</x:v>
      </x:c>
      <x:c r="W641" s="154" t="str">
        <x:v>{"schema_version":1,"imei":"862323089930714","timestamp":1786022753,"report_sequence":27,"task_version":"rice_w0_water_soil_demo","sensor_mode":"water_soil","soil_moisture_percent":40.8,"soil_temperature_c":25.3,"soil_ec_us_cm":962,"soil_ph":6.51,"battery_mv":3956,"csq":23,"soil_rs485_status":"ok","cycle_status":"ok","water_level_mm":36.1,"water_4_20ma_status":"ok"}</x:v>
      </x:c>
    </x:row>
    <x:row r="642">
      <x:c r="A642" s="72" t="n">
        <x:v>46240.89297453704</x:v>
      </x:c>
      <x:c r="B642" s="72" t="n">
        <x:v>46240.89298842593</x:v>
      </x:c>
      <x:c r="C642" s="32" t="str">
        <x:v>P15</x:v>
      </x:c>
      <x:c r="D642" s="32" t="str">
        <x:v>B3-W1-V1</x:v>
      </x:c>
      <x:c r="E642" s="32" t="str">
        <x:v>B3</x:v>
      </x:c>
      <x:c r="F642" s="32" t="str">
        <x:v>W1</x:v>
      </x:c>
      <x:c r="G642" s="32" t="str">
        <x:v>V1</x:v>
      </x:c>
      <x:c r="H642" s="32" t="str">
        <x:v>tension_soil</x:v>
      </x:c>
      <x:c r="I642" s="32" t="str">
        <x:v>862323089930715</x:v>
      </x:c>
      <x:c r="J642" s="82"/>
      <x:c r="K642" s="82" t="n">
        <x:v>-23.3</x:v>
      </x:c>
      <x:c r="L642" s="82" t="n">
        <x:v>41.3</x:v>
      </x:c>
      <x:c r="M642" s="82" t="n">
        <x:v>25.2</x:v>
      </x:c>
      <x:c r="N642" s="86" t="n">
        <x:v>966</x:v>
      </x:c>
      <x:c r="O642" s="90" t="n">
        <x:v>6.31</x:v>
      </x:c>
      <x:c r="P642" s="150" t="n">
        <x:v>3.974</x:v>
      </x:c>
      <x:c r="Q642" s="86" t="n">
        <x:v>24</x:v>
      </x:c>
      <x:c r="R642" s="32"/>
      <x:c r="S642" s="32" t="str">
        <x:v>ok</x:v>
      </x:c>
      <x:c r="T642" s="32" t="str">
        <x:v>ok</x:v>
      </x:c>
      <x:c r="U642" s="32" t="str">
        <x:v>ok</x:v>
      </x:c>
      <x:c r="V642" s="32" t="str">
        <x:v>ok</x:v>
      </x:c>
      <x:c r="W642" s="154" t="str">
        <x:v>{"schema_version":1,"imei":"862323089930715","timestamp":1786022753,"report_sequence":27,"task_version":"rice_tension_soil_demo","sensor_mode":"tension_soil","soil_moisture_percent":41.3,"soil_temperature_c":25.2,"soil_ec_us_cm":966,"soil_ph":6.31,"battery_mv":3974,"csq":24,"soil_rs485_status":"ok","cycle_status":"ok","soil_tension_kpa":-23.3,"soil_tension_rs485_status":"ok"}</x:v>
      </x:c>
    </x:row>
    <x:row r="643">
      <x:c r="A643" s="72" t="n">
        <x:v>46240.89297453704</x:v>
      </x:c>
      <x:c r="B643" s="72" t="n">
        <x:v>46240.89298842593</x:v>
      </x:c>
      <x:c r="C643" s="32" t="str">
        <x:v>P16</x:v>
      </x:c>
      <x:c r="D643" s="32" t="str">
        <x:v>B3-W1-V2</x:v>
      </x:c>
      <x:c r="E643" s="32" t="str">
        <x:v>B3</x:v>
      </x:c>
      <x:c r="F643" s="32" t="str">
        <x:v>W1</x:v>
      </x:c>
      <x:c r="G643" s="32" t="str">
        <x:v>V2</x:v>
      </x:c>
      <x:c r="H643" s="32" t="str">
        <x:v>tension_soil</x:v>
      </x:c>
      <x:c r="I643" s="32" t="str">
        <x:v>862323089930716</x:v>
      </x:c>
      <x:c r="J643" s="82"/>
      <x:c r="K643" s="82" t="n">
        <x:v>-23.8</x:v>
      </x:c>
      <x:c r="L643" s="82" t="n">
        <x:v>33.8</x:v>
      </x:c>
      <x:c r="M643" s="82" t="n">
        <x:v>25.1</x:v>
      </x:c>
      <x:c r="N643" s="86" t="n">
        <x:v>969</x:v>
      </x:c>
      <x:c r="O643" s="90" t="n">
        <x:v>6.35</x:v>
      </x:c>
      <x:c r="P643" s="150" t="n">
        <x:v>3.992</x:v>
      </x:c>
      <x:c r="Q643" s="86" t="n">
        <x:v>17</x:v>
      </x:c>
      <x:c r="R643" s="32"/>
      <x:c r="S643" s="32" t="str">
        <x:v>ok</x:v>
      </x:c>
      <x:c r="T643" s="32" t="str">
        <x:v>ok</x:v>
      </x:c>
      <x:c r="U643" s="32" t="str">
        <x:v>ok</x:v>
      </x:c>
      <x:c r="V643" s="32" t="str">
        <x:v>ok</x:v>
      </x:c>
      <x:c r="W643" s="154" t="str">
        <x:v>{"schema_version":1,"imei":"862323089930716","timestamp":1786022753,"report_sequence":27,"task_version":"rice_tension_soil_demo","sensor_mode":"tension_soil","soil_moisture_percent":33.8,"soil_temperature_c":25.1,"soil_ec_us_cm":969,"soil_ph":6.35,"battery_mv":3992,"csq":17,"soil_rs485_status":"ok","cycle_status":"ok","soil_tension_kpa":-23.8,"soil_tension_rs485_status":"ok"}</x:v>
      </x:c>
    </x:row>
    <x:row r="644">
      <x:c r="A644" s="72" t="n">
        <x:v>46240.89297453704</x:v>
      </x:c>
      <x:c r="B644" s="72" t="n">
        <x:v>46240.89298842593</x:v>
      </x:c>
      <x:c r="C644" s="32" t="str">
        <x:v>P17</x:v>
      </x:c>
      <x:c r="D644" s="32" t="str">
        <x:v>B3-W2-V1</x:v>
      </x:c>
      <x:c r="E644" s="32" t="str">
        <x:v>B3</x:v>
      </x:c>
      <x:c r="F644" s="32" t="str">
        <x:v>W2</x:v>
      </x:c>
      <x:c r="G644" s="32" t="str">
        <x:v>V1</x:v>
      </x:c>
      <x:c r="H644" s="32" t="str">
        <x:v>tension_soil</x:v>
      </x:c>
      <x:c r="I644" s="32" t="str">
        <x:v>862323089930717</x:v>
      </x:c>
      <x:c r="J644" s="82"/>
      <x:c r="K644" s="82" t="n">
        <x:v>-35.4</x:v>
      </x:c>
      <x:c r="L644" s="82" t="n">
        <x:v>34.4</x:v>
      </x:c>
      <x:c r="M644" s="82" t="n">
        <x:v>24.9</x:v>
      </x:c>
      <x:c r="N644" s="86" t="n">
        <x:v>973</x:v>
      </x:c>
      <x:c r="O644" s="90" t="n">
        <x:v>6.39</x:v>
      </x:c>
      <x:c r="P644" s="150" t="n">
        <x:v>4.01</x:v>
      </x:c>
      <x:c r="Q644" s="86" t="n">
        <x:v>18</x:v>
      </x:c>
      <x:c r="R644" s="32"/>
      <x:c r="S644" s="32" t="str">
        <x:v>ok</x:v>
      </x:c>
      <x:c r="T644" s="32" t="str">
        <x:v>ok</x:v>
      </x:c>
      <x:c r="U644" s="32" t="str">
        <x:v>ok</x:v>
      </x:c>
      <x:c r="V644" s="32" t="str">
        <x:v>ok</x:v>
      </x:c>
      <x:c r="W644" s="154" t="str">
        <x:v>{"schema_version":1,"imei":"862323089930717","timestamp":1786022753,"report_sequence":27,"task_version":"rice_tension_soil_demo","sensor_mode":"tension_soil","soil_moisture_percent":34.4,"soil_temperature_c":24.9,"soil_ec_us_cm":973,"soil_ph":6.39,"battery_mv":4010,"csq":18,"soil_rs485_status":"ok","cycle_status":"ok","soil_tension_kpa":-35.4,"soil_tension_rs485_status":"ok"}</x:v>
      </x:c>
    </x:row>
    <x:row r="645">
      <x:c r="A645" s="72" t="n">
        <x:v>46240.89297453704</x:v>
      </x:c>
      <x:c r="B645" s="72" t="n">
        <x:v>46240.89298842593</x:v>
      </x:c>
      <x:c r="C645" s="32" t="str">
        <x:v>P18</x:v>
      </x:c>
      <x:c r="D645" s="32" t="str">
        <x:v>B3-W2-V2</x:v>
      </x:c>
      <x:c r="E645" s="32" t="str">
        <x:v>B3</x:v>
      </x:c>
      <x:c r="F645" s="32" t="str">
        <x:v>W2</x:v>
      </x:c>
      <x:c r="G645" s="32" t="str">
        <x:v>V2</x:v>
      </x:c>
      <x:c r="H645" s="32" t="str">
        <x:v>tension_soil</x:v>
      </x:c>
      <x:c r="I645" s="32" t="str">
        <x:v>862323089930718</x:v>
      </x:c>
      <x:c r="J645" s="82"/>
      <x:c r="K645" s="82" t="n">
        <x:v>-35.9</x:v>
      </x:c>
      <x:c r="L645" s="82" t="n">
        <x:v>34.9</x:v>
      </x:c>
      <x:c r="M645" s="82" t="n">
        <x:v>24.8</x:v>
      </x:c>
      <x:c r="N645" s="86" t="n">
        <x:v>977</x:v>
      </x:c>
      <x:c r="O645" s="90" t="n">
        <x:v>6.43</x:v>
      </x:c>
      <x:c r="P645" s="150" t="n">
        <x:v>3.92</x:v>
      </x:c>
      <x:c r="Q645" s="86" t="n">
        <x:v>19</x:v>
      </x:c>
      <x:c r="R645" s="32"/>
      <x:c r="S645" s="32" t="str">
        <x:v>ok</x:v>
      </x:c>
      <x:c r="T645" s="32" t="str">
        <x:v>ok</x:v>
      </x:c>
      <x:c r="U645" s="32" t="str">
        <x:v>ok</x:v>
      </x:c>
      <x:c r="V645" s="32" t="str">
        <x:v>ok</x:v>
      </x:c>
      <x:c r="W645" s="154" t="str">
        <x:v>{"schema_version":1,"imei":"862323089930718","timestamp":1786022753,"report_sequence":27,"task_version":"rice_tension_soil_demo","sensor_mode":"tension_soil","soil_moisture_percent":34.9,"soil_temperature_c":24.8,"soil_ec_us_cm":977,"soil_ph":6.43,"battery_mv":3920,"csq":19,"soil_rs485_status":"ok","cycle_status":"ok","soil_tension_kpa":-35.9,"soil_tension_rs485_status":"ok"}</x:v>
      </x:c>
    </x:row>
    <x:row r="646">
      <x:c r="A646" s="72" t="n">
        <x:v>46240.89297453704</x:v>
      </x:c>
      <x:c r="B646" s="72" t="n">
        <x:v>46240.89298842593</x:v>
      </x:c>
      <x:c r="C646" s="32" t="str">
        <x:v>P19</x:v>
      </x:c>
      <x:c r="D646" s="32" t="str">
        <x:v>B4-W0-V1</x:v>
      </x:c>
      <x:c r="E646" s="32" t="str">
        <x:v>B4</x:v>
      </x:c>
      <x:c r="F646" s="32" t="str">
        <x:v>W0</x:v>
      </x:c>
      <x:c r="G646" s="32" t="str">
        <x:v>V1</x:v>
      </x:c>
      <x:c r="H646" s="32" t="str">
        <x:v>water_soil</x:v>
      </x:c>
      <x:c r="I646" s="32" t="str">
        <x:v>862323089930719</x:v>
      </x:c>
      <x:c r="J646" s="82" t="n">
        <x:v>33.3</x:v>
      </x:c>
      <x:c r="K646" s="82"/>
      <x:c r="L646" s="82" t="n">
        <x:v>35.5</x:v>
      </x:c>
      <x:c r="M646" s="82" t="n">
        <x:v>24.7</x:v>
      </x:c>
      <x:c r="N646" s="86" t="n">
        <x:v>982</x:v>
      </x:c>
      <x:c r="O646" s="90" t="n">
        <x:v>6.48</x:v>
      </x:c>
      <x:c r="P646" s="150" t="n">
        <x:v>3.938</x:v>
      </x:c>
      <x:c r="Q646" s="86" t="n">
        <x:v>20</x:v>
      </x:c>
      <x:c r="R646" s="32" t="str">
        <x:v>ok</x:v>
      </x:c>
      <x:c r="S646" s="32"/>
      <x:c r="T646" s="32" t="str">
        <x:v>ok</x:v>
      </x:c>
      <x:c r="U646" s="32" t="str">
        <x:v>ok</x:v>
      </x:c>
      <x:c r="V646" s="32" t="str">
        <x:v>ok</x:v>
      </x:c>
      <x:c r="W646" s="154" t="str">
        <x:v>{"schema_version":1,"imei":"862323089930719","timestamp":1786022753,"report_sequence":27,"task_version":"rice_w0_water_soil_demo","sensor_mode":"water_soil","soil_moisture_percent":35.5,"soil_temperature_c":24.7,"soil_ec_us_cm":982,"soil_ph":6.48,"battery_mv":3938,"csq":20,"soil_rs485_status":"ok","cycle_status":"ok","water_level_mm":33.3,"water_4_20ma_status":"ok"}</x:v>
      </x:c>
    </x:row>
    <x:row r="647">
      <x:c r="A647" s="72" t="n">
        <x:v>46240.89297453704</x:v>
      </x:c>
      <x:c r="B647" s="72" t="n">
        <x:v>46240.89298842593</x:v>
      </x:c>
      <x:c r="C647" s="32" t="str">
        <x:v>P20</x:v>
      </x:c>
      <x:c r="D647" s="32" t="str">
        <x:v>B4-W0-V2</x:v>
      </x:c>
      <x:c r="E647" s="32" t="str">
        <x:v>B4</x:v>
      </x:c>
      <x:c r="F647" s="32" t="str">
        <x:v>W0</x:v>
      </x:c>
      <x:c r="G647" s="32" t="str">
        <x:v>V2</x:v>
      </x:c>
      <x:c r="H647" s="32" t="str">
        <x:v>water_soil</x:v>
      </x:c>
      <x:c r="I647" s="32" t="str">
        <x:v>862323089930720</x:v>
      </x:c>
      <x:c r="J647" s="82" t="n">
        <x:v>23.6</x:v>
      </x:c>
      <x:c r="K647" s="82"/>
      <x:c r="L647" s="82" t="n">
        <x:v>36.2</x:v>
      </x:c>
      <x:c r="M647" s="82" t="n">
        <x:v>24.7</x:v>
      </x:c>
      <x:c r="N647" s="86" t="n">
        <x:v>989</x:v>
      </x:c>
      <x:c r="O647" s="90" t="n">
        <x:v>6.27</x:v>
      </x:c>
      <x:c r="P647" s="150" t="n">
        <x:v>3.956</x:v>
      </x:c>
      <x:c r="Q647" s="86" t="n">
        <x:v>21</x:v>
      </x:c>
      <x:c r="R647" s="32" t="str">
        <x:v>ok</x:v>
      </x:c>
      <x:c r="S647" s="32"/>
      <x:c r="T647" s="32" t="str">
        <x:v>ok</x:v>
      </x:c>
      <x:c r="U647" s="32" t="str">
        <x:v>ok</x:v>
      </x:c>
      <x:c r="V647" s="32" t="str">
        <x:v>ok</x:v>
      </x:c>
      <x:c r="W647" s="154" t="str">
        <x:v>{"schema_version":1,"imei":"862323089930720","timestamp":1786022753,"report_sequence":27,"task_version":"rice_w0_water_soil_demo","sensor_mode":"water_soil","soil_moisture_percent":36.2,"soil_temperature_c":24.7,"soil_ec_us_cm":989,"soil_ph":6.27,"battery_mv":3956,"csq":21,"soil_rs485_status":"ok","cycle_status":"ok","water_level_mm":23.6,"water_4_20ma_status":"ok"}</x:v>
      </x:c>
    </x:row>
    <x:row r="648">
      <x:c r="A648" s="72" t="n">
        <x:v>46240.89297453704</x:v>
      </x:c>
      <x:c r="B648" s="72" t="n">
        <x:v>46240.89298842593</x:v>
      </x:c>
      <x:c r="C648" s="32" t="str">
        <x:v>P21</x:v>
      </x:c>
      <x:c r="D648" s="32" t="str">
        <x:v>B4-W1-V1</x:v>
      </x:c>
      <x:c r="E648" s="32" t="str">
        <x:v>B4</x:v>
      </x:c>
      <x:c r="F648" s="32" t="str">
        <x:v>W1</x:v>
      </x:c>
      <x:c r="G648" s="32" t="str">
        <x:v>V1</x:v>
      </x:c>
      <x:c r="H648" s="32" t="str">
        <x:v>tension_soil</x:v>
      </x:c>
      <x:c r="I648" s="32" t="str">
        <x:v>862323089930721</x:v>
      </x:c>
      <x:c r="J648" s="82"/>
      <x:c r="K648" s="82" t="n">
        <x:v>-22.1</x:v>
      </x:c>
      <x:c r="L648" s="82" t="n">
        <x:v>37.1</x:v>
      </x:c>
      <x:c r="M648" s="82" t="n">
        <x:v>24.6</x:v>
      </x:c>
      <x:c r="N648" s="86" t="n">
        <x:v>998</x:v>
      </x:c>
      <x:c r="O648" s="90" t="n">
        <x:v>6.32</x:v>
      </x:c>
      <x:c r="P648" s="150" t="n">
        <x:v>3.974</x:v>
      </x:c>
      <x:c r="Q648" s="86" t="n">
        <x:v>22</x:v>
      </x:c>
      <x:c r="R648" s="32"/>
      <x:c r="S648" s="32" t="str">
        <x:v>ok</x:v>
      </x:c>
      <x:c r="T648" s="32" t="str">
        <x:v>ok</x:v>
      </x:c>
      <x:c r="U648" s="32" t="str">
        <x:v>ok</x:v>
      </x:c>
      <x:c r="V648" s="32" t="str">
        <x:v>ok</x:v>
      </x:c>
      <x:c r="W648" s="154" t="str">
        <x:v>{"schema_version":1,"imei":"862323089930721","timestamp":1786022753,"report_sequence":27,"task_version":"rice_tension_soil_demo","sensor_mode":"tension_soil","soil_moisture_percent":37.1,"soil_temperature_c":24.6,"soil_ec_us_cm":998,"soil_ph":6.32,"battery_mv":3974,"csq":22,"soil_rs485_status":"ok","cycle_status":"ok","soil_tension_kpa":-22.1,"soil_tension_rs485_status":"ok"}</x:v>
      </x:c>
    </x:row>
    <x:row r="649">
      <x:c r="A649" s="72" t="n">
        <x:v>46240.89297453704</x:v>
      </x:c>
      <x:c r="B649" s="72" t="n">
        <x:v>46240.89298842593</x:v>
      </x:c>
      <x:c r="C649" s="32" t="str">
        <x:v>P22</x:v>
      </x:c>
      <x:c r="D649" s="32" t="str">
        <x:v>B4-W1-V2</x:v>
      </x:c>
      <x:c r="E649" s="32" t="str">
        <x:v>B4</x:v>
      </x:c>
      <x:c r="F649" s="32" t="str">
        <x:v>W1</x:v>
      </x:c>
      <x:c r="G649" s="32" t="str">
        <x:v>V2</x:v>
      </x:c>
      <x:c r="H649" s="32" t="str">
        <x:v>tension_soil</x:v>
      </x:c>
      <x:c r="I649" s="32" t="str">
        <x:v>862323089930722</x:v>
      </x:c>
      <x:c r="J649" s="82"/>
      <x:c r="K649" s="82" t="n">
        <x:v>-23</x:v>
      </x:c>
      <x:c r="L649" s="82" t="n">
        <x:v>38</x:v>
      </x:c>
      <x:c r="M649" s="82" t="n">
        <x:v>24.6</x:v>
      </x:c>
      <x:c r="N649" s="86" t="n">
        <x:v>1009</x:v>
      </x:c>
      <x:c r="O649" s="90" t="n">
        <x:v>6.37</x:v>
      </x:c>
      <x:c r="P649" s="150" t="n">
        <x:v>3.992</x:v>
      </x:c>
      <x:c r="Q649" s="86" t="n">
        <x:v>23</x:v>
      </x:c>
      <x:c r="R649" s="32"/>
      <x:c r="S649" s="32" t="str">
        <x:v>ok</x:v>
      </x:c>
      <x:c r="T649" s="32" t="str">
        <x:v>ok</x:v>
      </x:c>
      <x:c r="U649" s="32" t="str">
        <x:v>ok</x:v>
      </x:c>
      <x:c r="V649" s="32" t="str">
        <x:v>ok</x:v>
      </x:c>
      <x:c r="W649" s="154" t="str">
        <x:v>{"schema_version":1,"imei":"862323089930722","timestamp":1786022753,"report_sequence":27,"task_version":"rice_tension_soil_demo","sensor_mode":"tension_soil","soil_moisture_percent":38,"soil_temperature_c":24.6,"soil_ec_us_cm":1009,"soil_ph":6.37,"battery_mv":3992,"csq":23,"soil_rs485_status":"ok","cycle_status":"ok","soil_tension_kpa":-23,"soil_tension_rs485_status":"ok"}</x:v>
      </x:c>
    </x:row>
    <x:row r="650">
      <x:c r="A650" s="72" t="n">
        <x:v>46240.89297453704</x:v>
      </x:c>
      <x:c r="B650" s="72" t="n">
        <x:v>46240.89298842593</x:v>
      </x:c>
      <x:c r="C650" s="32" t="str">
        <x:v>P23</x:v>
      </x:c>
      <x:c r="D650" s="32" t="str">
        <x:v>B4-W2-V1</x:v>
      </x:c>
      <x:c r="E650" s="32" t="str">
        <x:v>B4</x:v>
      </x:c>
      <x:c r="F650" s="32" t="str">
        <x:v>W2</x:v>
      </x:c>
      <x:c r="G650" s="32" t="str">
        <x:v>V1</x:v>
      </x:c>
      <x:c r="H650" s="32" t="str">
        <x:v>tension_soil</x:v>
      </x:c>
      <x:c r="I650" s="32" t="str">
        <x:v>862323089930723</x:v>
      </x:c>
      <x:c r="J650" s="82"/>
      <x:c r="K650" s="82" t="n">
        <x:v>-35.1</x:v>
      </x:c>
      <x:c r="L650" s="82" t="n">
        <x:v>39.1</x:v>
      </x:c>
      <x:c r="M650" s="82" t="n">
        <x:v>24.6</x:v>
      </x:c>
      <x:c r="N650" s="86" t="n">
        <x:v>1022</x:v>
      </x:c>
      <x:c r="O650" s="90" t="n">
        <x:v>6.42</x:v>
      </x:c>
      <x:c r="P650" s="150" t="n">
        <x:v>4.01</x:v>
      </x:c>
      <x:c r="Q650" s="86" t="n">
        <x:v>24</x:v>
      </x:c>
      <x:c r="R650" s="32"/>
      <x:c r="S650" s="32" t="str">
        <x:v>ok</x:v>
      </x:c>
      <x:c r="T650" s="32" t="str">
        <x:v>ok</x:v>
      </x:c>
      <x:c r="U650" s="32" t="str">
        <x:v>ok</x:v>
      </x:c>
      <x:c r="V650" s="32" t="str">
        <x:v>ok</x:v>
      </x:c>
      <x:c r="W650" s="154" t="str">
        <x:v>{"schema_version":1,"imei":"862323089930723","timestamp":1786022753,"report_sequence":27,"task_version":"rice_tension_soil_demo","sensor_mode":"tension_soil","soil_moisture_percent":39.1,"soil_temperature_c":24.6,"soil_ec_us_cm":1022,"soil_ph":6.42,"battery_mv":4010,"csq":24,"soil_rs485_status":"ok","cycle_status":"ok","soil_tension_kpa":-35.1,"soil_tension_rs485_status":"ok"}</x:v>
      </x:c>
    </x:row>
    <x:row r="651">
      <x:c r="A651" s="72" t="n">
        <x:v>46240.89297453704</x:v>
      </x:c>
      <x:c r="B651" s="72" t="n">
        <x:v>46240.89298842593</x:v>
      </x:c>
      <x:c r="C651" s="32" t="str">
        <x:v>P24</x:v>
      </x:c>
      <x:c r="D651" s="32" t="str">
        <x:v>B4-W2-V2</x:v>
      </x:c>
      <x:c r="E651" s="32" t="str">
        <x:v>B4</x:v>
      </x:c>
      <x:c r="F651" s="32" t="str">
        <x:v>W2</x:v>
      </x:c>
      <x:c r="G651" s="32" t="str">
        <x:v>V2</x:v>
      </x:c>
      <x:c r="H651" s="32" t="str">
        <x:v>tension_soil</x:v>
      </x:c>
      <x:c r="I651" s="32" t="str">
        <x:v>862323089930724</x:v>
      </x:c>
      <x:c r="J651" s="82"/>
      <x:c r="K651" s="82" t="n">
        <x:v>-36.2</x:v>
      </x:c>
      <x:c r="L651" s="82" t="n">
        <x:v>32.2</x:v>
      </x:c>
      <x:c r="M651" s="82" t="n">
        <x:v>24.7</x:v>
      </x:c>
      <x:c r="N651" s="86" t="n">
        <x:v>1037</x:v>
      </x:c>
      <x:c r="O651" s="90" t="n">
        <x:v>6.47</x:v>
      </x:c>
      <x:c r="P651" s="150" t="n">
        <x:v>3.92</x:v>
      </x:c>
      <x:c r="Q651" s="86" t="n">
        <x:v>17</x:v>
      </x:c>
      <x:c r="R651" s="32"/>
      <x:c r="S651" s="32" t="str">
        <x:v>ok</x:v>
      </x:c>
      <x:c r="T651" s="32" t="str">
        <x:v>ok</x:v>
      </x:c>
      <x:c r="U651" s="32" t="str">
        <x:v>ok</x:v>
      </x:c>
      <x:c r="V651" s="32" t="str">
        <x:v>ok</x:v>
      </x:c>
      <x:c r="W651" s="154" t="str">
        <x:v>{"schema_version":1,"imei":"862323089930724","timestamp":1786022753,"report_sequence":27,"task_version":"rice_tension_soil_demo","sensor_mode":"tension_soil","soil_moisture_percent":32.2,"soil_temperature_c":24.7,"soil_ec_us_cm":1037,"soil_ph":6.47,"battery_mv":3920,"csq":17,"soil_rs485_status":"ok","cycle_status":"ok","soil_tension_kpa":-36.2,"soil_tension_rs485_status":"ok"}</x:v>
      </x:c>
    </x:row>
    <x:row r="652">
      <x:c r="A652" s="72" t="n">
        <x:v>46240.89644675926</x:v>
      </x:c>
      <x:c r="B652" s="72" t="n">
        <x:v>46240.896460648146</x:v>
      </x:c>
      <x:c r="C652" s="32" t="str">
        <x:v>P01</x:v>
      </x:c>
      <x:c r="D652" s="32" t="str">
        <x:v>B1-W0-V1</x:v>
      </x:c>
      <x:c r="E652" s="32" t="str">
        <x:v>B1</x:v>
      </x:c>
      <x:c r="F652" s="32" t="str">
        <x:v>W0</x:v>
      </x:c>
      <x:c r="G652" s="32" t="str">
        <x:v>V1</x:v>
      </x:c>
      <x:c r="H652" s="32" t="str">
        <x:v>water_soil</x:v>
      </x:c>
      <x:c r="I652" s="32" t="str">
        <x:v>862323089930701</x:v>
      </x:c>
      <x:c r="J652" s="82" t="n">
        <x:v>27.5</x:v>
      </x:c>
      <x:c r="K652" s="82"/>
      <x:c r="L652" s="82" t="n">
        <x:v>33.6</x:v>
      </x:c>
      <x:c r="M652" s="82" t="n">
        <x:v>24.7</x:v>
      </x:c>
      <x:c r="N652" s="86" t="n">
        <x:v>767</x:v>
      </x:c>
      <x:c r="O652" s="90" t="n">
        <x:v>6.33</x:v>
      </x:c>
      <x:c r="P652" s="150" t="n">
        <x:v>3.938</x:v>
      </x:c>
      <x:c r="Q652" s="86" t="n">
        <x:v>18</x:v>
      </x:c>
      <x:c r="R652" s="32" t="str">
        <x:v>ok</x:v>
      </x:c>
      <x:c r="S652" s="32"/>
      <x:c r="T652" s="32" t="str">
        <x:v>ok</x:v>
      </x:c>
      <x:c r="U652" s="32" t="str">
        <x:v>ok</x:v>
      </x:c>
      <x:c r="V652" s="32" t="str">
        <x:v>ok</x:v>
      </x:c>
      <x:c r="W652" s="154" t="str">
        <x:v>{"schema_version":1,"imei":"862323089930701","timestamp":1786023053,"report_sequence":28,"task_version":"rice_w0_water_soil_demo","sensor_mode":"water_soil","soil_moisture_percent":33.6,"soil_temperature_c":24.7,"soil_ec_us_cm":767,"soil_ph":6.33,"battery_mv":3938,"csq":18,"soil_rs485_status":"ok","cycle_status":"ok","water_level_mm":27.5,"water_4_20ma_status":"ok"}</x:v>
      </x:c>
    </x:row>
    <x:row r="653">
      <x:c r="A653" s="72" t="n">
        <x:v>46240.89644675926</x:v>
      </x:c>
      <x:c r="B653" s="72" t="n">
        <x:v>46240.896460648146</x:v>
      </x:c>
      <x:c r="C653" s="32" t="str">
        <x:v>P02</x:v>
      </x:c>
      <x:c r="D653" s="32" t="str">
        <x:v>B1-W0-V2</x:v>
      </x:c>
      <x:c r="E653" s="32" t="str">
        <x:v>B1</x:v>
      </x:c>
      <x:c r="F653" s="32" t="str">
        <x:v>W0</x:v>
      </x:c>
      <x:c r="G653" s="32" t="str">
        <x:v>V2</x:v>
      </x:c>
      <x:c r="H653" s="32" t="str">
        <x:v>water_soil</x:v>
      </x:c>
      <x:c r="I653" s="32" t="str">
        <x:v>862323089930702</x:v>
      </x:c>
      <x:c r="J653" s="82" t="n">
        <x:v>31.5</x:v>
      </x:c>
      <x:c r="K653" s="82"/>
      <x:c r="L653" s="82" t="n">
        <x:v>35</x:v>
      </x:c>
      <x:c r="M653" s="82" t="n">
        <x:v>24.8</x:v>
      </x:c>
      <x:c r="N653" s="86" t="n">
        <x:v>786</x:v>
      </x:c>
      <x:c r="O653" s="90" t="n">
        <x:v>6.38</x:v>
      </x:c>
      <x:c r="P653" s="150" t="n">
        <x:v>3.956</x:v>
      </x:c>
      <x:c r="Q653" s="86" t="n">
        <x:v>19</x:v>
      </x:c>
      <x:c r="R653" s="32" t="str">
        <x:v>ok</x:v>
      </x:c>
      <x:c r="S653" s="32"/>
      <x:c r="T653" s="32" t="str">
        <x:v>ok</x:v>
      </x:c>
      <x:c r="U653" s="32" t="str">
        <x:v>ok</x:v>
      </x:c>
      <x:c r="V653" s="32" t="str">
        <x:v>ok</x:v>
      </x:c>
      <x:c r="W653" s="154" t="str">
        <x:v>{"schema_version":1,"imei":"862323089930702","timestamp":1786023053,"report_sequence":28,"task_version":"rice_w0_water_soil_demo","sensor_mode":"water_soil","soil_moisture_percent":35,"soil_temperature_c":24.8,"soil_ec_us_cm":786,"soil_ph":6.38,"battery_mv":3956,"csq":19,"soil_rs485_status":"ok","cycle_status":"ok","water_level_mm":31.5,"water_4_20ma_status":"ok"}</x:v>
      </x:c>
    </x:row>
    <x:row r="654">
      <x:c r="A654" s="72" t="n">
        <x:v>46240.89644675926</x:v>
      </x:c>
      <x:c r="B654" s="72" t="n">
        <x:v>46240.896460648146</x:v>
      </x:c>
      <x:c r="C654" s="32" t="str">
        <x:v>P03</x:v>
      </x:c>
      <x:c r="D654" s="32" t="str">
        <x:v>B1-W1-V1</x:v>
      </x:c>
      <x:c r="E654" s="32" t="str">
        <x:v>B1</x:v>
      </x:c>
      <x:c r="F654" s="32" t="str">
        <x:v>W1</x:v>
      </x:c>
      <x:c r="G654" s="32" t="str">
        <x:v>V1</x:v>
      </x:c>
      <x:c r="H654" s="32" t="str">
        <x:v>tension_soil</x:v>
      </x:c>
      <x:c r="I654" s="32" t="str">
        <x:v>862323089930703</x:v>
      </x:c>
      <x:c r="J654" s="82"/>
      <x:c r="K654" s="82" t="n">
        <x:v>-25.4</x:v>
      </x:c>
      <x:c r="L654" s="82" t="n">
        <x:v>36.4</x:v>
      </x:c>
      <x:c r="M654" s="82" t="n">
        <x:v>25</x:v>
      </x:c>
      <x:c r="N654" s="86" t="n">
        <x:v>806</x:v>
      </x:c>
      <x:c r="O654" s="90" t="n">
        <x:v>6.44</x:v>
      </x:c>
      <x:c r="P654" s="150" t="n">
        <x:v>3.974</x:v>
      </x:c>
      <x:c r="Q654" s="86" t="n">
        <x:v>20</x:v>
      </x:c>
      <x:c r="R654" s="32"/>
      <x:c r="S654" s="32" t="str">
        <x:v>ok</x:v>
      </x:c>
      <x:c r="T654" s="32" t="str">
        <x:v>ok</x:v>
      </x:c>
      <x:c r="U654" s="32" t="str">
        <x:v>ok</x:v>
      </x:c>
      <x:c r="V654" s="32" t="str">
        <x:v>ok</x:v>
      </x:c>
      <x:c r="W654" s="154" t="str">
        <x:v>{"schema_version":1,"imei":"862323089930703","timestamp":1786023053,"report_sequence":28,"task_version":"rice_tension_soil_demo","sensor_mode":"tension_soil","soil_moisture_percent":36.4,"soil_temperature_c":25,"soil_ec_us_cm":806,"soil_ph":6.44,"battery_mv":3974,"csq":20,"soil_rs485_status":"ok","cycle_status":"ok","soil_tension_kpa":-25.4,"soil_tension_rs485_status":"ok"}</x:v>
      </x:c>
    </x:row>
    <x:row r="655">
      <x:c r="A655" s="72" t="n">
        <x:v>46240.89644675926</x:v>
      </x:c>
      <x:c r="B655" s="72" t="n">
        <x:v>46240.896460648146</x:v>
      </x:c>
      <x:c r="C655" s="32" t="str">
        <x:v>P04</x:v>
      </x:c>
      <x:c r="D655" s="32" t="str">
        <x:v>B1-W1-V2</x:v>
      </x:c>
      <x:c r="E655" s="32" t="str">
        <x:v>B1</x:v>
      </x:c>
      <x:c r="F655" s="32" t="str">
        <x:v>W1</x:v>
      </x:c>
      <x:c r="G655" s="32" t="str">
        <x:v>V2</x:v>
      </x:c>
      <x:c r="H655" s="32" t="str">
        <x:v>tension_soil</x:v>
      </x:c>
      <x:c r="I655" s="32" t="str">
        <x:v>862323089930704</x:v>
      </x:c>
      <x:c r="J655" s="82"/>
      <x:c r="K655" s="82" t="n">
        <x:v>-26.9</x:v>
      </x:c>
      <x:c r="L655" s="82" t="n">
        <x:v>37.9</x:v>
      </x:c>
      <x:c r="M655" s="82" t="n">
        <x:v>25.1</x:v>
      </x:c>
      <x:c r="N655" s="86" t="n">
        <x:v>827</x:v>
      </x:c>
      <x:c r="O655" s="90" t="n">
        <x:v>6.5</x:v>
      </x:c>
      <x:c r="P655" s="150" t="n">
        <x:v>3.992</x:v>
      </x:c>
      <x:c r="Q655" s="86" t="n">
        <x:v>21</x:v>
      </x:c>
      <x:c r="R655" s="32"/>
      <x:c r="S655" s="32" t="str">
        <x:v>ok</x:v>
      </x:c>
      <x:c r="T655" s="32" t="str">
        <x:v>ok</x:v>
      </x:c>
      <x:c r="U655" s="32" t="str">
        <x:v>ok</x:v>
      </x:c>
      <x:c r="V655" s="32" t="str">
        <x:v>ok</x:v>
      </x:c>
      <x:c r="W655" s="154" t="str">
        <x:v>{"schema_version":1,"imei":"862323089930704","timestamp":1786023053,"report_sequence":28,"task_version":"rice_tension_soil_demo","sensor_mode":"tension_soil","soil_moisture_percent":37.9,"soil_temperature_c":25.1,"soil_ec_us_cm":827,"soil_ph":6.5,"battery_mv":3992,"csq":21,"soil_rs485_status":"ok","cycle_status":"ok","soil_tension_kpa":-26.9,"soil_tension_rs485_status":"ok"}</x:v>
      </x:c>
    </x:row>
    <x:row r="656">
      <x:c r="A656" s="72" t="n">
        <x:v>46240.89644675926</x:v>
      </x:c>
      <x:c r="B656" s="72" t="n">
        <x:v>46240.896460648146</x:v>
      </x:c>
      <x:c r="C656" s="32" t="str">
        <x:v>P05</x:v>
      </x:c>
      <x:c r="D656" s="32" t="str">
        <x:v>B1-W2-V1</x:v>
      </x:c>
      <x:c r="E656" s="32" t="str">
        <x:v>B1</x:v>
      </x:c>
      <x:c r="F656" s="32" t="str">
        <x:v>W2</x:v>
      </x:c>
      <x:c r="G656" s="32" t="str">
        <x:v>V1</x:v>
      </x:c>
      <x:c r="H656" s="32" t="str">
        <x:v>tension_soil</x:v>
      </x:c>
      <x:c r="I656" s="32" t="str">
        <x:v>862323089930705</x:v>
      </x:c>
      <x:c r="J656" s="82"/>
      <x:c r="K656" s="82" t="n">
        <x:v>-34.4</x:v>
      </x:c>
      <x:c r="L656" s="82" t="n">
        <x:v>39.4</x:v>
      </x:c>
      <x:c r="M656" s="82" t="n">
        <x:v>25.2</x:v>
      </x:c>
      <x:c r="N656" s="86" t="n">
        <x:v>848</x:v>
      </x:c>
      <x:c r="O656" s="90" t="n">
        <x:v>6.31</x:v>
      </x:c>
      <x:c r="P656" s="150" t="n">
        <x:v>4.01</x:v>
      </x:c>
      <x:c r="Q656" s="86" t="n">
        <x:v>22</x:v>
      </x:c>
      <x:c r="R656" s="32"/>
      <x:c r="S656" s="32" t="str">
        <x:v>ok</x:v>
      </x:c>
      <x:c r="T656" s="32" t="str">
        <x:v>ok</x:v>
      </x:c>
      <x:c r="U656" s="32" t="str">
        <x:v>ok</x:v>
      </x:c>
      <x:c r="V656" s="32" t="str">
        <x:v>ok</x:v>
      </x:c>
      <x:c r="W656" s="154" t="str">
        <x:v>{"schema_version":1,"imei":"862323089930705","timestamp":1786023053,"report_sequence":28,"task_version":"rice_tension_soil_demo","sensor_mode":"tension_soil","soil_moisture_percent":39.4,"soil_temperature_c":25.2,"soil_ec_us_cm":848,"soil_ph":6.31,"battery_mv":4010,"csq":22,"soil_rs485_status":"ok","cycle_status":"ok","soil_tension_kpa":-34.4,"soil_tension_rs485_status":"ok"}</x:v>
      </x:c>
    </x:row>
    <x:row r="657">
      <x:c r="A657" s="72" t="n">
        <x:v>46240.89644675926</x:v>
      </x:c>
      <x:c r="B657" s="72" t="n">
        <x:v>46240.896460648146</x:v>
      </x:c>
      <x:c r="C657" s="32" t="str">
        <x:v>P06</x:v>
      </x:c>
      <x:c r="D657" s="32" t="str">
        <x:v>B1-W2-V2</x:v>
      </x:c>
      <x:c r="E657" s="32" t="str">
        <x:v>B1</x:v>
      </x:c>
      <x:c r="F657" s="32" t="str">
        <x:v>W2</x:v>
      </x:c>
      <x:c r="G657" s="32" t="str">
        <x:v>V2</x:v>
      </x:c>
      <x:c r="H657" s="32" t="str">
        <x:v>tension_soil</x:v>
      </x:c>
      <x:c r="I657" s="32" t="str">
        <x:v>862323089930706</x:v>
      </x:c>
      <x:c r="J657" s="82"/>
      <x:c r="K657" s="82" t="n">
        <x:v>-35.9</x:v>
      </x:c>
      <x:c r="L657" s="82" t="n">
        <x:v>40.9</x:v>
      </x:c>
      <x:c r="M657" s="82" t="n">
        <x:v>25.3</x:v>
      </x:c>
      <x:c r="N657" s="86" t="n">
        <x:v>868</x:v>
      </x:c>
      <x:c r="O657" s="90" t="n">
        <x:v>6.36</x:v>
      </x:c>
      <x:c r="P657" s="150" t="n">
        <x:v>3.92</x:v>
      </x:c>
      <x:c r="Q657" s="86" t="n">
        <x:v>23</x:v>
      </x:c>
      <x:c r="R657" s="32"/>
      <x:c r="S657" s="32" t="str">
        <x:v>ok</x:v>
      </x:c>
      <x:c r="T657" s="32" t="str">
        <x:v>ok</x:v>
      </x:c>
      <x:c r="U657" s="32" t="str">
        <x:v>ok</x:v>
      </x:c>
      <x:c r="V657" s="32" t="str">
        <x:v>ok</x:v>
      </x:c>
      <x:c r="W657" s="154" t="str">
        <x:v>{"schema_version":1,"imei":"862323089930706","timestamp":1786023053,"report_sequence":28,"task_version":"rice_tension_soil_demo","sensor_mode":"tension_soil","soil_moisture_percent":40.9,"soil_temperature_c":25.3,"soil_ec_us_cm":868,"soil_ph":6.36,"battery_mv":3920,"csq":23,"soil_rs485_status":"ok","cycle_status":"ok","soil_tension_kpa":-35.9,"soil_tension_rs485_status":"ok"}</x:v>
      </x:c>
    </x:row>
    <x:row r="658">
      <x:c r="A658" s="72" t="n">
        <x:v>46240.89644675926</x:v>
      </x:c>
      <x:c r="B658" s="72" t="n">
        <x:v>46240.896460648146</x:v>
      </x:c>
      <x:c r="C658" s="32" t="str">
        <x:v>P07</x:v>
      </x:c>
      <x:c r="D658" s="32" t="str">
        <x:v>B2-W0-V1</x:v>
      </x:c>
      <x:c r="E658" s="32" t="str">
        <x:v>B2</x:v>
      </x:c>
      <x:c r="F658" s="32" t="str">
        <x:v>W0</x:v>
      </x:c>
      <x:c r="G658" s="32" t="str">
        <x:v>V1</x:v>
      </x:c>
      <x:c r="H658" s="32" t="str">
        <x:v>water_soil</x:v>
      </x:c>
      <x:c r="I658" s="32" t="str">
        <x:v>862323089930707</x:v>
      </x:c>
      <x:c r="J658" s="82" t="n">
        <x:v>40.3</x:v>
      </x:c>
      <x:c r="K658" s="82"/>
      <x:c r="L658" s="82" t="n">
        <x:v>42.3</x:v>
      </x:c>
      <x:c r="M658" s="82" t="n">
        <x:v>25.4</x:v>
      </x:c>
      <x:c r="N658" s="86" t="n">
        <x:v>887</x:v>
      </x:c>
      <x:c r="O658" s="90" t="n">
        <x:v>6.42</x:v>
      </x:c>
      <x:c r="P658" s="150" t="n">
        <x:v>3.938</x:v>
      </x:c>
      <x:c r="Q658" s="86" t="n">
        <x:v>24</x:v>
      </x:c>
      <x:c r="R658" s="32" t="str">
        <x:v>ok</x:v>
      </x:c>
      <x:c r="S658" s="32"/>
      <x:c r="T658" s="32" t="str">
        <x:v>ok</x:v>
      </x:c>
      <x:c r="U658" s="32" t="str">
        <x:v>ok</x:v>
      </x:c>
      <x:c r="V658" s="32" t="str">
        <x:v>ok</x:v>
      </x:c>
      <x:c r="W658" s="154" t="str">
        <x:v>{"schema_version":1,"imei":"862323089930707","timestamp":1786023053,"report_sequence":28,"task_version":"rice_w0_water_soil_demo","sensor_mode":"water_soil","soil_moisture_percent":42.3,"soil_temperature_c":25.4,"soil_ec_us_cm":887,"soil_ph":6.42,"battery_mv":3938,"csq":24,"soil_rs485_status":"ok","cycle_status":"ok","water_level_mm":40.3,"water_4_20ma_status":"ok"}</x:v>
      </x:c>
    </x:row>
    <x:row r="659">
      <x:c r="A659" s="72" t="n">
        <x:v>46240.89644675926</x:v>
      </x:c>
      <x:c r="B659" s="72" t="n">
        <x:v>46240.896460648146</x:v>
      </x:c>
      <x:c r="C659" s="32" t="str">
        <x:v>P08</x:v>
      </x:c>
      <x:c r="D659" s="32" t="str">
        <x:v>B2-W0-V2</x:v>
      </x:c>
      <x:c r="E659" s="32" t="str">
        <x:v>B2</x:v>
      </x:c>
      <x:c r="F659" s="32" t="str">
        <x:v>W0</x:v>
      </x:c>
      <x:c r="G659" s="32" t="str">
        <x:v>V2</x:v>
      </x:c>
      <x:c r="H659" s="32" t="str">
        <x:v>water_soil</x:v>
      </x:c>
      <x:c r="I659" s="32" t="str">
        <x:v>862323089930708</x:v>
      </x:c>
      <x:c r="J659" s="82" t="n">
        <x:v>32.1</x:v>
      </x:c>
      <x:c r="K659" s="82"/>
      <x:c r="L659" s="82" t="n">
        <x:v>35.6</x:v>
      </x:c>
      <x:c r="M659" s="82" t="n">
        <x:v>25.5</x:v>
      </x:c>
      <x:c r="N659" s="86" t="n">
        <x:v>905</x:v>
      </x:c>
      <x:c r="O659" s="90" t="n">
        <x:v>6.47</x:v>
      </x:c>
      <x:c r="P659" s="150" t="n">
        <x:v>3.956</x:v>
      </x:c>
      <x:c r="Q659" s="86" t="n">
        <x:v>17</x:v>
      </x:c>
      <x:c r="R659" s="32" t="str">
        <x:v>ok</x:v>
      </x:c>
      <x:c r="S659" s="32"/>
      <x:c r="T659" s="32" t="str">
        <x:v>ok</x:v>
      </x:c>
      <x:c r="U659" s="32" t="str">
        <x:v>ok</x:v>
      </x:c>
      <x:c r="V659" s="32" t="str">
        <x:v>ok</x:v>
      </x:c>
      <x:c r="W659" s="154" t="str">
        <x:v>{"schema_version":1,"imei":"862323089930708","timestamp":1786023053,"report_sequence":28,"task_version":"rice_w0_water_soil_demo","sensor_mode":"water_soil","soil_moisture_percent":35.6,"soil_temperature_c":25.5,"soil_ec_us_cm":905,"soil_ph":6.47,"battery_mv":3956,"csq":17,"soil_rs485_status":"ok","cycle_status":"ok","water_level_mm":32.1,"water_4_20ma_status":"ok"}</x:v>
      </x:c>
    </x:row>
    <x:row r="660">
      <x:c r="A660" s="72" t="n">
        <x:v>46240.89644675926</x:v>
      </x:c>
      <x:c r="B660" s="72" t="n">
        <x:v>46240.896460648146</x:v>
      </x:c>
      <x:c r="C660" s="32" t="str">
        <x:v>P09</x:v>
      </x:c>
      <x:c r="D660" s="32" t="str">
        <x:v>B2-W1-V1</x:v>
      </x:c>
      <x:c r="E660" s="32" t="str">
        <x:v>B2</x:v>
      </x:c>
      <x:c r="F660" s="32" t="str">
        <x:v>W1</x:v>
      </x:c>
      <x:c r="G660" s="32" t="str">
        <x:v>V1</x:v>
      </x:c>
      <x:c r="H660" s="32" t="str">
        <x:v>tension_soil</x:v>
      </x:c>
      <x:c r="I660" s="32" t="str">
        <x:v>862323089930709</x:v>
      </x:c>
      <x:c r="J660" s="82"/>
      <x:c r="K660" s="82" t="n">
        <x:v>-28.9</x:v>
      </x:c>
      <x:c r="L660" s="82" t="n">
        <x:v>36.9</x:v>
      </x:c>
      <x:c r="M660" s="82" t="n">
        <x:v>25.6</x:v>
      </x:c>
      <x:c r="N660" s="86" t="n">
        <x:v>921</x:v>
      </x:c>
      <x:c r="O660" s="90" t="n">
        <x:v>6.53</x:v>
      </x:c>
      <x:c r="P660" s="150" t="n">
        <x:v>3.974</x:v>
      </x:c>
      <x:c r="Q660" s="86" t="n">
        <x:v>18</x:v>
      </x:c>
      <x:c r="R660" s="32"/>
      <x:c r="S660" s="32" t="str">
        <x:v>ok</x:v>
      </x:c>
      <x:c r="T660" s="32" t="str">
        <x:v>ok</x:v>
      </x:c>
      <x:c r="U660" s="32" t="str">
        <x:v>ok</x:v>
      </x:c>
      <x:c r="V660" s="32" t="str">
        <x:v>ok</x:v>
      </x:c>
      <x:c r="W660" s="154" t="str">
        <x:v>{"schema_version":1,"imei":"862323089930709","timestamp":1786023053,"report_sequence":28,"task_version":"rice_tension_soil_demo","sensor_mode":"tension_soil","soil_moisture_percent":36.9,"soil_temperature_c":25.6,"soil_ec_us_cm":921,"soil_ph":6.53,"battery_mv":3974,"csq":18,"soil_rs485_status":"ok","cycle_status":"ok","soil_tension_kpa":-28.9,"soil_tension_rs485_status":"ok"}</x:v>
      </x:c>
    </x:row>
    <x:row r="661">
      <x:c r="A661" s="72" t="n">
        <x:v>46240.89644675926</x:v>
      </x:c>
      <x:c r="B661" s="72" t="n">
        <x:v>46240.896460648146</x:v>
      </x:c>
      <x:c r="C661" s="32" t="str">
        <x:v>P10</x:v>
      </x:c>
      <x:c r="D661" s="32" t="str">
        <x:v>B2-W1-V2</x:v>
      </x:c>
      <x:c r="E661" s="32" t="str">
        <x:v>B2</x:v>
      </x:c>
      <x:c r="F661" s="32" t="str">
        <x:v>W1</x:v>
      </x:c>
      <x:c r="G661" s="32" t="str">
        <x:v>V2</x:v>
      </x:c>
      <x:c r="H661" s="32" t="str">
        <x:v>tension_soil</x:v>
      </x:c>
      <x:c r="I661" s="32" t="str">
        <x:v>862323089930710</x:v>
      </x:c>
      <x:c r="J661" s="82"/>
      <x:c r="K661" s="82" t="n">
        <x:v>-25</x:v>
      </x:c>
      <x:c r="L661" s="82" t="n">
        <x:v>38</x:v>
      </x:c>
      <x:c r="M661" s="82" t="n">
        <x:v>25.6</x:v>
      </x:c>
      <x:c r="N661" s="86" t="n">
        <x:v>935</x:v>
      </x:c>
      <x:c r="O661" s="90" t="n">
        <x:v>6.33</x:v>
      </x:c>
      <x:c r="P661" s="150" t="n">
        <x:v>3.992</x:v>
      </x:c>
      <x:c r="Q661" s="86" t="n">
        <x:v>19</x:v>
      </x:c>
      <x:c r="R661" s="32"/>
      <x:c r="S661" s="32" t="str">
        <x:v>ok</x:v>
      </x:c>
      <x:c r="T661" s="32" t="str">
        <x:v>ok</x:v>
      </x:c>
      <x:c r="U661" s="32" t="str">
        <x:v>ok</x:v>
      </x:c>
      <x:c r="V661" s="32" t="str">
        <x:v>ok</x:v>
      </x:c>
      <x:c r="W661" s="154" t="str">
        <x:v>{"schema_version":1,"imei":"862323089930710","timestamp":1786023053,"report_sequence":28,"task_version":"rice_tension_soil_demo","sensor_mode":"tension_soil","soil_moisture_percent":38,"soil_temperature_c":25.6,"soil_ec_us_cm":935,"soil_ph":6.33,"battery_mv":3992,"csq":19,"soil_rs485_status":"ok","cycle_status":"ok","soil_tension_kpa":-25,"soil_tension_rs485_status":"ok"}</x:v>
      </x:c>
    </x:row>
    <x:row r="662">
      <x:c r="A662" s="72" t="n">
        <x:v>46240.89644675926</x:v>
      </x:c>
      <x:c r="B662" s="72" t="n">
        <x:v>46240.896460648146</x:v>
      </x:c>
      <x:c r="C662" s="32" t="str">
        <x:v>P11</x:v>
      </x:c>
      <x:c r="D662" s="32" t="str">
        <x:v>B2-W2-V1</x:v>
      </x:c>
      <x:c r="E662" s="32" t="str">
        <x:v>B2</x:v>
      </x:c>
      <x:c r="F662" s="32" t="str">
        <x:v>W2</x:v>
      </x:c>
      <x:c r="G662" s="32" t="str">
        <x:v>V1</x:v>
      </x:c>
      <x:c r="H662" s="32" t="str">
        <x:v>tension_soil</x:v>
      </x:c>
      <x:c r="I662" s="32" t="str">
        <x:v>862323089930711</x:v>
      </x:c>
      <x:c r="J662" s="82"/>
      <x:c r="K662" s="82" t="n">
        <x:v>-37</x:v>
      </x:c>
      <x:c r="L662" s="82" t="n">
        <x:v>39</x:v>
      </x:c>
      <x:c r="M662" s="82" t="n">
        <x:v>25.6</x:v>
      </x:c>
      <x:c r="N662" s="86" t="n">
        <x:v>947</x:v>
      </x:c>
      <x:c r="O662" s="90" t="n">
        <x:v>6.38</x:v>
      </x:c>
      <x:c r="P662" s="150" t="n">
        <x:v>4.01</x:v>
      </x:c>
      <x:c r="Q662" s="86" t="n">
        <x:v>20</x:v>
      </x:c>
      <x:c r="R662" s="32"/>
      <x:c r="S662" s="32" t="str">
        <x:v>ok</x:v>
      </x:c>
      <x:c r="T662" s="32" t="str">
        <x:v>ok</x:v>
      </x:c>
      <x:c r="U662" s="32" t="str">
        <x:v>ok</x:v>
      </x:c>
      <x:c r="V662" s="32" t="str">
        <x:v>ok</x:v>
      </x:c>
      <x:c r="W662" s="154" t="str">
        <x:v>{"schema_version":1,"imei":"862323089930711","timestamp":1786023053,"report_sequence":28,"task_version":"rice_tension_soil_demo","sensor_mode":"tension_soil","soil_moisture_percent":39,"soil_temperature_c":25.6,"soil_ec_us_cm":947,"soil_ph":6.38,"battery_mv":4010,"csq":20,"soil_rs485_status":"ok","cycle_status":"ok","soil_tension_kpa":-37,"soil_tension_rs485_status":"ok"}</x:v>
      </x:c>
    </x:row>
    <x:row r="663">
      <x:c r="A663" s="72" t="n">
        <x:v>46240.89644675926</x:v>
      </x:c>
      <x:c r="B663" s="72" t="n">
        <x:v>46240.896460648146</x:v>
      </x:c>
      <x:c r="C663" s="32" t="str">
        <x:v>P12</x:v>
      </x:c>
      <x:c r="D663" s="32" t="str">
        <x:v>B2-W2-V2</x:v>
      </x:c>
      <x:c r="E663" s="32" t="str">
        <x:v>B2</x:v>
      </x:c>
      <x:c r="F663" s="32" t="str">
        <x:v>W2</x:v>
      </x:c>
      <x:c r="G663" s="32" t="str">
        <x:v>V2</x:v>
      </x:c>
      <x:c r="H663" s="32" t="str">
        <x:v>tension_soil</x:v>
      </x:c>
      <x:c r="I663" s="32" t="str">
        <x:v>862323089930712</x:v>
      </x:c>
      <x:c r="J663" s="82"/>
      <x:c r="K663" s="82" t="n">
        <x:v>-37.8</x:v>
      </x:c>
      <x:c r="L663" s="82" t="n">
        <x:v>39.8</x:v>
      </x:c>
      <x:c r="M663" s="82" t="n">
        <x:v>25.6</x:v>
      </x:c>
      <x:c r="N663" s="86" t="n">
        <x:v>956</x:v>
      </x:c>
      <x:c r="O663" s="90" t="n">
        <x:v>6.43</x:v>
      </x:c>
      <x:c r="P663" s="150" t="n">
        <x:v>3.92</x:v>
      </x:c>
      <x:c r="Q663" s="86" t="n">
        <x:v>21</x:v>
      </x:c>
      <x:c r="R663" s="32"/>
      <x:c r="S663" s="32" t="str">
        <x:v>ok</x:v>
      </x:c>
      <x:c r="T663" s="32" t="str">
        <x:v>ok</x:v>
      </x:c>
      <x:c r="U663" s="32" t="str">
        <x:v>ok</x:v>
      </x:c>
      <x:c r="V663" s="32" t="str">
        <x:v>ok</x:v>
      </x:c>
      <x:c r="W663" s="154" t="str">
        <x:v>{"schema_version":1,"imei":"862323089930712","timestamp":1786023053,"report_sequence":28,"task_version":"rice_tension_soil_demo","sensor_mode":"tension_soil","soil_moisture_percent":39.8,"soil_temperature_c":25.6,"soil_ec_us_cm":956,"soil_ph":6.43,"battery_mv":3920,"csq":21,"soil_rs485_status":"ok","cycle_status":"ok","soil_tension_kpa":-37.8,"soil_tension_rs485_status":"ok"}</x:v>
      </x:c>
    </x:row>
    <x:row r="664">
      <x:c r="A664" s="72" t="n">
        <x:v>46240.89644675926</x:v>
      </x:c>
      <x:c r="B664" s="72" t="n">
        <x:v>46240.896460648146</x:v>
      </x:c>
      <x:c r="C664" s="32" t="str">
        <x:v>P13</x:v>
      </x:c>
      <x:c r="D664" s="32" t="str">
        <x:v>B3-W0-V1</x:v>
      </x:c>
      <x:c r="E664" s="32" t="str">
        <x:v>B3</x:v>
      </x:c>
      <x:c r="F664" s="32" t="str">
        <x:v>W0</x:v>
      </x:c>
      <x:c r="G664" s="32" t="str">
        <x:v>V1</x:v>
      </x:c>
      <x:c r="H664" s="32" t="str">
        <x:v>water_soil</x:v>
      </x:c>
      <x:c r="I664" s="32" t="str">
        <x:v>862323089930713</x:v>
      </x:c>
      <x:c r="J664" s="82" t="n">
        <x:v>35</x:v>
      </x:c>
      <x:c r="K664" s="82"/>
      <x:c r="L664" s="82" t="n">
        <x:v>40.6</x:v>
      </x:c>
      <x:c r="M664" s="82" t="n">
        <x:v>25.5</x:v>
      </x:c>
      <x:c r="N664" s="86" t="n">
        <x:v>964</x:v>
      </x:c>
      <x:c r="O664" s="90" t="n">
        <x:v>6.47</x:v>
      </x:c>
      <x:c r="P664" s="150" t="n">
        <x:v>3.938</x:v>
      </x:c>
      <x:c r="Q664" s="86" t="n">
        <x:v>22</x:v>
      </x:c>
      <x:c r="R664" s="32" t="str">
        <x:v>ok</x:v>
      </x:c>
      <x:c r="S664" s="32"/>
      <x:c r="T664" s="32" t="str">
        <x:v>ok</x:v>
      </x:c>
      <x:c r="U664" s="32" t="str">
        <x:v>ok</x:v>
      </x:c>
      <x:c r="V664" s="32" t="str">
        <x:v>ok</x:v>
      </x:c>
      <x:c r="W664" s="154" t="str">
        <x:v>{"schema_version":1,"imei":"862323089930713","timestamp":1786023053,"report_sequence":28,"task_version":"rice_w0_water_soil_demo","sensor_mode":"water_soil","soil_moisture_percent":40.6,"soil_temperature_c":25.5,"soil_ec_us_cm":964,"soil_ph":6.47,"battery_mv":3938,"csq":22,"soil_rs485_status":"ok","cycle_status":"ok","water_level_mm":35,"water_4_20ma_status":"ok"}</x:v>
      </x:c>
    </x:row>
    <x:row r="665">
      <x:c r="A665" s="72" t="n">
        <x:v>46240.89644675926</x:v>
      </x:c>
      <x:c r="B665" s="72" t="n">
        <x:v>46240.896460648146</x:v>
      </x:c>
      <x:c r="C665" s="32" t="str">
        <x:v>P14</x:v>
      </x:c>
      <x:c r="D665" s="32" t="str">
        <x:v>B3-W0-V2</x:v>
      </x:c>
      <x:c r="E665" s="32" t="str">
        <x:v>B3</x:v>
      </x:c>
      <x:c r="F665" s="32" t="str">
        <x:v>W0</x:v>
      </x:c>
      <x:c r="G665" s="32" t="str">
        <x:v>V2</x:v>
      </x:c>
      <x:c r="H665" s="32" t="str">
        <x:v>water_soil</x:v>
      </x:c>
      <x:c r="I665" s="32" t="str">
        <x:v>862323089930714</x:v>
      </x:c>
      <x:c r="J665" s="82" t="n">
        <x:v>37.1</x:v>
      </x:c>
      <x:c r="K665" s="82"/>
      <x:c r="L665" s="82" t="n">
        <x:v>41.2</x:v>
      </x:c>
      <x:c r="M665" s="82" t="n">
        <x:v>25.4</x:v>
      </x:c>
      <x:c r="N665" s="86" t="n">
        <x:v>970</x:v>
      </x:c>
      <x:c r="O665" s="90" t="n">
        <x:v>6.52</x:v>
      </x:c>
      <x:c r="P665" s="150" t="n">
        <x:v>3.956</x:v>
      </x:c>
      <x:c r="Q665" s="86" t="n">
        <x:v>23</x:v>
      </x:c>
      <x:c r="R665" s="32" t="str">
        <x:v>ok</x:v>
      </x:c>
      <x:c r="S665" s="32"/>
      <x:c r="T665" s="32" t="str">
        <x:v>ok</x:v>
      </x:c>
      <x:c r="U665" s="32" t="str">
        <x:v>ok</x:v>
      </x:c>
      <x:c r="V665" s="32" t="str">
        <x:v>ok</x:v>
      </x:c>
      <x:c r="W665" s="154" t="str">
        <x:v>{"schema_version":1,"imei":"862323089930714","timestamp":1786023053,"report_sequence":28,"task_version":"rice_w0_water_soil_demo","sensor_mode":"water_soil","soil_moisture_percent":41.2,"soil_temperature_c":25.4,"soil_ec_us_cm":970,"soil_ph":6.52,"battery_mv":3956,"csq":23,"soil_rs485_status":"ok","cycle_status":"ok","water_level_mm":37.1,"water_4_20ma_status":"ok"}</x:v>
      </x:c>
    </x:row>
    <x:row r="666">
      <x:c r="A666" s="72" t="n">
        <x:v>46240.89644675926</x:v>
      </x:c>
      <x:c r="B666" s="72" t="n">
        <x:v>46240.896460648146</x:v>
      </x:c>
      <x:c r="C666" s="32" t="str">
        <x:v>P15</x:v>
      </x:c>
      <x:c r="D666" s="32" t="str">
        <x:v>B3-W1-V1</x:v>
      </x:c>
      <x:c r="E666" s="32" t="str">
        <x:v>B3</x:v>
      </x:c>
      <x:c r="F666" s="32" t="str">
        <x:v>W1</x:v>
      </x:c>
      <x:c r="G666" s="32" t="str">
        <x:v>V1</x:v>
      </x:c>
      <x:c r="H666" s="32" t="str">
        <x:v>tension_soil</x:v>
      </x:c>
      <x:c r="I666" s="32" t="str">
        <x:v>862323089930715</x:v>
      </x:c>
      <x:c r="J666" s="82"/>
      <x:c r="K666" s="82" t="n">
        <x:v>-23.8</x:v>
      </x:c>
      <x:c r="L666" s="82" t="n">
        <x:v>41.8</x:v>
      </x:c>
      <x:c r="M666" s="82" t="n">
        <x:v>25.3</x:v>
      </x:c>
      <x:c r="N666" s="86" t="n">
        <x:v>974</x:v>
      </x:c>
      <x:c r="O666" s="90" t="n">
        <x:v>6.31</x:v>
      </x:c>
      <x:c r="P666" s="150" t="n">
        <x:v>3.974</x:v>
      </x:c>
      <x:c r="Q666" s="86" t="n">
        <x:v>24</x:v>
      </x:c>
      <x:c r="R666" s="32"/>
      <x:c r="S666" s="32" t="str">
        <x:v>ok</x:v>
      </x:c>
      <x:c r="T666" s="32" t="str">
        <x:v>ok</x:v>
      </x:c>
      <x:c r="U666" s="32" t="str">
        <x:v>ok</x:v>
      </x:c>
      <x:c r="V666" s="32" t="str">
        <x:v>ok</x:v>
      </x:c>
      <x:c r="W666" s="154" t="str">
        <x:v>{"schema_version":1,"imei":"862323089930715","timestamp":1786023053,"report_sequence":28,"task_version":"rice_tension_soil_demo","sensor_mode":"tension_soil","soil_moisture_percent":41.8,"soil_temperature_c":25.3,"soil_ec_us_cm":974,"soil_ph":6.31,"battery_mv":3974,"csq":24,"soil_rs485_status":"ok","cycle_status":"ok","soil_tension_kpa":-23.8,"soil_tension_rs485_status":"ok"}</x:v>
      </x:c>
    </x:row>
    <x:row r="667">
      <x:c r="A667" s="72" t="n">
        <x:v>46240.89644675926</x:v>
      </x:c>
      <x:c r="B667" s="72" t="n">
        <x:v>46240.896460648146</x:v>
      </x:c>
      <x:c r="C667" s="32" t="str">
        <x:v>P16</x:v>
      </x:c>
      <x:c r="D667" s="32" t="str">
        <x:v>B3-W1-V2</x:v>
      </x:c>
      <x:c r="E667" s="32" t="str">
        <x:v>B3</x:v>
      </x:c>
      <x:c r="F667" s="32" t="str">
        <x:v>W1</x:v>
      </x:c>
      <x:c r="G667" s="32" t="str">
        <x:v>V2</x:v>
      </x:c>
      <x:c r="H667" s="32" t="str">
        <x:v>tension_soil</x:v>
      </x:c>
      <x:c r="I667" s="32" t="str">
        <x:v>862323089930716</x:v>
      </x:c>
      <x:c r="J667" s="82"/>
      <x:c r="K667" s="82" t="n">
        <x:v>-24.3</x:v>
      </x:c>
      <x:c r="L667" s="82" t="n">
        <x:v>34.3</x:v>
      </x:c>
      <x:c r="M667" s="82" t="n">
        <x:v>25.2</x:v>
      </x:c>
      <x:c r="N667" s="86" t="n">
        <x:v>978</x:v>
      </x:c>
      <x:c r="O667" s="90" t="n">
        <x:v>6.36</x:v>
      </x:c>
      <x:c r="P667" s="150" t="n">
        <x:v>3.992</x:v>
      </x:c>
      <x:c r="Q667" s="86" t="n">
        <x:v>17</x:v>
      </x:c>
      <x:c r="R667" s="32"/>
      <x:c r="S667" s="32" t="str">
        <x:v>ok</x:v>
      </x:c>
      <x:c r="T667" s="32" t="str">
        <x:v>ok</x:v>
      </x:c>
      <x:c r="U667" s="32" t="str">
        <x:v>ok</x:v>
      </x:c>
      <x:c r="V667" s="32" t="str">
        <x:v>ok</x:v>
      </x:c>
      <x:c r="W667" s="154" t="str">
        <x:v>{"schema_version":1,"imei":"862323089930716","timestamp":1786023053,"report_sequence":28,"task_version":"rice_tension_soil_demo","sensor_mode":"tension_soil","soil_moisture_percent":34.3,"soil_temperature_c":25.2,"soil_ec_us_cm":978,"soil_ph":6.36,"battery_mv":3992,"csq":17,"soil_rs485_status":"ok","cycle_status":"ok","soil_tension_kpa":-24.3,"soil_tension_rs485_status":"ok"}</x:v>
      </x:c>
    </x:row>
    <x:row r="668">
      <x:c r="A668" s="72" t="n">
        <x:v>46240.89644675926</x:v>
      </x:c>
      <x:c r="B668" s="72" t="n">
        <x:v>46240.896460648146</x:v>
      </x:c>
      <x:c r="C668" s="32" t="str">
        <x:v>P17</x:v>
      </x:c>
      <x:c r="D668" s="32" t="str">
        <x:v>B3-W2-V1</x:v>
      </x:c>
      <x:c r="E668" s="32" t="str">
        <x:v>B3</x:v>
      </x:c>
      <x:c r="F668" s="32" t="str">
        <x:v>W2</x:v>
      </x:c>
      <x:c r="G668" s="32" t="str">
        <x:v>V1</x:v>
      </x:c>
      <x:c r="H668" s="32" t="str">
        <x:v>tension_soil</x:v>
      </x:c>
      <x:c r="I668" s="32" t="str">
        <x:v>862323089930717</x:v>
      </x:c>
      <x:c r="J668" s="82"/>
      <x:c r="K668" s="82" t="n">
        <x:v>-35.8</x:v>
      </x:c>
      <x:c r="L668" s="82" t="n">
        <x:v>34.8</x:v>
      </x:c>
      <x:c r="M668" s="82" t="n">
        <x:v>25.1</x:v>
      </x:c>
      <x:c r="N668" s="86" t="n">
        <x:v>981</x:v>
      </x:c>
      <x:c r="O668" s="90" t="n">
        <x:v>6.4</x:v>
      </x:c>
      <x:c r="P668" s="150" t="n">
        <x:v>4.01</x:v>
      </x:c>
      <x:c r="Q668" s="86" t="n">
        <x:v>18</x:v>
      </x:c>
      <x:c r="R668" s="32"/>
      <x:c r="S668" s="32" t="str">
        <x:v>ok</x:v>
      </x:c>
      <x:c r="T668" s="32" t="str">
        <x:v>ok</x:v>
      </x:c>
      <x:c r="U668" s="32" t="str">
        <x:v>ok</x:v>
      </x:c>
      <x:c r="V668" s="32" t="str">
        <x:v>ok</x:v>
      </x:c>
      <x:c r="W668" s="154" t="str">
        <x:v>{"schema_version":1,"imei":"862323089930717","timestamp":1786023053,"report_sequence":28,"task_version":"rice_tension_soil_demo","sensor_mode":"tension_soil","soil_moisture_percent":34.8,"soil_temperature_c":25.1,"soil_ec_us_cm":981,"soil_ph":6.4,"battery_mv":4010,"csq":18,"soil_rs485_status":"ok","cycle_status":"ok","soil_tension_kpa":-35.8,"soil_tension_rs485_status":"ok"}</x:v>
      </x:c>
    </x:row>
    <x:row r="669">
      <x:c r="A669" s="72" t="n">
        <x:v>46240.89644675926</x:v>
      </x:c>
      <x:c r="B669" s="72" t="n">
        <x:v>46240.896460648146</x:v>
      </x:c>
      <x:c r="C669" s="32" t="str">
        <x:v>P18</x:v>
      </x:c>
      <x:c r="D669" s="32" t="str">
        <x:v>B3-W2-V2</x:v>
      </x:c>
      <x:c r="E669" s="32" t="str">
        <x:v>B3</x:v>
      </x:c>
      <x:c r="F669" s="32" t="str">
        <x:v>W2</x:v>
      </x:c>
      <x:c r="G669" s="32" t="str">
        <x:v>V2</x:v>
      </x:c>
      <x:c r="H669" s="32" t="str">
        <x:v>tension_soil</x:v>
      </x:c>
      <x:c r="I669" s="32" t="str">
        <x:v>862323089930718</x:v>
      </x:c>
      <x:c r="J669" s="82"/>
      <x:c r="K669" s="82" t="n">
        <x:v>-36.4</x:v>
      </x:c>
      <x:c r="L669" s="82" t="n">
        <x:v>35.4</x:v>
      </x:c>
      <x:c r="M669" s="82" t="n">
        <x:v>24.9</x:v>
      </x:c>
      <x:c r="N669" s="86" t="n">
        <x:v>985</x:v>
      </x:c>
      <x:c r="O669" s="90" t="n">
        <x:v>6.44</x:v>
      </x:c>
      <x:c r="P669" s="150" t="n">
        <x:v>3.92</x:v>
      </x:c>
      <x:c r="Q669" s="86" t="n">
        <x:v>19</x:v>
      </x:c>
      <x:c r="R669" s="32"/>
      <x:c r="S669" s="32" t="str">
        <x:v>ok</x:v>
      </x:c>
      <x:c r="T669" s="32" t="str">
        <x:v>ok</x:v>
      </x:c>
      <x:c r="U669" s="32" t="str">
        <x:v>ok</x:v>
      </x:c>
      <x:c r="V669" s="32" t="str">
        <x:v>ok</x:v>
      </x:c>
      <x:c r="W669" s="154" t="str">
        <x:v>{"schema_version":1,"imei":"862323089930718","timestamp":1786023053,"report_sequence":28,"task_version":"rice_tension_soil_demo","sensor_mode":"tension_soil","soil_moisture_percent":35.4,"soil_temperature_c":24.9,"soil_ec_us_cm":985,"soil_ph":6.44,"battery_mv":3920,"csq":19,"soil_rs485_status":"ok","cycle_status":"ok","soil_tension_kpa":-36.4,"soil_tension_rs485_status":"ok"}</x:v>
      </x:c>
    </x:row>
    <x:row r="670">
      <x:c r="A670" s="72" t="n">
        <x:v>46240.89644675926</x:v>
      </x:c>
      <x:c r="B670" s="72" t="n">
        <x:v>46240.896460648146</x:v>
      </x:c>
      <x:c r="C670" s="32" t="str">
        <x:v>P19</x:v>
      </x:c>
      <x:c r="D670" s="32" t="str">
        <x:v>B4-W0-V1</x:v>
      </x:c>
      <x:c r="E670" s="32" t="str">
        <x:v>B4</x:v>
      </x:c>
      <x:c r="F670" s="32" t="str">
        <x:v>W0</x:v>
      </x:c>
      <x:c r="G670" s="32" t="str">
        <x:v>V1</x:v>
      </x:c>
      <x:c r="H670" s="32" t="str">
        <x:v>water_soil</x:v>
      </x:c>
      <x:c r="I670" s="32" t="str">
        <x:v>862323089930719</x:v>
      </x:c>
      <x:c r="J670" s="82" t="n">
        <x:v>34.3</x:v>
      </x:c>
      <x:c r="K670" s="82"/>
      <x:c r="L670" s="82" t="n">
        <x:v>35.9</x:v>
      </x:c>
      <x:c r="M670" s="82" t="n">
        <x:v>24.8</x:v>
      </x:c>
      <x:c r="N670" s="86" t="n">
        <x:v>989</x:v>
      </x:c>
      <x:c r="O670" s="90" t="n">
        <x:v>6.48</x:v>
      </x:c>
      <x:c r="P670" s="150" t="n">
        <x:v>3.938</x:v>
      </x:c>
      <x:c r="Q670" s="86" t="n">
        <x:v>20</x:v>
      </x:c>
      <x:c r="R670" s="32" t="str">
        <x:v>ok</x:v>
      </x:c>
      <x:c r="S670" s="32"/>
      <x:c r="T670" s="32" t="str">
        <x:v>ok</x:v>
      </x:c>
      <x:c r="U670" s="32" t="str">
        <x:v>ok</x:v>
      </x:c>
      <x:c r="V670" s="32" t="str">
        <x:v>ok</x:v>
      </x:c>
      <x:c r="W670" s="154" t="str">
        <x:v>{"schema_version":1,"imei":"862323089930719","timestamp":1786023053,"report_sequence":28,"task_version":"rice_w0_water_soil_demo","sensor_mode":"water_soil","soil_moisture_percent":35.9,"soil_temperature_c":24.8,"soil_ec_us_cm":989,"soil_ph":6.48,"battery_mv":3938,"csq":20,"soil_rs485_status":"ok","cycle_status":"ok","water_level_mm":34.3,"water_4_20ma_status":"ok"}</x:v>
      </x:c>
    </x:row>
    <x:row r="671">
      <x:c r="A671" s="72" t="n">
        <x:v>46240.89644675926</x:v>
      </x:c>
      <x:c r="B671" s="72" t="n">
        <x:v>46240.896460648146</x:v>
      </x:c>
      <x:c r="C671" s="32" t="str">
        <x:v>P20</x:v>
      </x:c>
      <x:c r="D671" s="32" t="str">
        <x:v>B4-W0-V2</x:v>
      </x:c>
      <x:c r="E671" s="32" t="str">
        <x:v>B4</x:v>
      </x:c>
      <x:c r="F671" s="32" t="str">
        <x:v>W0</x:v>
      </x:c>
      <x:c r="G671" s="32" t="str">
        <x:v>V2</x:v>
      </x:c>
      <x:c r="H671" s="32" t="str">
        <x:v>water_soil</x:v>
      </x:c>
      <x:c r="I671" s="32" t="str">
        <x:v>862323089930720</x:v>
      </x:c>
      <x:c r="J671" s="82" t="n">
        <x:v>24.3</x:v>
      </x:c>
      <x:c r="K671" s="82"/>
      <x:c r="L671" s="82" t="n">
        <x:v>36.5</x:v>
      </x:c>
      <x:c r="M671" s="82" t="n">
        <x:v>24.7</x:v>
      </x:c>
      <x:c r="N671" s="86" t="n">
        <x:v>994</x:v>
      </x:c>
      <x:c r="O671" s="90" t="n">
        <x:v>6.28</x:v>
      </x:c>
      <x:c r="P671" s="150" t="n">
        <x:v>3.956</x:v>
      </x:c>
      <x:c r="Q671" s="86" t="n">
        <x:v>21</x:v>
      </x:c>
      <x:c r="R671" s="32" t="str">
        <x:v>ok</x:v>
      </x:c>
      <x:c r="S671" s="32"/>
      <x:c r="T671" s="32" t="str">
        <x:v>ok</x:v>
      </x:c>
      <x:c r="U671" s="32" t="str">
        <x:v>ok</x:v>
      </x:c>
      <x:c r="V671" s="32" t="str">
        <x:v>ok</x:v>
      </x:c>
      <x:c r="W671" s="154" t="str">
        <x:v>{"schema_version":1,"imei":"862323089930720","timestamp":1786023053,"report_sequence":28,"task_version":"rice_w0_water_soil_demo","sensor_mode":"water_soil","soil_moisture_percent":36.5,"soil_temperature_c":24.7,"soil_ec_us_cm":994,"soil_ph":6.28,"battery_mv":3956,"csq":21,"soil_rs485_status":"ok","cycle_status":"ok","water_level_mm":24.3,"water_4_20ma_status":"ok"}</x:v>
      </x:c>
    </x:row>
    <x:row r="672">
      <x:c r="A672" s="72" t="n">
        <x:v>46240.89644675926</x:v>
      </x:c>
      <x:c r="B672" s="72" t="n">
        <x:v>46240.896460648146</x:v>
      </x:c>
      <x:c r="C672" s="32" t="str">
        <x:v>P21</x:v>
      </x:c>
      <x:c r="D672" s="32" t="str">
        <x:v>B4-W1-V1</x:v>
      </x:c>
      <x:c r="E672" s="32" t="str">
        <x:v>B4</x:v>
      </x:c>
      <x:c r="F672" s="32" t="str">
        <x:v>W1</x:v>
      </x:c>
      <x:c r="G672" s="32" t="str">
        <x:v>V1</x:v>
      </x:c>
      <x:c r="H672" s="32" t="str">
        <x:v>tension_soil</x:v>
      </x:c>
      <x:c r="I672" s="32" t="str">
        <x:v>862323089930721</x:v>
      </x:c>
      <x:c r="J672" s="82"/>
      <x:c r="K672" s="82" t="n">
        <x:v>-22.2</x:v>
      </x:c>
      <x:c r="L672" s="82" t="n">
        <x:v>37.2</x:v>
      </x:c>
      <x:c r="M672" s="82" t="n">
        <x:v>24.7</x:v>
      </x:c>
      <x:c r="N672" s="86" t="n">
        <x:v>1001</x:v>
      </x:c>
      <x:c r="O672" s="90" t="n">
        <x:v>6.32</x:v>
      </x:c>
      <x:c r="P672" s="150" t="n">
        <x:v>3.974</x:v>
      </x:c>
      <x:c r="Q672" s="86" t="n">
        <x:v>22</x:v>
      </x:c>
      <x:c r="R672" s="32"/>
      <x:c r="S672" s="32" t="str">
        <x:v>ok</x:v>
      </x:c>
      <x:c r="T672" s="32" t="str">
        <x:v>ok</x:v>
      </x:c>
      <x:c r="U672" s="32" t="str">
        <x:v>ok</x:v>
      </x:c>
      <x:c r="V672" s="32" t="str">
        <x:v>ok</x:v>
      </x:c>
      <x:c r="W672" s="154" t="str">
        <x:v>{"schema_version":1,"imei":"862323089930721","timestamp":1786023053,"report_sequence":28,"task_version":"rice_tension_soil_demo","sensor_mode":"tension_soil","soil_moisture_percent":37.2,"soil_temperature_c":24.7,"soil_ec_us_cm":1001,"soil_ph":6.32,"battery_mv":3974,"csq":22,"soil_rs485_status":"ok","cycle_status":"ok","soil_tension_kpa":-22.2,"soil_tension_rs485_status":"ok"}</x:v>
      </x:c>
    </x:row>
    <x:row r="673">
      <x:c r="A673" s="72" t="n">
        <x:v>46240.89644675926</x:v>
      </x:c>
      <x:c r="B673" s="72" t="n">
        <x:v>46240.896460648146</x:v>
      </x:c>
      <x:c r="C673" s="32" t="str">
        <x:v>P22</x:v>
      </x:c>
      <x:c r="D673" s="32" t="str">
        <x:v>B4-W1-V2</x:v>
      </x:c>
      <x:c r="E673" s="32" t="str">
        <x:v>B4</x:v>
      </x:c>
      <x:c r="F673" s="32" t="str">
        <x:v>W1</x:v>
      </x:c>
      <x:c r="G673" s="32" t="str">
        <x:v>V2</x:v>
      </x:c>
      <x:c r="H673" s="32" t="str">
        <x:v>tension_soil</x:v>
      </x:c>
      <x:c r="I673" s="32" t="str">
        <x:v>862323089930722</x:v>
      </x:c>
      <x:c r="J673" s="82"/>
      <x:c r="K673" s="82" t="n">
        <x:v>-23.1</x:v>
      </x:c>
      <x:c r="L673" s="82" t="n">
        <x:v>38.1</x:v>
      </x:c>
      <x:c r="M673" s="82" t="n">
        <x:v>24.6</x:v>
      </x:c>
      <x:c r="N673" s="86" t="n">
        <x:v>1010</x:v>
      </x:c>
      <x:c r="O673" s="90" t="n">
        <x:v>6.37</x:v>
      </x:c>
      <x:c r="P673" s="150" t="n">
        <x:v>3.992</x:v>
      </x:c>
      <x:c r="Q673" s="86" t="n">
        <x:v>23</x:v>
      </x:c>
      <x:c r="R673" s="32"/>
      <x:c r="S673" s="32" t="str">
        <x:v>ok</x:v>
      </x:c>
      <x:c r="T673" s="32" t="str">
        <x:v>ok</x:v>
      </x:c>
      <x:c r="U673" s="32" t="str">
        <x:v>ok</x:v>
      </x:c>
      <x:c r="V673" s="32" t="str">
        <x:v>ok</x:v>
      </x:c>
      <x:c r="W673" s="154" t="str">
        <x:v>{"schema_version":1,"imei":"862323089930722","timestamp":1786023053,"report_sequence":28,"task_version":"rice_tension_soil_demo","sensor_mode":"tension_soil","soil_moisture_percent":38.1,"soil_temperature_c":24.6,"soil_ec_us_cm":1010,"soil_ph":6.37,"battery_mv":3992,"csq":23,"soil_rs485_status":"ok","cycle_status":"ok","soil_tension_kpa":-23.1,"soil_tension_rs485_status":"ok"}</x:v>
      </x:c>
    </x:row>
    <x:row r="674">
      <x:c r="A674" s="72" t="n">
        <x:v>46240.89644675926</x:v>
      </x:c>
      <x:c r="B674" s="72" t="n">
        <x:v>46240.896460648146</x:v>
      </x:c>
      <x:c r="C674" s="32" t="str">
        <x:v>P23</x:v>
      </x:c>
      <x:c r="D674" s="32" t="str">
        <x:v>B4-W2-V1</x:v>
      </x:c>
      <x:c r="E674" s="32" t="str">
        <x:v>B4</x:v>
      </x:c>
      <x:c r="F674" s="32" t="str">
        <x:v>W2</x:v>
      </x:c>
      <x:c r="G674" s="32" t="str">
        <x:v>V1</x:v>
      </x:c>
      <x:c r="H674" s="32" t="str">
        <x:v>tension_soil</x:v>
      </x:c>
      <x:c r="I674" s="32" t="str">
        <x:v>862323089930723</x:v>
      </x:c>
      <x:c r="J674" s="82"/>
      <x:c r="K674" s="82" t="n">
        <x:v>-35</x:v>
      </x:c>
      <x:c r="L674" s="82" t="n">
        <x:v>39</x:v>
      </x:c>
      <x:c r="M674" s="82" t="n">
        <x:v>24.6</x:v>
      </x:c>
      <x:c r="N674" s="86" t="n">
        <x:v>1021</x:v>
      </x:c>
      <x:c r="O674" s="90" t="n">
        <x:v>6.42</x:v>
      </x:c>
      <x:c r="P674" s="150" t="n">
        <x:v>4.01</x:v>
      </x:c>
      <x:c r="Q674" s="86" t="n">
        <x:v>24</x:v>
      </x:c>
      <x:c r="R674" s="32"/>
      <x:c r="S674" s="32" t="str">
        <x:v>ok</x:v>
      </x:c>
      <x:c r="T674" s="32" t="str">
        <x:v>ok</x:v>
      </x:c>
      <x:c r="U674" s="32" t="str">
        <x:v>ok</x:v>
      </x:c>
      <x:c r="V674" s="32" t="str">
        <x:v>ok</x:v>
      </x:c>
      <x:c r="W674" s="154" t="str">
        <x:v>{"schema_version":1,"imei":"862323089930723","timestamp":1786023053,"report_sequence":28,"task_version":"rice_tension_soil_demo","sensor_mode":"tension_soil","soil_moisture_percent":39,"soil_temperature_c":24.6,"soil_ec_us_cm":1021,"soil_ph":6.42,"battery_mv":4010,"csq":24,"soil_rs485_status":"ok","cycle_status":"ok","soil_tension_kpa":-35,"soil_tension_rs485_status":"ok"}</x:v>
      </x:c>
    </x:row>
    <x:row r="675">
      <x:c r="A675" s="72" t="n">
        <x:v>46240.89644675926</x:v>
      </x:c>
      <x:c r="B675" s="72" t="n">
        <x:v>46240.896460648146</x:v>
      </x:c>
      <x:c r="C675" s="32" t="str">
        <x:v>P24</x:v>
      </x:c>
      <x:c r="D675" s="32" t="str">
        <x:v>B4-W2-V2</x:v>
      </x:c>
      <x:c r="E675" s="32" t="str">
        <x:v>B4</x:v>
      </x:c>
      <x:c r="F675" s="32" t="str">
        <x:v>W2</x:v>
      </x:c>
      <x:c r="G675" s="32" t="str">
        <x:v>V2</x:v>
      </x:c>
      <x:c r="H675" s="32" t="str">
        <x:v>tension_soil</x:v>
      </x:c>
      <x:c r="I675" s="32" t="str">
        <x:v>862323089930724</x:v>
      </x:c>
      <x:c r="J675" s="82"/>
      <x:c r="K675" s="82" t="n">
        <x:v>-36.1</x:v>
      </x:c>
      <x:c r="L675" s="82" t="n">
        <x:v>32.1</x:v>
      </x:c>
      <x:c r="M675" s="82" t="n">
        <x:v>24.6</x:v>
      </x:c>
      <x:c r="N675" s="86" t="n">
        <x:v>1034</x:v>
      </x:c>
      <x:c r="O675" s="90" t="n">
        <x:v>6.47</x:v>
      </x:c>
      <x:c r="P675" s="150" t="n">
        <x:v>3.92</x:v>
      </x:c>
      <x:c r="Q675" s="86" t="n">
        <x:v>17</x:v>
      </x:c>
      <x:c r="R675" s="32"/>
      <x:c r="S675" s="32" t="str">
        <x:v>ok</x:v>
      </x:c>
      <x:c r="T675" s="32" t="str">
        <x:v>ok</x:v>
      </x:c>
      <x:c r="U675" s="32" t="str">
        <x:v>ok</x:v>
      </x:c>
      <x:c r="V675" s="32" t="str">
        <x:v>ok</x:v>
      </x:c>
      <x:c r="W675" s="154" t="str">
        <x:v>{"schema_version":1,"imei":"862323089930724","timestamp":1786023053,"report_sequence":28,"task_version":"rice_tension_soil_demo","sensor_mode":"tension_soil","soil_moisture_percent":32.1,"soil_temperature_c":24.6,"soil_ec_us_cm":1034,"soil_ph":6.47,"battery_mv":3920,"csq":17,"soil_rs485_status":"ok","cycle_status":"ok","soil_tension_kpa":-36.1,"soil_tension_rs485_status":"ok"}</x:v>
      </x:c>
    </x:row>
    <x:row r="676">
      <x:c r="A676" s="72" t="n">
        <x:v>46240.89991898148</x:v>
      </x:c>
      <x:c r="B676" s="72" t="n">
        <x:v>46240.89993287037</x:v>
      </x:c>
      <x:c r="C676" s="32" t="str">
        <x:v>P01</x:v>
      </x:c>
      <x:c r="D676" s="32" t="str">
        <x:v>B1-W0-V1</x:v>
      </x:c>
      <x:c r="E676" s="32" t="str">
        <x:v>B1</x:v>
      </x:c>
      <x:c r="F676" s="32" t="str">
        <x:v>W0</x:v>
      </x:c>
      <x:c r="G676" s="32" t="str">
        <x:v>V1</x:v>
      </x:c>
      <x:c r="H676" s="32" t="str">
        <x:v>water_soil</x:v>
      </x:c>
      <x:c r="I676" s="32" t="str">
        <x:v>862323089930701</x:v>
      </x:c>
      <x:c r="J676" s="82" t="n">
        <x:v>26.7</x:v>
      </x:c>
      <x:c r="K676" s="82"/>
      <x:c r="L676" s="82" t="n">
        <x:v>33.3</x:v>
      </x:c>
      <x:c r="M676" s="82" t="n">
        <x:v>24.7</x:v>
      </x:c>
      <x:c r="N676" s="86" t="n">
        <x:v>762</x:v>
      </x:c>
      <x:c r="O676" s="90" t="n">
        <x:v>6.32</x:v>
      </x:c>
      <x:c r="P676" s="150" t="n">
        <x:v>3.938</x:v>
      </x:c>
      <x:c r="Q676" s="86" t="n">
        <x:v>18</x:v>
      </x:c>
      <x:c r="R676" s="32" t="str">
        <x:v>ok</x:v>
      </x:c>
      <x:c r="S676" s="32"/>
      <x:c r="T676" s="32" t="str">
        <x:v>ok</x:v>
      </x:c>
      <x:c r="U676" s="32" t="str">
        <x:v>ok</x:v>
      </x:c>
      <x:c r="V676" s="32" t="str">
        <x:v>ok</x:v>
      </x:c>
      <x:c r="W676" s="154" t="str">
        <x:v>{"schema_version":1,"imei":"862323089930701","timestamp":1786023353,"report_sequence":29,"task_version":"rice_w0_water_soil_demo","sensor_mode":"water_soil","soil_moisture_percent":33.3,"soil_temperature_c":24.7,"soil_ec_us_cm":762,"soil_ph":6.32,"battery_mv":3938,"csq":18,"soil_rs485_status":"ok","cycle_status":"ok","water_level_mm":26.7,"water_4_20ma_status":"ok"}</x:v>
      </x:c>
    </x:row>
    <x:row r="677">
      <x:c r="A677" s="72" t="n">
        <x:v>46240.89991898148</x:v>
      </x:c>
      <x:c r="B677" s="72" t="n">
        <x:v>46240.89993287037</x:v>
      </x:c>
      <x:c r="C677" s="32" t="str">
        <x:v>P02</x:v>
      </x:c>
      <x:c r="D677" s="32" t="str">
        <x:v>B1-W0-V2</x:v>
      </x:c>
      <x:c r="E677" s="32" t="str">
        <x:v>B1</x:v>
      </x:c>
      <x:c r="F677" s="32" t="str">
        <x:v>W0</x:v>
      </x:c>
      <x:c r="G677" s="32" t="str">
        <x:v>V2</x:v>
      </x:c>
      <x:c r="H677" s="32" t="str">
        <x:v>water_soil</x:v>
      </x:c>
      <x:c r="I677" s="32" t="str">
        <x:v>862323089930702</x:v>
      </x:c>
      <x:c r="J677" s="82" t="n">
        <x:v>30.5</x:v>
      </x:c>
      <x:c r="K677" s="82"/>
      <x:c r="L677" s="82" t="n">
        <x:v>34.6</x:v>
      </x:c>
      <x:c r="M677" s="82" t="n">
        <x:v>24.7</x:v>
      </x:c>
      <x:c r="N677" s="86" t="n">
        <x:v>779</x:v>
      </x:c>
      <x:c r="O677" s="90" t="n">
        <x:v>6.38</x:v>
      </x:c>
      <x:c r="P677" s="150" t="n">
        <x:v>3.956</x:v>
      </x:c>
      <x:c r="Q677" s="86" t="n">
        <x:v>19</x:v>
      </x:c>
      <x:c r="R677" s="32" t="str">
        <x:v>ok</x:v>
      </x:c>
      <x:c r="S677" s="32"/>
      <x:c r="T677" s="32" t="str">
        <x:v>ok</x:v>
      </x:c>
      <x:c r="U677" s="32" t="str">
        <x:v>ok</x:v>
      </x:c>
      <x:c r="V677" s="32" t="str">
        <x:v>ok</x:v>
      </x:c>
      <x:c r="W677" s="154" t="str">
        <x:v>{"schema_version":1,"imei":"862323089930702","timestamp":1786023353,"report_sequence":29,"task_version":"rice_w0_water_soil_demo","sensor_mode":"water_soil","soil_moisture_percent":34.6,"soil_temperature_c":24.7,"soil_ec_us_cm":779,"soil_ph":6.38,"battery_mv":3956,"csq":19,"soil_rs485_status":"ok","cycle_status":"ok","water_level_mm":30.5,"water_4_20ma_status":"ok"}</x:v>
      </x:c>
    </x:row>
    <x:row r="678">
      <x:c r="A678" s="72" t="n">
        <x:v>46240.89991898148</x:v>
      </x:c>
      <x:c r="B678" s="72" t="n">
        <x:v>46240.89993287037</x:v>
      </x:c>
      <x:c r="C678" s="32" t="str">
        <x:v>P03</x:v>
      </x:c>
      <x:c r="D678" s="32" t="str">
        <x:v>B1-W1-V1</x:v>
      </x:c>
      <x:c r="E678" s="32" t="str">
        <x:v>B1</x:v>
      </x:c>
      <x:c r="F678" s="32" t="str">
        <x:v>W1</x:v>
      </x:c>
      <x:c r="G678" s="32" t="str">
        <x:v>V1</x:v>
      </x:c>
      <x:c r="H678" s="32" t="str">
        <x:v>tension_soil</x:v>
      </x:c>
      <x:c r="I678" s="32" t="str">
        <x:v>862323089930703</x:v>
      </x:c>
      <x:c r="J678" s="82"/>
      <x:c r="K678" s="82" t="n">
        <x:v>-25</x:v>
      </x:c>
      <x:c r="L678" s="82" t="n">
        <x:v>36</x:v>
      </x:c>
      <x:c r="M678" s="82" t="n">
        <x:v>24.8</x:v>
      </x:c>
      <x:c r="N678" s="86" t="n">
        <x:v>798</x:v>
      </x:c>
      <x:c r="O678" s="90" t="n">
        <x:v>6.43</x:v>
      </x:c>
      <x:c r="P678" s="150" t="n">
        <x:v>3.974</x:v>
      </x:c>
      <x:c r="Q678" s="86" t="n">
        <x:v>20</x:v>
      </x:c>
      <x:c r="R678" s="32"/>
      <x:c r="S678" s="32" t="str">
        <x:v>ok</x:v>
      </x:c>
      <x:c r="T678" s="32" t="str">
        <x:v>ok</x:v>
      </x:c>
      <x:c r="U678" s="32" t="str">
        <x:v>ok</x:v>
      </x:c>
      <x:c r="V678" s="32" t="str">
        <x:v>ok</x:v>
      </x:c>
      <x:c r="W678" s="154" t="str">
        <x:v>{"schema_version":1,"imei":"862323089930703","timestamp":1786023353,"report_sequence":29,"task_version":"rice_tension_soil_demo","sensor_mode":"tension_soil","soil_moisture_percent":36,"soil_temperature_c":24.8,"soil_ec_us_cm":798,"soil_ph":6.43,"battery_mv":3974,"csq":20,"soil_rs485_status":"ok","cycle_status":"ok","soil_tension_kpa":-25,"soil_tension_rs485_status":"ok"}</x:v>
      </x:c>
    </x:row>
    <x:row r="679">
      <x:c r="A679" s="72" t="n">
        <x:v>46240.89991898148</x:v>
      </x:c>
      <x:c r="B679" s="72" t="n">
        <x:v>46240.89993287037</x:v>
      </x:c>
      <x:c r="C679" s="32" t="str">
        <x:v>P04</x:v>
      </x:c>
      <x:c r="D679" s="32" t="str">
        <x:v>B1-W1-V2</x:v>
      </x:c>
      <x:c r="E679" s="32" t="str">
        <x:v>B1</x:v>
      </x:c>
      <x:c r="F679" s="32" t="str">
        <x:v>W1</x:v>
      </x:c>
      <x:c r="G679" s="32" t="str">
        <x:v>V2</x:v>
      </x:c>
      <x:c r="H679" s="32" t="str">
        <x:v>tension_soil</x:v>
      </x:c>
      <x:c r="I679" s="32" t="str">
        <x:v>862323089930704</x:v>
      </x:c>
      <x:c r="J679" s="82"/>
      <x:c r="K679" s="82" t="n">
        <x:v>-26.4</x:v>
      </x:c>
      <x:c r="L679" s="82" t="n">
        <x:v>37.4</x:v>
      </x:c>
      <x:c r="M679" s="82" t="n">
        <x:v>25</x:v>
      </x:c>
      <x:c r="N679" s="86" t="n">
        <x:v>818</x:v>
      </x:c>
      <x:c r="O679" s="90" t="n">
        <x:v>6.49</x:v>
      </x:c>
      <x:c r="P679" s="150" t="n">
        <x:v>3.992</x:v>
      </x:c>
      <x:c r="Q679" s="86" t="n">
        <x:v>21</x:v>
      </x:c>
      <x:c r="R679" s="32"/>
      <x:c r="S679" s="32" t="str">
        <x:v>ok</x:v>
      </x:c>
      <x:c r="T679" s="32" t="str">
        <x:v>ok</x:v>
      </x:c>
      <x:c r="U679" s="32" t="str">
        <x:v>ok</x:v>
      </x:c>
      <x:c r="V679" s="32" t="str">
        <x:v>ok</x:v>
      </x:c>
      <x:c r="W679" s="154" t="str">
        <x:v>{"schema_version":1,"imei":"862323089930704","timestamp":1786023353,"report_sequence":29,"task_version":"rice_tension_soil_demo","sensor_mode":"tension_soil","soil_moisture_percent":37.4,"soil_temperature_c":25,"soil_ec_us_cm":818,"soil_ph":6.49,"battery_mv":3992,"csq":21,"soil_rs485_status":"ok","cycle_status":"ok","soil_tension_kpa":-26.4,"soil_tension_rs485_status":"ok"}</x:v>
      </x:c>
    </x:row>
    <x:row r="680">
      <x:c r="A680" s="72" t="n">
        <x:v>46240.89991898148</x:v>
      </x:c>
      <x:c r="B680" s="72" t="n">
        <x:v>46240.89993287037</x:v>
      </x:c>
      <x:c r="C680" s="32" t="str">
        <x:v>P05</x:v>
      </x:c>
      <x:c r="D680" s="32" t="str">
        <x:v>B1-W2-V1</x:v>
      </x:c>
      <x:c r="E680" s="32" t="str">
        <x:v>B1</x:v>
      </x:c>
      <x:c r="F680" s="32" t="str">
        <x:v>W2</x:v>
      </x:c>
      <x:c r="G680" s="32" t="str">
        <x:v>V1</x:v>
      </x:c>
      <x:c r="H680" s="32" t="str">
        <x:v>tension_soil</x:v>
      </x:c>
      <x:c r="I680" s="32" t="str">
        <x:v>862323089930705</x:v>
      </x:c>
      <x:c r="J680" s="82"/>
      <x:c r="K680" s="82" t="n">
        <x:v>-33.9</x:v>
      </x:c>
      <x:c r="L680" s="82" t="n">
        <x:v>38.9</x:v>
      </x:c>
      <x:c r="M680" s="82" t="n">
        <x:v>25.1</x:v>
      </x:c>
      <x:c r="N680" s="86" t="n">
        <x:v>839</x:v>
      </x:c>
      <x:c r="O680" s="90" t="n">
        <x:v>6.3</x:v>
      </x:c>
      <x:c r="P680" s="150" t="n">
        <x:v>4.01</x:v>
      </x:c>
      <x:c r="Q680" s="86" t="n">
        <x:v>22</x:v>
      </x:c>
      <x:c r="R680" s="32"/>
      <x:c r="S680" s="32" t="str">
        <x:v>ok</x:v>
      </x:c>
      <x:c r="T680" s="32" t="str">
        <x:v>ok</x:v>
      </x:c>
      <x:c r="U680" s="32" t="str">
        <x:v>ok</x:v>
      </x:c>
      <x:c r="V680" s="32" t="str">
        <x:v>ok</x:v>
      </x:c>
      <x:c r="W680" s="154" t="str">
        <x:v>{"schema_version":1,"imei":"862323089930705","timestamp":1786023353,"report_sequence":29,"task_version":"rice_tension_soil_demo","sensor_mode":"tension_soil","soil_moisture_percent":38.9,"soil_temperature_c":25.1,"soil_ec_us_cm":839,"soil_ph":6.3,"battery_mv":4010,"csq":22,"soil_rs485_status":"ok","cycle_status":"ok","soil_tension_kpa":-33.9,"soil_tension_rs485_status":"ok"}</x:v>
      </x:c>
    </x:row>
    <x:row r="681">
      <x:c r="A681" s="72" t="n">
        <x:v>46240.89991898148</x:v>
      </x:c>
      <x:c r="B681" s="72" t="n">
        <x:v>46240.89993287037</x:v>
      </x:c>
      <x:c r="C681" s="32" t="str">
        <x:v>P06</x:v>
      </x:c>
      <x:c r="D681" s="32" t="str">
        <x:v>B1-W2-V2</x:v>
      </x:c>
      <x:c r="E681" s="32" t="str">
        <x:v>B1</x:v>
      </x:c>
      <x:c r="F681" s="32" t="str">
        <x:v>W2</x:v>
      </x:c>
      <x:c r="G681" s="32" t="str">
        <x:v>V2</x:v>
      </x:c>
      <x:c r="H681" s="32" t="str">
        <x:v>tension_soil</x:v>
      </x:c>
      <x:c r="I681" s="32" t="str">
        <x:v>862323089930706</x:v>
      </x:c>
      <x:c r="J681" s="82"/>
      <x:c r="K681" s="82" t="n">
        <x:v>-35.4</x:v>
      </x:c>
      <x:c r="L681" s="82" t="n">
        <x:v>40.4</x:v>
      </x:c>
      <x:c r="M681" s="82" t="n">
        <x:v>25.2</x:v>
      </x:c>
      <x:c r="N681" s="86" t="n">
        <x:v>860</x:v>
      </x:c>
      <x:c r="O681" s="90" t="n">
        <x:v>6.36</x:v>
      </x:c>
      <x:c r="P681" s="150" t="n">
        <x:v>3.92</x:v>
      </x:c>
      <x:c r="Q681" s="86" t="n">
        <x:v>23</x:v>
      </x:c>
      <x:c r="R681" s="32"/>
      <x:c r="S681" s="32" t="str">
        <x:v>ok</x:v>
      </x:c>
      <x:c r="T681" s="32" t="str">
        <x:v>ok</x:v>
      </x:c>
      <x:c r="U681" s="32" t="str">
        <x:v>ok</x:v>
      </x:c>
      <x:c r="V681" s="32" t="str">
        <x:v>ok</x:v>
      </x:c>
      <x:c r="W681" s="154" t="str">
        <x:v>{"schema_version":1,"imei":"862323089930706","timestamp":1786023353,"report_sequence":29,"task_version":"rice_tension_soil_demo","sensor_mode":"tension_soil","soil_moisture_percent":40.4,"soil_temperature_c":25.2,"soil_ec_us_cm":860,"soil_ph":6.36,"battery_mv":3920,"csq":23,"soil_rs485_status":"ok","cycle_status":"ok","soil_tension_kpa":-35.4,"soil_tension_rs485_status":"ok"}</x:v>
      </x:c>
    </x:row>
    <x:row r="682">
      <x:c r="A682" s="72" t="n">
        <x:v>46240.89991898148</x:v>
      </x:c>
      <x:c r="B682" s="72" t="n">
        <x:v>46240.89993287037</x:v>
      </x:c>
      <x:c r="C682" s="32" t="str">
        <x:v>P07</x:v>
      </x:c>
      <x:c r="D682" s="32" t="str">
        <x:v>B2-W0-V1</x:v>
      </x:c>
      <x:c r="E682" s="32" t="str">
        <x:v>B2</x:v>
      </x:c>
      <x:c r="F682" s="32" t="str">
        <x:v>W0</x:v>
      </x:c>
      <x:c r="G682" s="32" t="str">
        <x:v>V1</x:v>
      </x:c>
      <x:c r="H682" s="32" t="str">
        <x:v>water_soil</x:v>
      </x:c>
      <x:c r="I682" s="32" t="str">
        <x:v>862323089930707</x:v>
      </x:c>
      <x:c r="J682" s="82" t="n">
        <x:v>39.3</x:v>
      </x:c>
      <x:c r="K682" s="82"/>
      <x:c r="L682" s="82" t="n">
        <x:v>41.9</x:v>
      </x:c>
      <x:c r="M682" s="82" t="n">
        <x:v>25.3</x:v>
      </x:c>
      <x:c r="N682" s="86" t="n">
        <x:v>880</x:v>
      </x:c>
      <x:c r="O682" s="90" t="n">
        <x:v>6.41</x:v>
      </x:c>
      <x:c r="P682" s="150" t="n">
        <x:v>3.938</x:v>
      </x:c>
      <x:c r="Q682" s="86" t="n">
        <x:v>24</x:v>
      </x:c>
      <x:c r="R682" s="32" t="str">
        <x:v>ok</x:v>
      </x:c>
      <x:c r="S682" s="32"/>
      <x:c r="T682" s="32" t="str">
        <x:v>ok</x:v>
      </x:c>
      <x:c r="U682" s="32" t="str">
        <x:v>ok</x:v>
      </x:c>
      <x:c r="V682" s="32" t="str">
        <x:v>ok</x:v>
      </x:c>
      <x:c r="W682" s="154" t="str">
        <x:v>{"schema_version":1,"imei":"862323089930707","timestamp":1786023353,"report_sequence":29,"task_version":"rice_w0_water_soil_demo","sensor_mode":"water_soil","soil_moisture_percent":41.9,"soil_temperature_c":25.3,"soil_ec_us_cm":880,"soil_ph":6.41,"battery_mv":3938,"csq":24,"soil_rs485_status":"ok","cycle_status":"ok","water_level_mm":39.3,"water_4_20ma_status":"ok"}</x:v>
      </x:c>
    </x:row>
    <x:row r="683">
      <x:c r="A683" s="72" t="n">
        <x:v>46240.89991898148</x:v>
      </x:c>
      <x:c r="B683" s="72" t="n">
        <x:v>46240.89993287037</x:v>
      </x:c>
      <x:c r="C683" s="32" t="str">
        <x:v>P08</x:v>
      </x:c>
      <x:c r="D683" s="32" t="str">
        <x:v>B2-W0-V2</x:v>
      </x:c>
      <x:c r="E683" s="32" t="str">
        <x:v>B2</x:v>
      </x:c>
      <x:c r="F683" s="32" t="str">
        <x:v>W0</x:v>
      </x:c>
      <x:c r="G683" s="32" t="str">
        <x:v>V2</x:v>
      </x:c>
      <x:c r="H683" s="32" t="str">
        <x:v>water_soil</x:v>
      </x:c>
      <x:c r="I683" s="32" t="str">
        <x:v>862323089930708</x:v>
      </x:c>
      <x:c r="J683" s="82" t="n">
        <x:v>31.3</x:v>
      </x:c>
      <x:c r="K683" s="82"/>
      <x:c r="L683" s="82" t="n">
        <x:v>35.3</x:v>
      </x:c>
      <x:c r="M683" s="82" t="n">
        <x:v>25.4</x:v>
      </x:c>
      <x:c r="N683" s="86" t="n">
        <x:v>899</x:v>
      </x:c>
      <x:c r="O683" s="90" t="n">
        <x:v>6.47</x:v>
      </x:c>
      <x:c r="P683" s="150" t="n">
        <x:v>3.956</x:v>
      </x:c>
      <x:c r="Q683" s="86" t="n">
        <x:v>17</x:v>
      </x:c>
      <x:c r="R683" s="32" t="str">
        <x:v>ok</x:v>
      </x:c>
      <x:c r="S683" s="32"/>
      <x:c r="T683" s="32" t="str">
        <x:v>ok</x:v>
      </x:c>
      <x:c r="U683" s="32" t="str">
        <x:v>ok</x:v>
      </x:c>
      <x:c r="V683" s="32" t="str">
        <x:v>ok</x:v>
      </x:c>
      <x:c r="W683" s="154" t="str">
        <x:v>{"schema_version":1,"imei":"862323089930708","timestamp":1786023353,"report_sequence":29,"task_version":"rice_w0_water_soil_demo","sensor_mode":"water_soil","soil_moisture_percent":35.3,"soil_temperature_c":25.4,"soil_ec_us_cm":899,"soil_ph":6.47,"battery_mv":3956,"csq":17,"soil_rs485_status":"ok","cycle_status":"ok","water_level_mm":31.3,"water_4_20ma_status":"ok"}</x:v>
      </x:c>
    </x:row>
    <x:row r="684">
      <x:c r="A684" s="72" t="n">
        <x:v>46240.89991898148</x:v>
      </x:c>
      <x:c r="B684" s="72" t="n">
        <x:v>46240.89993287037</x:v>
      </x:c>
      <x:c r="C684" s="32" t="str">
        <x:v>P09</x:v>
      </x:c>
      <x:c r="D684" s="32" t="str">
        <x:v>B2-W1-V1</x:v>
      </x:c>
      <x:c r="E684" s="32" t="str">
        <x:v>B2</x:v>
      </x:c>
      <x:c r="F684" s="32" t="str">
        <x:v>W1</x:v>
      </x:c>
      <x:c r="G684" s="32" t="str">
        <x:v>V1</x:v>
      </x:c>
      <x:c r="H684" s="32" t="str">
        <x:v>tension_soil</x:v>
      </x:c>
      <x:c r="I684" s="32" t="str">
        <x:v>862323089930709</x:v>
      </x:c>
      <x:c r="J684" s="82"/>
      <x:c r="K684" s="82" t="n">
        <x:v>-28.6</x:v>
      </x:c>
      <x:c r="L684" s="82" t="n">
        <x:v>36.6</x:v>
      </x:c>
      <x:c r="M684" s="82" t="n">
        <x:v>25.5</x:v>
      </x:c>
      <x:c r="N684" s="86" t="n">
        <x:v>917</x:v>
      </x:c>
      <x:c r="O684" s="90" t="n">
        <x:v>6.52</x:v>
      </x:c>
      <x:c r="P684" s="150" t="n">
        <x:v>3.974</x:v>
      </x:c>
      <x:c r="Q684" s="86" t="n">
        <x:v>18</x:v>
      </x:c>
      <x:c r="R684" s="32"/>
      <x:c r="S684" s="32" t="str">
        <x:v>ok</x:v>
      </x:c>
      <x:c r="T684" s="32" t="str">
        <x:v>ok</x:v>
      </x:c>
      <x:c r="U684" s="32" t="str">
        <x:v>ok</x:v>
      </x:c>
      <x:c r="V684" s="32" t="str">
        <x:v>ok</x:v>
      </x:c>
      <x:c r="W684" s="154" t="str">
        <x:v>{"schema_version":1,"imei":"862323089930709","timestamp":1786023353,"report_sequence":29,"task_version":"rice_tension_soil_demo","sensor_mode":"tension_soil","soil_moisture_percent":36.6,"soil_temperature_c":25.5,"soil_ec_us_cm":917,"soil_ph":6.52,"battery_mv":3974,"csq":18,"soil_rs485_status":"ok","cycle_status":"ok","soil_tension_kpa":-28.6,"soil_tension_rs485_status":"ok"}</x:v>
      </x:c>
    </x:row>
    <x:row r="685">
      <x:c r="A685" s="72" t="n">
        <x:v>46240.89991898148</x:v>
      </x:c>
      <x:c r="B685" s="72" t="n">
        <x:v>46240.89993287037</x:v>
      </x:c>
      <x:c r="C685" s="32" t="str">
        <x:v>P10</x:v>
      </x:c>
      <x:c r="D685" s="32" t="str">
        <x:v>B2-W1-V2</x:v>
      </x:c>
      <x:c r="E685" s="32" t="str">
        <x:v>B2</x:v>
      </x:c>
      <x:c r="F685" s="32" t="str">
        <x:v>W1</x:v>
      </x:c>
      <x:c r="G685" s="32" t="str">
        <x:v>V2</x:v>
      </x:c>
      <x:c r="H685" s="32" t="str">
        <x:v>tension_soil</x:v>
      </x:c>
      <x:c r="I685" s="32" t="str">
        <x:v>862323089930710</x:v>
      </x:c>
      <x:c r="J685" s="82"/>
      <x:c r="K685" s="82" t="n">
        <x:v>-24.9</x:v>
      </x:c>
      <x:c r="L685" s="82" t="n">
        <x:v>37.9</x:v>
      </x:c>
      <x:c r="M685" s="82" t="n">
        <x:v>25.6</x:v>
      </x:c>
      <x:c r="N685" s="86" t="n">
        <x:v>933</x:v>
      </x:c>
      <x:c r="O685" s="90" t="n">
        <x:v>6.33</x:v>
      </x:c>
      <x:c r="P685" s="150" t="n">
        <x:v>3.992</x:v>
      </x:c>
      <x:c r="Q685" s="86" t="n">
        <x:v>19</x:v>
      </x:c>
      <x:c r="R685" s="32"/>
      <x:c r="S685" s="32" t="str">
        <x:v>ok</x:v>
      </x:c>
      <x:c r="T685" s="32" t="str">
        <x:v>ok</x:v>
      </x:c>
      <x:c r="U685" s="32" t="str">
        <x:v>ok</x:v>
      </x:c>
      <x:c r="V685" s="32" t="str">
        <x:v>ok</x:v>
      </x:c>
      <x:c r="W685" s="154" t="str">
        <x:v>{"schema_version":1,"imei":"862323089930710","timestamp":1786023353,"report_sequence":29,"task_version":"rice_tension_soil_demo","sensor_mode":"tension_soil","soil_moisture_percent":37.9,"soil_temperature_c":25.6,"soil_ec_us_cm":933,"soil_ph":6.33,"battery_mv":3992,"csq":19,"soil_rs485_status":"ok","cycle_status":"ok","soil_tension_kpa":-24.9,"soil_tension_rs485_status":"ok"}</x:v>
      </x:c>
    </x:row>
    <x:row r="686">
      <x:c r="A686" s="72" t="n">
        <x:v>46240.89991898148</x:v>
      </x:c>
      <x:c r="B686" s="72" t="n">
        <x:v>46240.89993287037</x:v>
      </x:c>
      <x:c r="C686" s="32" t="str">
        <x:v>P11</x:v>
      </x:c>
      <x:c r="D686" s="32" t="str">
        <x:v>B2-W2-V1</x:v>
      </x:c>
      <x:c r="E686" s="32" t="str">
        <x:v>B2</x:v>
      </x:c>
      <x:c r="F686" s="32" t="str">
        <x:v>W2</x:v>
      </x:c>
      <x:c r="G686" s="32" t="str">
        <x:v>V1</x:v>
      </x:c>
      <x:c r="H686" s="32" t="str">
        <x:v>tension_soil</x:v>
      </x:c>
      <x:c r="I686" s="32" t="str">
        <x:v>862323089930711</x:v>
      </x:c>
      <x:c r="J686" s="82"/>
      <x:c r="K686" s="82" t="n">
        <x:v>-37</x:v>
      </x:c>
      <x:c r="L686" s="82" t="n">
        <x:v>39</x:v>
      </x:c>
      <x:c r="M686" s="82" t="n">
        <x:v>25.6</x:v>
      </x:c>
      <x:c r="N686" s="86" t="n">
        <x:v>947</x:v>
      </x:c>
      <x:c r="O686" s="90" t="n">
        <x:v>6.38</x:v>
      </x:c>
      <x:c r="P686" s="150" t="n">
        <x:v>4.01</x:v>
      </x:c>
      <x:c r="Q686" s="86" t="n">
        <x:v>20</x:v>
      </x:c>
      <x:c r="R686" s="32"/>
      <x:c r="S686" s="32" t="str">
        <x:v>ok</x:v>
      </x:c>
      <x:c r="T686" s="32" t="str">
        <x:v>ok</x:v>
      </x:c>
      <x:c r="U686" s="32" t="str">
        <x:v>ok</x:v>
      </x:c>
      <x:c r="V686" s="32" t="str">
        <x:v>ok</x:v>
      </x:c>
      <x:c r="W686" s="154" t="str">
        <x:v>{"schema_version":1,"imei":"862323089930711","timestamp":1786023353,"report_sequence":29,"task_version":"rice_tension_soil_demo","sensor_mode":"tension_soil","soil_moisture_percent":39,"soil_temperature_c":25.6,"soil_ec_us_cm":947,"soil_ph":6.38,"battery_mv":4010,"csq":20,"soil_rs485_status":"ok","cycle_status":"ok","soil_tension_kpa":-37,"soil_tension_rs485_status":"ok"}</x:v>
      </x:c>
    </x:row>
    <x:row r="687">
      <x:c r="A687" s="72" t="n">
        <x:v>46240.89991898148</x:v>
      </x:c>
      <x:c r="B687" s="72" t="n">
        <x:v>46240.89993287037</x:v>
      </x:c>
      <x:c r="C687" s="32" t="str">
        <x:v>P12</x:v>
      </x:c>
      <x:c r="D687" s="32" t="str">
        <x:v>B2-W2-V2</x:v>
      </x:c>
      <x:c r="E687" s="32" t="str">
        <x:v>B2</x:v>
      </x:c>
      <x:c r="F687" s="32" t="str">
        <x:v>W2</x:v>
      </x:c>
      <x:c r="G687" s="32" t="str">
        <x:v>V2</x:v>
      </x:c>
      <x:c r="H687" s="32" t="str">
        <x:v>tension_soil</x:v>
      </x:c>
      <x:c r="I687" s="32" t="str">
        <x:v>862323089930712</x:v>
      </x:c>
      <x:c r="J687" s="82"/>
      <x:c r="K687" s="82" t="n">
        <x:v>-38</x:v>
      </x:c>
      <x:c r="L687" s="82" t="n">
        <x:v>40</x:v>
      </x:c>
      <x:c r="M687" s="82" t="n">
        <x:v>25.6</x:v>
      </x:c>
      <x:c r="N687" s="86" t="n">
        <x:v>959</x:v>
      </x:c>
      <x:c r="O687" s="90" t="n">
        <x:v>6.43</x:v>
      </x:c>
      <x:c r="P687" s="150" t="n">
        <x:v>3.92</x:v>
      </x:c>
      <x:c r="Q687" s="86" t="n">
        <x:v>21</x:v>
      </x:c>
      <x:c r="R687" s="32"/>
      <x:c r="S687" s="32" t="str">
        <x:v>ok</x:v>
      </x:c>
      <x:c r="T687" s="32" t="str">
        <x:v>ok</x:v>
      </x:c>
      <x:c r="U687" s="32" t="str">
        <x:v>ok</x:v>
      </x:c>
      <x:c r="V687" s="32" t="str">
        <x:v>ok</x:v>
      </x:c>
      <x:c r="W687" s="154" t="str">
        <x:v>{"schema_version":1,"imei":"862323089930712","timestamp":1786023353,"report_sequence":29,"task_version":"rice_tension_soil_demo","sensor_mode":"tension_soil","soil_moisture_percent":40,"soil_temperature_c":25.6,"soil_ec_us_cm":959,"soil_ph":6.43,"battery_mv":3920,"csq":21,"soil_rs485_status":"ok","cycle_status":"ok","soil_tension_kpa":-38,"soil_tension_rs485_status":"ok"}</x:v>
      </x:c>
    </x:row>
    <x:row r="688">
      <x:c r="A688" s="72" t="n">
        <x:v>46240.89991898148</x:v>
      </x:c>
      <x:c r="B688" s="72" t="n">
        <x:v>46240.89993287037</x:v>
      </x:c>
      <x:c r="C688" s="32" t="str">
        <x:v>P13</x:v>
      </x:c>
      <x:c r="D688" s="32" t="str">
        <x:v>B3-W0-V1</x:v>
      </x:c>
      <x:c r="E688" s="32" t="str">
        <x:v>B3</x:v>
      </x:c>
      <x:c r="F688" s="32" t="str">
        <x:v>W0</x:v>
      </x:c>
      <x:c r="G688" s="32" t="str">
        <x:v>V1</x:v>
      </x:c>
      <x:c r="H688" s="32" t="str">
        <x:v>water_soil</x:v>
      </x:c>
      <x:c r="I688" s="32" t="str">
        <x:v>862323089930713</x:v>
      </x:c>
      <x:c r="J688" s="82" t="n">
        <x:v>35.6</x:v>
      </x:c>
      <x:c r="K688" s="82"/>
      <x:c r="L688" s="82" t="n">
        <x:v>40.8</x:v>
      </x:c>
      <x:c r="M688" s="82" t="n">
        <x:v>25.6</x:v>
      </x:c>
      <x:c r="N688" s="86" t="n">
        <x:v>968</x:v>
      </x:c>
      <x:c r="O688" s="90" t="n">
        <x:v>6.48</x:v>
      </x:c>
      <x:c r="P688" s="150" t="n">
        <x:v>3.938</x:v>
      </x:c>
      <x:c r="Q688" s="86" t="n">
        <x:v>22</x:v>
      </x:c>
      <x:c r="R688" s="32" t="str">
        <x:v>ok</x:v>
      </x:c>
      <x:c r="S688" s="32"/>
      <x:c r="T688" s="32" t="str">
        <x:v>ok</x:v>
      </x:c>
      <x:c r="U688" s="32" t="str">
        <x:v>ok</x:v>
      </x:c>
      <x:c r="V688" s="32" t="str">
        <x:v>ok</x:v>
      </x:c>
      <x:c r="W688" s="154" t="str">
        <x:v>{"schema_version":1,"imei":"862323089930713","timestamp":1786023353,"report_sequence":29,"task_version":"rice_w0_water_soil_demo","sensor_mode":"water_soil","soil_moisture_percent":40.8,"soil_temperature_c":25.6,"soil_ec_us_cm":968,"soil_ph":6.48,"battery_mv":3938,"csq":22,"soil_rs485_status":"ok","cycle_status":"ok","water_level_mm":35.6,"water_4_20ma_status":"ok"}</x:v>
      </x:c>
    </x:row>
    <x:row r="689">
      <x:c r="A689" s="72" t="n">
        <x:v>46240.89991898148</x:v>
      </x:c>
      <x:c r="B689" s="72" t="n">
        <x:v>46240.89993287037</x:v>
      </x:c>
      <x:c r="C689" s="32" t="str">
        <x:v>P14</x:v>
      </x:c>
      <x:c r="D689" s="32" t="str">
        <x:v>B3-W0-V2</x:v>
      </x:c>
      <x:c r="E689" s="32" t="str">
        <x:v>B3</x:v>
      </x:c>
      <x:c r="F689" s="32" t="str">
        <x:v>W0</x:v>
      </x:c>
      <x:c r="G689" s="32" t="str">
        <x:v>V2</x:v>
      </x:c>
      <x:c r="H689" s="32" t="str">
        <x:v>water_soil</x:v>
      </x:c>
      <x:c r="I689" s="32" t="str">
        <x:v>862323089930714</x:v>
      </x:c>
      <x:c r="J689" s="82" t="n">
        <x:v>38</x:v>
      </x:c>
      <x:c r="K689" s="82"/>
      <x:c r="L689" s="82" t="n">
        <x:v>41.6</x:v>
      </x:c>
      <x:c r="M689" s="82" t="n">
        <x:v>25.5</x:v>
      </x:c>
      <x:c r="N689" s="86" t="n">
        <x:v>976</x:v>
      </x:c>
      <x:c r="O689" s="90" t="n">
        <x:v>6.52</x:v>
      </x:c>
      <x:c r="P689" s="150" t="n">
        <x:v>3.956</x:v>
      </x:c>
      <x:c r="Q689" s="86" t="n">
        <x:v>23</x:v>
      </x:c>
      <x:c r="R689" s="32" t="str">
        <x:v>ok</x:v>
      </x:c>
      <x:c r="S689" s="32"/>
      <x:c r="T689" s="32" t="str">
        <x:v>ok</x:v>
      </x:c>
      <x:c r="U689" s="32" t="str">
        <x:v>ok</x:v>
      </x:c>
      <x:c r="V689" s="32" t="str">
        <x:v>ok</x:v>
      </x:c>
      <x:c r="W689" s="154" t="str">
        <x:v>{"schema_version":1,"imei":"862323089930714","timestamp":1786023353,"report_sequence":29,"task_version":"rice_w0_water_soil_demo","sensor_mode":"water_soil","soil_moisture_percent":41.6,"soil_temperature_c":25.5,"soil_ec_us_cm":976,"soil_ph":6.52,"battery_mv":3956,"csq":23,"soil_rs485_status":"ok","cycle_status":"ok","water_level_mm":38,"water_4_20ma_status":"ok"}</x:v>
      </x:c>
    </x:row>
    <x:row r="690">
      <x:c r="A690" s="72" t="n">
        <x:v>46240.89991898148</x:v>
      </x:c>
      <x:c r="B690" s="72" t="n">
        <x:v>46240.89993287037</x:v>
      </x:c>
      <x:c r="C690" s="32" t="str">
        <x:v>P15</x:v>
      </x:c>
      <x:c r="D690" s="32" t="str">
        <x:v>B3-W1-V1</x:v>
      </x:c>
      <x:c r="E690" s="32" t="str">
        <x:v>B3</x:v>
      </x:c>
      <x:c r="F690" s="32" t="str">
        <x:v>W1</x:v>
      </x:c>
      <x:c r="G690" s="32" t="str">
        <x:v>V1</x:v>
      </x:c>
      <x:c r="H690" s="32" t="str">
        <x:v>tension_soil</x:v>
      </x:c>
      <x:c r="I690" s="32" t="str">
        <x:v>862323089930715</x:v>
      </x:c>
      <x:c r="J690" s="82"/>
      <x:c r="K690" s="82" t="n">
        <x:v>-24.2</x:v>
      </x:c>
      <x:c r="L690" s="82" t="n">
        <x:v>42.2</x:v>
      </x:c>
      <x:c r="M690" s="82" t="n">
        <x:v>25.4</x:v>
      </x:c>
      <x:c r="N690" s="86" t="n">
        <x:v>982</x:v>
      </x:c>
      <x:c r="O690" s="90" t="n">
        <x:v>6.32</x:v>
      </x:c>
      <x:c r="P690" s="150" t="n">
        <x:v>3.974</x:v>
      </x:c>
      <x:c r="Q690" s="86" t="n">
        <x:v>24</x:v>
      </x:c>
      <x:c r="R690" s="32"/>
      <x:c r="S690" s="32" t="str">
        <x:v>ok</x:v>
      </x:c>
      <x:c r="T690" s="32" t="str">
        <x:v>ok</x:v>
      </x:c>
      <x:c r="U690" s="32" t="str">
        <x:v>ok</x:v>
      </x:c>
      <x:c r="V690" s="32" t="str">
        <x:v>ok</x:v>
      </x:c>
      <x:c r="W690" s="154" t="str">
        <x:v>{"schema_version":1,"imei":"862323089930715","timestamp":1786023353,"report_sequence":29,"task_version":"rice_tension_soil_demo","sensor_mode":"tension_soil","soil_moisture_percent":42.2,"soil_temperature_c":25.4,"soil_ec_us_cm":982,"soil_ph":6.32,"battery_mv":3974,"csq":24,"soil_rs485_status":"ok","cycle_status":"ok","soil_tension_kpa":-24.2,"soil_tension_rs485_status":"ok"}</x:v>
      </x:c>
    </x:row>
    <x:row r="691">
      <x:c r="A691" s="72" t="n">
        <x:v>46240.89991898148</x:v>
      </x:c>
      <x:c r="B691" s="72" t="n">
        <x:v>46240.89993287037</x:v>
      </x:c>
      <x:c r="C691" s="32" t="str">
        <x:v>P16</x:v>
      </x:c>
      <x:c r="D691" s="32" t="str">
        <x:v>B3-W1-V2</x:v>
      </x:c>
      <x:c r="E691" s="32" t="str">
        <x:v>B3</x:v>
      </x:c>
      <x:c r="F691" s="32" t="str">
        <x:v>W1</x:v>
      </x:c>
      <x:c r="G691" s="32" t="str">
        <x:v>V2</x:v>
      </x:c>
      <x:c r="H691" s="32" t="str">
        <x:v>tension_soil</x:v>
      </x:c>
      <x:c r="I691" s="32" t="str">
        <x:v>862323089930716</x:v>
      </x:c>
      <x:c r="J691" s="82"/>
      <x:c r="K691" s="82" t="n">
        <x:v>-24.8</x:v>
      </x:c>
      <x:c r="L691" s="82" t="n">
        <x:v>34.8</x:v>
      </x:c>
      <x:c r="M691" s="82" t="n">
        <x:v>25.3</x:v>
      </x:c>
      <x:c r="N691" s="86" t="n">
        <x:v>986</x:v>
      </x:c>
      <x:c r="O691" s="90" t="n">
        <x:v>6.36</x:v>
      </x:c>
      <x:c r="P691" s="150" t="n">
        <x:v>3.992</x:v>
      </x:c>
      <x:c r="Q691" s="86" t="n">
        <x:v>17</x:v>
      </x:c>
      <x:c r="R691" s="32"/>
      <x:c r="S691" s="32" t="str">
        <x:v>ok</x:v>
      </x:c>
      <x:c r="T691" s="32" t="str">
        <x:v>ok</x:v>
      </x:c>
      <x:c r="U691" s="32" t="str">
        <x:v>ok</x:v>
      </x:c>
      <x:c r="V691" s="32" t="str">
        <x:v>ok</x:v>
      </x:c>
      <x:c r="W691" s="154" t="str">
        <x:v>{"schema_version":1,"imei":"862323089930716","timestamp":1786023353,"report_sequence":29,"task_version":"rice_tension_soil_demo","sensor_mode":"tension_soil","soil_moisture_percent":34.8,"soil_temperature_c":25.3,"soil_ec_us_cm":986,"soil_ph":6.36,"battery_mv":3992,"csq":17,"soil_rs485_status":"ok","cycle_status":"ok","soil_tension_kpa":-24.8,"soil_tension_rs485_status":"ok"}</x:v>
      </x:c>
    </x:row>
    <x:row r="692">
      <x:c r="A692" s="72" t="n">
        <x:v>46240.89991898148</x:v>
      </x:c>
      <x:c r="B692" s="72" t="n">
        <x:v>46240.89993287037</x:v>
      </x:c>
      <x:c r="C692" s="32" t="str">
        <x:v>P17</x:v>
      </x:c>
      <x:c r="D692" s="32" t="str">
        <x:v>B3-W2-V1</x:v>
      </x:c>
      <x:c r="E692" s="32" t="str">
        <x:v>B3</x:v>
      </x:c>
      <x:c r="F692" s="32" t="str">
        <x:v>W2</x:v>
      </x:c>
      <x:c r="G692" s="32" t="str">
        <x:v>V1</x:v>
      </x:c>
      <x:c r="H692" s="32" t="str">
        <x:v>tension_soil</x:v>
      </x:c>
      <x:c r="I692" s="32" t="str">
        <x:v>862323089930717</x:v>
      </x:c>
      <x:c r="J692" s="82"/>
      <x:c r="K692" s="82" t="n">
        <x:v>-36.3</x:v>
      </x:c>
      <x:c r="L692" s="82" t="n">
        <x:v>35.3</x:v>
      </x:c>
      <x:c r="M692" s="82" t="n">
        <x:v>25.2</x:v>
      </x:c>
      <x:c r="N692" s="86" t="n">
        <x:v>990</x:v>
      </x:c>
      <x:c r="O692" s="90" t="n">
        <x:v>6.41</x:v>
      </x:c>
      <x:c r="P692" s="150" t="n">
        <x:v>4.01</x:v>
      </x:c>
      <x:c r="Q692" s="86" t="n">
        <x:v>18</x:v>
      </x:c>
      <x:c r="R692" s="32"/>
      <x:c r="S692" s="32" t="str">
        <x:v>ok</x:v>
      </x:c>
      <x:c r="T692" s="32" t="str">
        <x:v>ok</x:v>
      </x:c>
      <x:c r="U692" s="32" t="str">
        <x:v>ok</x:v>
      </x:c>
      <x:c r="V692" s="32" t="str">
        <x:v>ok</x:v>
      </x:c>
      <x:c r="W692" s="154" t="str">
        <x:v>{"schema_version":1,"imei":"862323089930717","timestamp":1786023353,"report_sequence":29,"task_version":"rice_tension_soil_demo","sensor_mode":"tension_soil","soil_moisture_percent":35.3,"soil_temperature_c":25.2,"soil_ec_us_cm":990,"soil_ph":6.41,"battery_mv":4010,"csq":18,"soil_rs485_status":"ok","cycle_status":"ok","soil_tension_kpa":-36.3,"soil_tension_rs485_status":"ok"}</x:v>
      </x:c>
    </x:row>
    <x:row r="693">
      <x:c r="A693" s="72" t="n">
        <x:v>46240.89991898148</x:v>
      </x:c>
      <x:c r="B693" s="72" t="n">
        <x:v>46240.89993287037</x:v>
      </x:c>
      <x:c r="C693" s="32" t="str">
        <x:v>P18</x:v>
      </x:c>
      <x:c r="D693" s="32" t="str">
        <x:v>B3-W2-V2</x:v>
      </x:c>
      <x:c r="E693" s="32" t="str">
        <x:v>B3</x:v>
      </x:c>
      <x:c r="F693" s="32" t="str">
        <x:v>W2</x:v>
      </x:c>
      <x:c r="G693" s="32" t="str">
        <x:v>V2</x:v>
      </x:c>
      <x:c r="H693" s="32" t="str">
        <x:v>tension_soil</x:v>
      </x:c>
      <x:c r="I693" s="32" t="str">
        <x:v>862323089930718</x:v>
      </x:c>
      <x:c r="J693" s="82"/>
      <x:c r="K693" s="82" t="n">
        <x:v>-36.8</x:v>
      </x:c>
      <x:c r="L693" s="82" t="n">
        <x:v>35.8</x:v>
      </x:c>
      <x:c r="M693" s="82" t="n">
        <x:v>25.1</x:v>
      </x:c>
      <x:c r="N693" s="86" t="n">
        <x:v>993</x:v>
      </x:c>
      <x:c r="O693" s="90" t="n">
        <x:v>6.45</x:v>
      </x:c>
      <x:c r="P693" s="150" t="n">
        <x:v>3.92</x:v>
      </x:c>
      <x:c r="Q693" s="86" t="n">
        <x:v>19</x:v>
      </x:c>
      <x:c r="R693" s="32"/>
      <x:c r="S693" s="32" t="str">
        <x:v>ok</x:v>
      </x:c>
      <x:c r="T693" s="32" t="str">
        <x:v>ok</x:v>
      </x:c>
      <x:c r="U693" s="32" t="str">
        <x:v>ok</x:v>
      </x:c>
      <x:c r="V693" s="32" t="str">
        <x:v>ok</x:v>
      </x:c>
      <x:c r="W693" s="154" t="str">
        <x:v>{"schema_version":1,"imei":"862323089930718","timestamp":1786023353,"report_sequence":29,"task_version":"rice_tension_soil_demo","sensor_mode":"tension_soil","soil_moisture_percent":35.8,"soil_temperature_c":25.1,"soil_ec_us_cm":993,"soil_ph":6.45,"battery_mv":3920,"csq":19,"soil_rs485_status":"ok","cycle_status":"ok","soil_tension_kpa":-36.8,"soil_tension_rs485_status":"ok"}</x:v>
      </x:c>
    </x:row>
    <x:row r="694">
      <x:c r="A694" s="72" t="n">
        <x:v>46240.89991898148</x:v>
      </x:c>
      <x:c r="B694" s="72" t="n">
        <x:v>46240.89993287037</x:v>
      </x:c>
      <x:c r="C694" s="32" t="str">
        <x:v>P19</x:v>
      </x:c>
      <x:c r="D694" s="32" t="str">
        <x:v>B4-W0-V1</x:v>
      </x:c>
      <x:c r="E694" s="32" t="str">
        <x:v>B4</x:v>
      </x:c>
      <x:c r="F694" s="32" t="str">
        <x:v>W0</x:v>
      </x:c>
      <x:c r="G694" s="32" t="str">
        <x:v>V1</x:v>
      </x:c>
      <x:c r="H694" s="32" t="str">
        <x:v>water_soil</x:v>
      </x:c>
      <x:c r="I694" s="32" t="str">
        <x:v>862323089930719</x:v>
      </x:c>
      <x:c r="J694" s="82" t="n">
        <x:v>35.4</x:v>
      </x:c>
      <x:c r="K694" s="82"/>
      <x:c r="L694" s="82" t="n">
        <x:v>36.4</x:v>
      </x:c>
      <x:c r="M694" s="82" t="n">
        <x:v>24.9</x:v>
      </x:c>
      <x:c r="N694" s="86" t="n">
        <x:v>997</x:v>
      </x:c>
      <x:c r="O694" s="90" t="n">
        <x:v>6.49</x:v>
      </x:c>
      <x:c r="P694" s="150" t="n">
        <x:v>3.938</x:v>
      </x:c>
      <x:c r="Q694" s="86" t="n">
        <x:v>20</x:v>
      </x:c>
      <x:c r="R694" s="32" t="str">
        <x:v>ok</x:v>
      </x:c>
      <x:c r="S694" s="32"/>
      <x:c r="T694" s="32" t="str">
        <x:v>ok</x:v>
      </x:c>
      <x:c r="U694" s="32" t="str">
        <x:v>ok</x:v>
      </x:c>
      <x:c r="V694" s="32" t="str">
        <x:v>ok</x:v>
      </x:c>
      <x:c r="W694" s="154" t="str">
        <x:v>{"schema_version":1,"imei":"862323089930719","timestamp":1786023353,"report_sequence":29,"task_version":"rice_w0_water_soil_demo","sensor_mode":"water_soil","soil_moisture_percent":36.4,"soil_temperature_c":24.9,"soil_ec_us_cm":997,"soil_ph":6.49,"battery_mv":3938,"csq":20,"soil_rs485_status":"ok","cycle_status":"ok","water_level_mm":35.4,"water_4_20ma_status":"ok"}</x:v>
      </x:c>
    </x:row>
    <x:row r="695">
      <x:c r="A695" s="72" t="n">
        <x:v>46240.89991898148</x:v>
      </x:c>
      <x:c r="B695" s="72" t="n">
        <x:v>46240.89993287037</x:v>
      </x:c>
      <x:c r="C695" s="32" t="str">
        <x:v>P20</x:v>
      </x:c>
      <x:c r="D695" s="32" t="str">
        <x:v>B4-W0-V2</x:v>
      </x:c>
      <x:c r="E695" s="32" t="str">
        <x:v>B4</x:v>
      </x:c>
      <x:c r="F695" s="32" t="str">
        <x:v>W0</x:v>
      </x:c>
      <x:c r="G695" s="32" t="str">
        <x:v>V2</x:v>
      </x:c>
      <x:c r="H695" s="32" t="str">
        <x:v>water_soil</x:v>
      </x:c>
      <x:c r="I695" s="32" t="str">
        <x:v>862323089930720</x:v>
      </x:c>
      <x:c r="J695" s="82" t="n">
        <x:v>25.3</x:v>
      </x:c>
      <x:c r="K695" s="82"/>
      <x:c r="L695" s="82" t="n">
        <x:v>36.9</x:v>
      </x:c>
      <x:c r="M695" s="82" t="n">
        <x:v>24.8</x:v>
      </x:c>
      <x:c r="N695" s="86" t="n">
        <x:v>1001</x:v>
      </x:c>
      <x:c r="O695" s="90" t="n">
        <x:v>6.28</x:v>
      </x:c>
      <x:c r="P695" s="150" t="n">
        <x:v>3.956</x:v>
      </x:c>
      <x:c r="Q695" s="86" t="n">
        <x:v>21</x:v>
      </x:c>
      <x:c r="R695" s="32" t="str">
        <x:v>ok</x:v>
      </x:c>
      <x:c r="S695" s="32"/>
      <x:c r="T695" s="32" t="str">
        <x:v>ok</x:v>
      </x:c>
      <x:c r="U695" s="32" t="str">
        <x:v>ok</x:v>
      </x:c>
      <x:c r="V695" s="32" t="str">
        <x:v>ok</x:v>
      </x:c>
      <x:c r="W695" s="154" t="str">
        <x:v>{"schema_version":1,"imei":"862323089930720","timestamp":1786023353,"report_sequence":29,"task_version":"rice_w0_water_soil_demo","sensor_mode":"water_soil","soil_moisture_percent":36.9,"soil_temperature_c":24.8,"soil_ec_us_cm":1001,"soil_ph":6.28,"battery_mv":3956,"csq":21,"soil_rs485_status":"ok","cycle_status":"ok","water_level_mm":25.3,"water_4_20ma_status":"ok"}</x:v>
      </x:c>
    </x:row>
    <x:row r="696">
      <x:c r="A696" s="72" t="n">
        <x:v>46240.89991898148</x:v>
      </x:c>
      <x:c r="B696" s="72" t="n">
        <x:v>46240.89993287037</x:v>
      </x:c>
      <x:c r="C696" s="32" t="str">
        <x:v>P21</x:v>
      </x:c>
      <x:c r="D696" s="32" t="str">
        <x:v>B4-W1-V1</x:v>
      </x:c>
      <x:c r="E696" s="32" t="str">
        <x:v>B4</x:v>
      </x:c>
      <x:c r="F696" s="32" t="str">
        <x:v>W1</x:v>
      </x:c>
      <x:c r="G696" s="32" t="str">
        <x:v>V1</x:v>
      </x:c>
      <x:c r="H696" s="32" t="str">
        <x:v>tension_soil</x:v>
      </x:c>
      <x:c r="I696" s="32" t="str">
        <x:v>862323089930721</x:v>
      </x:c>
      <x:c r="J696" s="82"/>
      <x:c r="K696" s="82" t="n">
        <x:v>-22.5</x:v>
      </x:c>
      <x:c r="L696" s="82" t="n">
        <x:v>37.5</x:v>
      </x:c>
      <x:c r="M696" s="82" t="n">
        <x:v>24.7</x:v>
      </x:c>
      <x:c r="N696" s="86" t="n">
        <x:v>1006</x:v>
      </x:c>
      <x:c r="O696" s="90" t="n">
        <x:v>6.33</x:v>
      </x:c>
      <x:c r="P696" s="150" t="n">
        <x:v>3.974</x:v>
      </x:c>
      <x:c r="Q696" s="86" t="n">
        <x:v>22</x:v>
      </x:c>
      <x:c r="R696" s="32"/>
      <x:c r="S696" s="32" t="str">
        <x:v>ok</x:v>
      </x:c>
      <x:c r="T696" s="32" t="str">
        <x:v>ok</x:v>
      </x:c>
      <x:c r="U696" s="32" t="str">
        <x:v>ok</x:v>
      </x:c>
      <x:c r="V696" s="32" t="str">
        <x:v>ok</x:v>
      </x:c>
      <x:c r="W696" s="154" t="str">
        <x:v>{"schema_version":1,"imei":"862323089930721","timestamp":1786023353,"report_sequence":29,"task_version":"rice_tension_soil_demo","sensor_mode":"tension_soil","soil_moisture_percent":37.5,"soil_temperature_c":24.7,"soil_ec_us_cm":1006,"soil_ph":6.33,"battery_mv":3974,"csq":22,"soil_rs485_status":"ok","cycle_status":"ok","soil_tension_kpa":-22.5,"soil_tension_rs485_status":"ok"}</x:v>
      </x:c>
    </x:row>
    <x:row r="697">
      <x:c r="A697" s="72" t="n">
        <x:v>46240.89991898148</x:v>
      </x:c>
      <x:c r="B697" s="72" t="n">
        <x:v>46240.89993287037</x:v>
      </x:c>
      <x:c r="C697" s="32" t="str">
        <x:v>P22</x:v>
      </x:c>
      <x:c r="D697" s="32" t="str">
        <x:v>B4-W1-V2</x:v>
      </x:c>
      <x:c r="E697" s="32" t="str">
        <x:v>B4</x:v>
      </x:c>
      <x:c r="F697" s="32" t="str">
        <x:v>W1</x:v>
      </x:c>
      <x:c r="G697" s="32" t="str">
        <x:v>V2</x:v>
      </x:c>
      <x:c r="H697" s="32" t="str">
        <x:v>tension_soil</x:v>
      </x:c>
      <x:c r="I697" s="32" t="str">
        <x:v>862323089930722</x:v>
      </x:c>
      <x:c r="J697" s="82"/>
      <x:c r="K697" s="82" t="n">
        <x:v>-23.2</x:v>
      </x:c>
      <x:c r="L697" s="82" t="n">
        <x:v>38.2</x:v>
      </x:c>
      <x:c r="M697" s="82" t="n">
        <x:v>24.7</x:v>
      </x:c>
      <x:c r="N697" s="86" t="n">
        <x:v>1013</x:v>
      </x:c>
      <x:c r="O697" s="90" t="n">
        <x:v>6.37</x:v>
      </x:c>
      <x:c r="P697" s="150" t="n">
        <x:v>3.992</x:v>
      </x:c>
      <x:c r="Q697" s="86" t="n">
        <x:v>23</x:v>
      </x:c>
      <x:c r="R697" s="32"/>
      <x:c r="S697" s="32" t="str">
        <x:v>ok</x:v>
      </x:c>
      <x:c r="T697" s="32" t="str">
        <x:v>ok</x:v>
      </x:c>
      <x:c r="U697" s="32" t="str">
        <x:v>ok</x:v>
      </x:c>
      <x:c r="V697" s="32" t="str">
        <x:v>ok</x:v>
      </x:c>
      <x:c r="W697" s="154" t="str">
        <x:v>{"schema_version":1,"imei":"862323089930722","timestamp":1786023353,"report_sequence":29,"task_version":"rice_tension_soil_demo","sensor_mode":"tension_soil","soil_moisture_percent":38.2,"soil_temperature_c":24.7,"soil_ec_us_cm":1013,"soil_ph":6.37,"battery_mv":3992,"csq":23,"soil_rs485_status":"ok","cycle_status":"ok","soil_tension_kpa":-23.2,"soil_tension_rs485_status":"ok"}</x:v>
      </x:c>
    </x:row>
    <x:row r="698">
      <x:c r="A698" s="72" t="n">
        <x:v>46240.89991898148</x:v>
      </x:c>
      <x:c r="B698" s="72" t="n">
        <x:v>46240.89993287037</x:v>
      </x:c>
      <x:c r="C698" s="32" t="str">
        <x:v>P23</x:v>
      </x:c>
      <x:c r="D698" s="32" t="str">
        <x:v>B4-W2-V1</x:v>
      </x:c>
      <x:c r="E698" s="32" t="str">
        <x:v>B4</x:v>
      </x:c>
      <x:c r="F698" s="32" t="str">
        <x:v>W2</x:v>
      </x:c>
      <x:c r="G698" s="32" t="str">
        <x:v>V1</x:v>
      </x:c>
      <x:c r="H698" s="32" t="str">
        <x:v>tension_soil</x:v>
      </x:c>
      <x:c r="I698" s="32" t="str">
        <x:v>862323089930723</x:v>
      </x:c>
      <x:c r="J698" s="82"/>
      <x:c r="K698" s="82" t="n">
        <x:v>-35.1</x:v>
      </x:c>
      <x:c r="L698" s="82" t="n">
        <x:v>39.1</x:v>
      </x:c>
      <x:c r="M698" s="82" t="n">
        <x:v>24.6</x:v>
      </x:c>
      <x:c r="N698" s="86" t="n">
        <x:v>1022</x:v>
      </x:c>
      <x:c r="O698" s="90" t="n">
        <x:v>6.42</x:v>
      </x:c>
      <x:c r="P698" s="150" t="n">
        <x:v>4.01</x:v>
      </x:c>
      <x:c r="Q698" s="86" t="n">
        <x:v>24</x:v>
      </x:c>
      <x:c r="R698" s="32"/>
      <x:c r="S698" s="32" t="str">
        <x:v>ok</x:v>
      </x:c>
      <x:c r="T698" s="32" t="str">
        <x:v>ok</x:v>
      </x:c>
      <x:c r="U698" s="32" t="str">
        <x:v>ok</x:v>
      </x:c>
      <x:c r="V698" s="32" t="str">
        <x:v>ok</x:v>
      </x:c>
      <x:c r="W698" s="154" t="str">
        <x:v>{"schema_version":1,"imei":"862323089930723","timestamp":1786023353,"report_sequence":29,"task_version":"rice_tension_soil_demo","sensor_mode":"tension_soil","soil_moisture_percent":39.1,"soil_temperature_c":24.6,"soil_ec_us_cm":1022,"soil_ph":6.42,"battery_mv":4010,"csq":24,"soil_rs485_status":"ok","cycle_status":"ok","soil_tension_kpa":-35.1,"soil_tension_rs485_status":"ok"}</x:v>
      </x:c>
    </x:row>
    <x:row r="699">
      <x:c r="A699" s="72" t="n">
        <x:v>46240.89991898148</x:v>
      </x:c>
      <x:c r="B699" s="72" t="n">
        <x:v>46240.89993287037</x:v>
      </x:c>
      <x:c r="C699" s="32" t="str">
        <x:v>P24</x:v>
      </x:c>
      <x:c r="D699" s="32" t="str">
        <x:v>B4-W2-V2</x:v>
      </x:c>
      <x:c r="E699" s="32" t="str">
        <x:v>B4</x:v>
      </x:c>
      <x:c r="F699" s="32" t="str">
        <x:v>W2</x:v>
      </x:c>
      <x:c r="G699" s="32" t="str">
        <x:v>V2</x:v>
      </x:c>
      <x:c r="H699" s="32" t="str">
        <x:v>tension_soil</x:v>
      </x:c>
      <x:c r="I699" s="32" t="str">
        <x:v>862323089930724</x:v>
      </x:c>
      <x:c r="J699" s="82"/>
      <x:c r="K699" s="82" t="n">
        <x:v>-36</x:v>
      </x:c>
      <x:c r="L699" s="82" t="n">
        <x:v>32</x:v>
      </x:c>
      <x:c r="M699" s="82" t="n">
        <x:v>24.6</x:v>
      </x:c>
      <x:c r="N699" s="86" t="n">
        <x:v>1033</x:v>
      </x:c>
      <x:c r="O699" s="90" t="n">
        <x:v>6.47</x:v>
      </x:c>
      <x:c r="P699" s="150" t="n">
        <x:v>3.92</x:v>
      </x:c>
      <x:c r="Q699" s="86" t="n">
        <x:v>17</x:v>
      </x:c>
      <x:c r="R699" s="32"/>
      <x:c r="S699" s="32" t="str">
        <x:v>ok</x:v>
      </x:c>
      <x:c r="T699" s="32" t="str">
        <x:v>ok</x:v>
      </x:c>
      <x:c r="U699" s="32" t="str">
        <x:v>ok</x:v>
      </x:c>
      <x:c r="V699" s="32" t="str">
        <x:v>ok</x:v>
      </x:c>
      <x:c r="W699" s="154" t="str">
        <x:v>{"schema_version":1,"imei":"862323089930724","timestamp":1786023353,"report_sequence":29,"task_version":"rice_tension_soil_demo","sensor_mode":"tension_soil","soil_moisture_percent":32,"soil_temperature_c":24.6,"soil_ec_us_cm":1033,"soil_ph":6.47,"battery_mv":3920,"csq":17,"soil_rs485_status":"ok","cycle_status":"ok","soil_tension_kpa":-36,"soil_tension_rs485_status":"ok"}</x:v>
      </x:c>
    </x:row>
    <x:row r="700">
      <x:c r="A700" s="72" t="n">
        <x:v>46240.903391203705</x:v>
      </x:c>
      <x:c r="B700" s="72" t="n">
        <x:v>46240.90340509259</x:v>
      </x:c>
      <x:c r="C700" s="32" t="str">
        <x:v>P01</x:v>
      </x:c>
      <x:c r="D700" s="32" t="str">
        <x:v>B1-W0-V1</x:v>
      </x:c>
      <x:c r="E700" s="32" t="str">
        <x:v>B1</x:v>
      </x:c>
      <x:c r="F700" s="32" t="str">
        <x:v>W0</x:v>
      </x:c>
      <x:c r="G700" s="32" t="str">
        <x:v>V1</x:v>
      </x:c>
      <x:c r="H700" s="32" t="str">
        <x:v>water_soil</x:v>
      </x:c>
      <x:c r="I700" s="32" t="str">
        <x:v>862323089930701</x:v>
      </x:c>
      <x:c r="J700" s="82" t="n">
        <x:v>26.2</x:v>
      </x:c>
      <x:c r="K700" s="82"/>
      <x:c r="L700" s="82" t="n">
        <x:v>33.1</x:v>
      </x:c>
      <x:c r="M700" s="82" t="n">
        <x:v>24.6</x:v>
      </x:c>
      <x:c r="N700" s="86" t="n">
        <x:v>758</x:v>
      </x:c>
      <x:c r="O700" s="90" t="n">
        <x:v>6.32</x:v>
      </x:c>
      <x:c r="P700" s="150" t="n">
        <x:v>3.938</x:v>
      </x:c>
      <x:c r="Q700" s="86" t="n">
        <x:v>18</x:v>
      </x:c>
      <x:c r="R700" s="32" t="str">
        <x:v>ok</x:v>
      </x:c>
      <x:c r="S700" s="32"/>
      <x:c r="T700" s="32" t="str">
        <x:v>ok</x:v>
      </x:c>
      <x:c r="U700" s="32" t="str">
        <x:v>ok</x:v>
      </x:c>
      <x:c r="V700" s="32" t="str">
        <x:v>ok</x:v>
      </x:c>
      <x:c r="W700" s="154" t="str">
        <x:v>{"schema_version":1,"imei":"862323089930701","timestamp":1786023653,"report_sequence":30,"task_version":"rice_w0_water_soil_demo","sensor_mode":"water_soil","soil_moisture_percent":33.1,"soil_temperature_c":24.6,"soil_ec_us_cm":758,"soil_ph":6.32,"battery_mv":3938,"csq":18,"soil_rs485_status":"ok","cycle_status":"ok","water_level_mm":26.2,"water_4_20ma_status":"ok"}</x:v>
      </x:c>
    </x:row>
    <x:row r="701">
      <x:c r="A701" s="72" t="n">
        <x:v>46240.903391203705</x:v>
      </x:c>
      <x:c r="B701" s="72" t="n">
        <x:v>46240.90340509259</x:v>
      </x:c>
      <x:c r="C701" s="32" t="str">
        <x:v>P02</x:v>
      </x:c>
      <x:c r="D701" s="32" t="str">
        <x:v>B1-W0-V2</x:v>
      </x:c>
      <x:c r="E701" s="32" t="str">
        <x:v>B1</x:v>
      </x:c>
      <x:c r="F701" s="32" t="str">
        <x:v>W0</x:v>
      </x:c>
      <x:c r="G701" s="32" t="str">
        <x:v>V2</x:v>
      </x:c>
      <x:c r="H701" s="32" t="str">
        <x:v>water_soil</x:v>
      </x:c>
      <x:c r="I701" s="32" t="str">
        <x:v>862323089930702</x:v>
      </x:c>
      <x:c r="J701" s="82" t="n">
        <x:v>29.7</x:v>
      </x:c>
      <x:c r="K701" s="82"/>
      <x:c r="L701" s="82" t="n">
        <x:v>34.3</x:v>
      </x:c>
      <x:c r="M701" s="82" t="n">
        <x:v>24.7</x:v>
      </x:c>
      <x:c r="N701" s="86" t="n">
        <x:v>774</x:v>
      </x:c>
      <x:c r="O701" s="90" t="n">
        <x:v>6.37</x:v>
      </x:c>
      <x:c r="P701" s="150" t="n">
        <x:v>3.956</x:v>
      </x:c>
      <x:c r="Q701" s="86" t="n">
        <x:v>19</x:v>
      </x:c>
      <x:c r="R701" s="32" t="str">
        <x:v>ok</x:v>
      </x:c>
      <x:c r="S701" s="32"/>
      <x:c r="T701" s="32" t="str">
        <x:v>ok</x:v>
      </x:c>
      <x:c r="U701" s="32" t="str">
        <x:v>ok</x:v>
      </x:c>
      <x:c r="V701" s="32" t="str">
        <x:v>ok</x:v>
      </x:c>
      <x:c r="W701" s="154" t="str">
        <x:v>{"schema_version":1,"imei":"862323089930702","timestamp":1786023653,"report_sequence":30,"task_version":"rice_w0_water_soil_demo","sensor_mode":"water_soil","soil_moisture_percent":34.3,"soil_temperature_c":24.7,"soil_ec_us_cm":774,"soil_ph":6.37,"battery_mv":3956,"csq":19,"soil_rs485_status":"ok","cycle_status":"ok","water_level_mm":29.7,"water_4_20ma_status":"ok"}</x:v>
      </x:c>
    </x:row>
    <x:row r="702">
      <x:c r="A702" s="72" t="n">
        <x:v>46240.903391203705</x:v>
      </x:c>
      <x:c r="B702" s="72" t="n">
        <x:v>46240.90340509259</x:v>
      </x:c>
      <x:c r="C702" s="32" t="str">
        <x:v>P03</x:v>
      </x:c>
      <x:c r="D702" s="32" t="str">
        <x:v>B1-W1-V1</x:v>
      </x:c>
      <x:c r="E702" s="32" t="str">
        <x:v>B1</x:v>
      </x:c>
      <x:c r="F702" s="32" t="str">
        <x:v>W1</x:v>
      </x:c>
      <x:c r="G702" s="32" t="str">
        <x:v>V1</x:v>
      </x:c>
      <x:c r="H702" s="32" t="str">
        <x:v>tension_soil</x:v>
      </x:c>
      <x:c r="I702" s="32" t="str">
        <x:v>862323089930703</x:v>
      </x:c>
      <x:c r="J702" s="82"/>
      <x:c r="K702" s="82" t="n">
        <x:v>-24.6</x:v>
      </x:c>
      <x:c r="L702" s="82" t="n">
        <x:v>35.6</x:v>
      </x:c>
      <x:c r="M702" s="82" t="n">
        <x:v>24.7</x:v>
      </x:c>
      <x:c r="N702" s="86" t="n">
        <x:v>791</x:v>
      </x:c>
      <x:c r="O702" s="90" t="n">
        <x:v>6.43</x:v>
      </x:c>
      <x:c r="P702" s="150" t="n">
        <x:v>3.974</x:v>
      </x:c>
      <x:c r="Q702" s="86" t="n">
        <x:v>20</x:v>
      </x:c>
      <x:c r="R702" s="32"/>
      <x:c r="S702" s="32" t="str">
        <x:v>ok</x:v>
      </x:c>
      <x:c r="T702" s="32" t="str">
        <x:v>ok</x:v>
      </x:c>
      <x:c r="U702" s="32" t="str">
        <x:v>ok</x:v>
      </x:c>
      <x:c r="V702" s="32" t="str">
        <x:v>ok</x:v>
      </x:c>
      <x:c r="W702" s="154" t="str">
        <x:v>{"schema_version":1,"imei":"862323089930703","timestamp":1786023653,"report_sequence":30,"task_version":"rice_tension_soil_demo","sensor_mode":"tension_soil","soil_moisture_percent":35.6,"soil_temperature_c":24.7,"soil_ec_us_cm":791,"soil_ph":6.43,"battery_mv":3974,"csq":20,"soil_rs485_status":"ok","cycle_status":"ok","soil_tension_kpa":-24.6,"soil_tension_rs485_status":"ok"}</x:v>
      </x:c>
    </x:row>
    <x:row r="703">
      <x:c r="A703" s="72" t="n">
        <x:v>46240.903391203705</x:v>
      </x:c>
      <x:c r="B703" s="72" t="n">
        <x:v>46240.90340509259</x:v>
      </x:c>
      <x:c r="C703" s="32" t="str">
        <x:v>P04</x:v>
      </x:c>
      <x:c r="D703" s="32" t="str">
        <x:v>B1-W1-V2</x:v>
      </x:c>
      <x:c r="E703" s="32" t="str">
        <x:v>B1</x:v>
      </x:c>
      <x:c r="F703" s="32" t="str">
        <x:v>W1</x:v>
      </x:c>
      <x:c r="G703" s="32" t="str">
        <x:v>V2</x:v>
      </x:c>
      <x:c r="H703" s="32" t="str">
        <x:v>tension_soil</x:v>
      </x:c>
      <x:c r="I703" s="32" t="str">
        <x:v>862323089930704</x:v>
      </x:c>
      <x:c r="J703" s="82"/>
      <x:c r="K703" s="82" t="n">
        <x:v>-26</x:v>
      </x:c>
      <x:c r="L703" s="82" t="n">
        <x:v>37</x:v>
      </x:c>
      <x:c r="M703" s="82" t="n">
        <x:v>24.8</x:v>
      </x:c>
      <x:c r="N703" s="86" t="n">
        <x:v>810</x:v>
      </x:c>
      <x:c r="O703" s="90" t="n">
        <x:v>6.48</x:v>
      </x:c>
      <x:c r="P703" s="150" t="n">
        <x:v>3.992</x:v>
      </x:c>
      <x:c r="Q703" s="86" t="n">
        <x:v>21</x:v>
      </x:c>
      <x:c r="R703" s="32"/>
      <x:c r="S703" s="32" t="str">
        <x:v>ok</x:v>
      </x:c>
      <x:c r="T703" s="32" t="str">
        <x:v>ok</x:v>
      </x:c>
      <x:c r="U703" s="32" t="str">
        <x:v>ok</x:v>
      </x:c>
      <x:c r="V703" s="32" t="str">
        <x:v>ok</x:v>
      </x:c>
      <x:c r="W703" s="154" t="str">
        <x:v>{"schema_version":1,"imei":"862323089930704","timestamp":1786023653,"report_sequence":30,"task_version":"rice_tension_soil_demo","sensor_mode":"tension_soil","soil_moisture_percent":37,"soil_temperature_c":24.8,"soil_ec_us_cm":810,"soil_ph":6.48,"battery_mv":3992,"csq":21,"soil_rs485_status":"ok","cycle_status":"ok","soil_tension_kpa":-26,"soil_tension_rs485_status":"ok"}</x:v>
      </x:c>
    </x:row>
    <x:row r="704">
      <x:c r="A704" s="72" t="n">
        <x:v>46240.903391203705</x:v>
      </x:c>
      <x:c r="B704" s="72" t="n">
        <x:v>46240.90340509259</x:v>
      </x:c>
      <x:c r="C704" s="32" t="str">
        <x:v>P05</x:v>
      </x:c>
      <x:c r="D704" s="32" t="str">
        <x:v>B1-W2-V1</x:v>
      </x:c>
      <x:c r="E704" s="32" t="str">
        <x:v>B1</x:v>
      </x:c>
      <x:c r="F704" s="32" t="str">
        <x:v>W2</x:v>
      </x:c>
      <x:c r="G704" s="32" t="str">
        <x:v>V1</x:v>
      </x:c>
      <x:c r="H704" s="32" t="str">
        <x:v>tension_soil</x:v>
      </x:c>
      <x:c r="I704" s="32" t="str">
        <x:v>862323089930705</x:v>
      </x:c>
      <x:c r="J704" s="82"/>
      <x:c r="K704" s="82" t="n">
        <x:v>-33.4</x:v>
      </x:c>
      <x:c r="L704" s="82" t="n">
        <x:v>38.4</x:v>
      </x:c>
      <x:c r="M704" s="82" t="n">
        <x:v>25</x:v>
      </x:c>
      <x:c r="N704" s="86" t="n">
        <x:v>830</x:v>
      </x:c>
      <x:c r="O704" s="90" t="n">
        <x:v>6.29</x:v>
      </x:c>
      <x:c r="P704" s="150" t="n">
        <x:v>4.01</x:v>
      </x:c>
      <x:c r="Q704" s="86" t="n">
        <x:v>22</x:v>
      </x:c>
      <x:c r="R704" s="32"/>
      <x:c r="S704" s="32" t="str">
        <x:v>ok</x:v>
      </x:c>
      <x:c r="T704" s="32" t="str">
        <x:v>ok</x:v>
      </x:c>
      <x:c r="U704" s="32" t="str">
        <x:v>ok</x:v>
      </x:c>
      <x:c r="V704" s="32" t="str">
        <x:v>ok</x:v>
      </x:c>
      <x:c r="W704" s="154" t="str">
        <x:v>{"schema_version":1,"imei":"862323089930705","timestamp":1786023653,"report_sequence":30,"task_version":"rice_tension_soil_demo","sensor_mode":"tension_soil","soil_moisture_percent":38.4,"soil_temperature_c":25,"soil_ec_us_cm":830,"soil_ph":6.29,"battery_mv":4010,"csq":22,"soil_rs485_status":"ok","cycle_status":"ok","soil_tension_kpa":-33.4,"soil_tension_rs485_status":"ok"}</x:v>
      </x:c>
    </x:row>
    <x:row r="705">
      <x:c r="A705" s="72" t="n">
        <x:v>46240.903391203705</x:v>
      </x:c>
      <x:c r="B705" s="72" t="n">
        <x:v>46240.90340509259</x:v>
      </x:c>
      <x:c r="C705" s="32" t="str">
        <x:v>P06</x:v>
      </x:c>
      <x:c r="D705" s="32" t="str">
        <x:v>B1-W2-V2</x:v>
      </x:c>
      <x:c r="E705" s="32" t="str">
        <x:v>B1</x:v>
      </x:c>
      <x:c r="F705" s="32" t="str">
        <x:v>W2</x:v>
      </x:c>
      <x:c r="G705" s="32" t="str">
        <x:v>V2</x:v>
      </x:c>
      <x:c r="H705" s="32" t="str">
        <x:v>tension_soil</x:v>
      </x:c>
      <x:c r="I705" s="32" t="str">
        <x:v>862323089930706</x:v>
      </x:c>
      <x:c r="J705" s="82"/>
      <x:c r="K705" s="82" t="n">
        <x:v>-34.9</x:v>
      </x:c>
      <x:c r="L705" s="82" t="n">
        <x:v>39.9</x:v>
      </x:c>
      <x:c r="M705" s="82" t="n">
        <x:v>25.1</x:v>
      </x:c>
      <x:c r="N705" s="86" t="n">
        <x:v>851</x:v>
      </x:c>
      <x:c r="O705" s="90" t="n">
        <x:v>6.35</x:v>
      </x:c>
      <x:c r="P705" s="150" t="n">
        <x:v>3.92</x:v>
      </x:c>
      <x:c r="Q705" s="86" t="n">
        <x:v>23</x:v>
      </x:c>
      <x:c r="R705" s="32"/>
      <x:c r="S705" s="32" t="str">
        <x:v>ok</x:v>
      </x:c>
      <x:c r="T705" s="32" t="str">
        <x:v>ok</x:v>
      </x:c>
      <x:c r="U705" s="32" t="str">
        <x:v>ok</x:v>
      </x:c>
      <x:c r="V705" s="32" t="str">
        <x:v>ok</x:v>
      </x:c>
      <x:c r="W705" s="154" t="str">
        <x:v>{"schema_version":1,"imei":"862323089930706","timestamp":1786023653,"report_sequence":30,"task_version":"rice_tension_soil_demo","sensor_mode":"tension_soil","soil_moisture_percent":39.9,"soil_temperature_c":25.1,"soil_ec_us_cm":851,"soil_ph":6.35,"battery_mv":3920,"csq":23,"soil_rs485_status":"ok","cycle_status":"ok","soil_tension_kpa":-34.9,"soil_tension_rs485_status":"ok"}</x:v>
      </x:c>
    </x:row>
    <x:row r="706">
      <x:c r="A706" s="72" t="n">
        <x:v>46240.903391203705</x:v>
      </x:c>
      <x:c r="B706" s="72" t="n">
        <x:v>46240.90340509259</x:v>
      </x:c>
      <x:c r="C706" s="32" t="str">
        <x:v>P07</x:v>
      </x:c>
      <x:c r="D706" s="32" t="str">
        <x:v>B2-W0-V1</x:v>
      </x:c>
      <x:c r="E706" s="32" t="str">
        <x:v>B2</x:v>
      </x:c>
      <x:c r="F706" s="32" t="str">
        <x:v>W0</x:v>
      </x:c>
      <x:c r="G706" s="32" t="str">
        <x:v>V1</x:v>
      </x:c>
      <x:c r="H706" s="32" t="str">
        <x:v>water_soil</x:v>
      </x:c>
      <x:c r="I706" s="32" t="str">
        <x:v>862323089930707</x:v>
      </x:c>
      <x:c r="J706" s="82" t="n">
        <x:v>38.1</x:v>
      </x:c>
      <x:c r="K706" s="82"/>
      <x:c r="L706" s="82" t="n">
        <x:v>41.4</x:v>
      </x:c>
      <x:c r="M706" s="82" t="n">
        <x:v>25.2</x:v>
      </x:c>
      <x:c r="N706" s="86" t="n">
        <x:v>872</x:v>
      </x:c>
      <x:c r="O706" s="90" t="n">
        <x:v>6.41</x:v>
      </x:c>
      <x:c r="P706" s="150" t="n">
        <x:v>3.938</x:v>
      </x:c>
      <x:c r="Q706" s="86" t="n">
        <x:v>24</x:v>
      </x:c>
      <x:c r="R706" s="32" t="str">
        <x:v>ok</x:v>
      </x:c>
      <x:c r="S706" s="32"/>
      <x:c r="T706" s="32" t="str">
        <x:v>ok</x:v>
      </x:c>
      <x:c r="U706" s="32" t="str">
        <x:v>ok</x:v>
      </x:c>
      <x:c r="V706" s="32" t="str">
        <x:v>ok</x:v>
      </x:c>
      <x:c r="W706" s="154" t="str">
        <x:v>{"schema_version":1,"imei":"862323089930707","timestamp":1786023653,"report_sequence":30,"task_version":"rice_w0_water_soil_demo","sensor_mode":"water_soil","soil_moisture_percent":41.4,"soil_temperature_c":25.2,"soil_ec_us_cm":872,"soil_ph":6.41,"battery_mv":3938,"csq":24,"soil_rs485_status":"ok","cycle_status":"ok","water_level_mm":38.1,"water_4_20ma_status":"ok"}</x:v>
      </x:c>
    </x:row>
    <x:row r="707">
      <x:c r="A707" s="72" t="n">
        <x:v>46240.903391203705</x:v>
      </x:c>
      <x:c r="B707" s="72" t="n">
        <x:v>46240.90340509259</x:v>
      </x:c>
      <x:c r="C707" s="32" t="str">
        <x:v>P08</x:v>
      </x:c>
      <x:c r="D707" s="32" t="str">
        <x:v>B2-W0-V2</x:v>
      </x:c>
      <x:c r="E707" s="32" t="str">
        <x:v>B2</x:v>
      </x:c>
      <x:c r="F707" s="32" t="str">
        <x:v>W0</x:v>
      </x:c>
      <x:c r="G707" s="32" t="str">
        <x:v>V2</x:v>
      </x:c>
      <x:c r="H707" s="32" t="str">
        <x:v>water_soil</x:v>
      </x:c>
      <x:c r="I707" s="32" t="str">
        <x:v>862323089930708</x:v>
      </x:c>
      <x:c r="J707" s="82" t="n">
        <x:v>30.3</x:v>
      </x:c>
      <x:c r="K707" s="82"/>
      <x:c r="L707" s="82" t="n">
        <x:v>34.9</x:v>
      </x:c>
      <x:c r="M707" s="82" t="n">
        <x:v>25.3</x:v>
      </x:c>
      <x:c r="N707" s="86" t="n">
        <x:v>892</x:v>
      </x:c>
      <x:c r="O707" s="90" t="n">
        <x:v>6.46</x:v>
      </x:c>
      <x:c r="P707" s="150" t="n">
        <x:v>3.956</x:v>
      </x:c>
      <x:c r="Q707" s="86" t="n">
        <x:v>17</x:v>
      </x:c>
      <x:c r="R707" s="32" t="str">
        <x:v>ok</x:v>
      </x:c>
      <x:c r="S707" s="32"/>
      <x:c r="T707" s="32" t="str">
        <x:v>ok</x:v>
      </x:c>
      <x:c r="U707" s="32" t="str">
        <x:v>ok</x:v>
      </x:c>
      <x:c r="V707" s="32" t="str">
        <x:v>ok</x:v>
      </x:c>
      <x:c r="W707" s="154" t="str">
        <x:v>{"schema_version":1,"imei":"862323089930708","timestamp":1786023653,"report_sequence":30,"task_version":"rice_w0_water_soil_demo","sensor_mode":"water_soil","soil_moisture_percent":34.9,"soil_temperature_c":25.3,"soil_ec_us_cm":892,"soil_ph":6.46,"battery_mv":3956,"csq":17,"soil_rs485_status":"ok","cycle_status":"ok","water_level_mm":30.3,"water_4_20ma_status":"ok"}</x:v>
      </x:c>
    </x:row>
    <x:row r="708">
      <x:c r="A708" s="72" t="n">
        <x:v>46240.903391203705</x:v>
      </x:c>
      <x:c r="B708" s="72" t="n">
        <x:v>46240.90340509259</x:v>
      </x:c>
      <x:c r="C708" s="32" t="str">
        <x:v>P09</x:v>
      </x:c>
      <x:c r="D708" s="32" t="str">
        <x:v>B2-W1-V1</x:v>
      </x:c>
      <x:c r="E708" s="32" t="str">
        <x:v>B2</x:v>
      </x:c>
      <x:c r="F708" s="32" t="str">
        <x:v>W1</x:v>
      </x:c>
      <x:c r="G708" s="32" t="str">
        <x:v>V1</x:v>
      </x:c>
      <x:c r="H708" s="32" t="str">
        <x:v>tension_soil</x:v>
      </x:c>
      <x:c r="I708" s="32" t="str">
        <x:v>862323089930709</x:v>
      </x:c>
      <x:c r="J708" s="82"/>
      <x:c r="K708" s="82" t="n">
        <x:v>-28.3</x:v>
      </x:c>
      <x:c r="L708" s="82" t="n">
        <x:v>36.3</x:v>
      </x:c>
      <x:c r="M708" s="82" t="n">
        <x:v>25.4</x:v>
      </x:c>
      <x:c r="N708" s="86" t="n">
        <x:v>911</x:v>
      </x:c>
      <x:c r="O708" s="90" t="n">
        <x:v>6.52</x:v>
      </x:c>
      <x:c r="P708" s="150" t="n">
        <x:v>3.974</x:v>
      </x:c>
      <x:c r="Q708" s="86" t="n">
        <x:v>18</x:v>
      </x:c>
      <x:c r="R708" s="32"/>
      <x:c r="S708" s="32" t="str">
        <x:v>ok</x:v>
      </x:c>
      <x:c r="T708" s="32" t="str">
        <x:v>ok</x:v>
      </x:c>
      <x:c r="U708" s="32" t="str">
        <x:v>ok</x:v>
      </x:c>
      <x:c r="V708" s="32" t="str">
        <x:v>ok</x:v>
      </x:c>
      <x:c r="W708" s="154" t="str">
        <x:v>{"schema_version":1,"imei":"862323089930709","timestamp":1786023653,"report_sequence":30,"task_version":"rice_tension_soil_demo","sensor_mode":"tension_soil","soil_moisture_percent":36.3,"soil_temperature_c":25.4,"soil_ec_us_cm":911,"soil_ph":6.52,"battery_mv":3974,"csq":18,"soil_rs485_status":"ok","cycle_status":"ok","soil_tension_kpa":-28.3,"soil_tension_rs485_status":"ok"}</x:v>
      </x:c>
    </x:row>
    <x:row r="709">
      <x:c r="A709" s="72" t="n">
        <x:v>46240.903391203705</x:v>
      </x:c>
      <x:c r="B709" s="72" t="n">
        <x:v>46240.90340509259</x:v>
      </x:c>
      <x:c r="C709" s="32" t="str">
        <x:v>P10</x:v>
      </x:c>
      <x:c r="D709" s="32" t="str">
        <x:v>B2-W1-V2</x:v>
      </x:c>
      <x:c r="E709" s="32" t="str">
        <x:v>B2</x:v>
      </x:c>
      <x:c r="F709" s="32" t="str">
        <x:v>W1</x:v>
      </x:c>
      <x:c r="G709" s="32" t="str">
        <x:v>V2</x:v>
      </x:c>
      <x:c r="H709" s="32" t="str">
        <x:v>tension_soil</x:v>
      </x:c>
      <x:c r="I709" s="32" t="str">
        <x:v>862323089930710</x:v>
      </x:c>
      <x:c r="J709" s="82"/>
      <x:c r="K709" s="82" t="n">
        <x:v>-24.6</x:v>
      </x:c>
      <x:c r="L709" s="82" t="n">
        <x:v>37.6</x:v>
      </x:c>
      <x:c r="M709" s="82" t="n">
        <x:v>25.5</x:v>
      </x:c>
      <x:c r="N709" s="86" t="n">
        <x:v>929</x:v>
      </x:c>
      <x:c r="O709" s="90" t="n">
        <x:v>6.32</x:v>
      </x:c>
      <x:c r="P709" s="150" t="n">
        <x:v>3.992</x:v>
      </x:c>
      <x:c r="Q709" s="86" t="n">
        <x:v>19</x:v>
      </x:c>
      <x:c r="R709" s="32"/>
      <x:c r="S709" s="32" t="str">
        <x:v>ok</x:v>
      </x:c>
      <x:c r="T709" s="32" t="str">
        <x:v>ok</x:v>
      </x:c>
      <x:c r="U709" s="32" t="str">
        <x:v>ok</x:v>
      </x:c>
      <x:c r="V709" s="32" t="str">
        <x:v>ok</x:v>
      </x:c>
      <x:c r="W709" s="154" t="str">
        <x:v>{"schema_version":1,"imei":"862323089930710","timestamp":1786023653,"report_sequence":30,"task_version":"rice_tension_soil_demo","sensor_mode":"tension_soil","soil_moisture_percent":37.6,"soil_temperature_c":25.5,"soil_ec_us_cm":929,"soil_ph":6.32,"battery_mv":3992,"csq":19,"soil_rs485_status":"ok","cycle_status":"ok","soil_tension_kpa":-24.6,"soil_tension_rs485_status":"ok"}</x:v>
      </x:c>
    </x:row>
    <x:row r="710">
      <x:c r="A710" s="72" t="n">
        <x:v>46240.903391203705</x:v>
      </x:c>
      <x:c r="B710" s="72" t="n">
        <x:v>46240.90340509259</x:v>
      </x:c>
      <x:c r="C710" s="32" t="str">
        <x:v>P11</x:v>
      </x:c>
      <x:c r="D710" s="32" t="str">
        <x:v>B2-W2-V1</x:v>
      </x:c>
      <x:c r="E710" s="32" t="str">
        <x:v>B2</x:v>
      </x:c>
      <x:c r="F710" s="32" t="str">
        <x:v>W2</x:v>
      </x:c>
      <x:c r="G710" s="32" t="str">
        <x:v>V1</x:v>
      </x:c>
      <x:c r="H710" s="32" t="str">
        <x:v>tension_soil</x:v>
      </x:c>
      <x:c r="I710" s="32" t="str">
        <x:v>862323089930711</x:v>
      </x:c>
      <x:c r="J710" s="82"/>
      <x:c r="K710" s="82" t="n">
        <x:v>-36.9</x:v>
      </x:c>
      <x:c r="L710" s="82" t="n">
        <x:v>38.9</x:v>
      </x:c>
      <x:c r="M710" s="82" t="n">
        <x:v>25.6</x:v>
      </x:c>
      <x:c r="N710" s="86" t="n">
        <x:v>945</x:v>
      </x:c>
      <x:c r="O710" s="90" t="n">
        <x:v>6.38</x:v>
      </x:c>
      <x:c r="P710" s="150" t="n">
        <x:v>4.01</x:v>
      </x:c>
      <x:c r="Q710" s="86" t="n">
        <x:v>20</x:v>
      </x:c>
      <x:c r="R710" s="32"/>
      <x:c r="S710" s="32" t="str">
        <x:v>ok</x:v>
      </x:c>
      <x:c r="T710" s="32" t="str">
        <x:v>ok</x:v>
      </x:c>
      <x:c r="U710" s="32" t="str">
        <x:v>ok</x:v>
      </x:c>
      <x:c r="V710" s="32" t="str">
        <x:v>ok</x:v>
      </x:c>
      <x:c r="W710" s="154" t="str">
        <x:v>{"schema_version":1,"imei":"862323089930711","timestamp":1786023653,"report_sequence":30,"task_version":"rice_tension_soil_demo","sensor_mode":"tension_soil","soil_moisture_percent":38.9,"soil_temperature_c":25.6,"soil_ec_us_cm":945,"soil_ph":6.38,"battery_mv":4010,"csq":20,"soil_rs485_status":"ok","cycle_status":"ok","soil_tension_kpa":-36.9,"soil_tension_rs485_status":"ok"}</x:v>
      </x:c>
    </x:row>
    <x:row r="711">
      <x:c r="A711" s="72" t="n">
        <x:v>46240.903391203705</x:v>
      </x:c>
      <x:c r="B711" s="72" t="n">
        <x:v>46240.90340509259</x:v>
      </x:c>
      <x:c r="C711" s="32" t="str">
        <x:v>P12</x:v>
      </x:c>
      <x:c r="D711" s="32" t="str">
        <x:v>B2-W2-V2</x:v>
      </x:c>
      <x:c r="E711" s="32" t="str">
        <x:v>B2</x:v>
      </x:c>
      <x:c r="F711" s="32" t="str">
        <x:v>W2</x:v>
      </x:c>
      <x:c r="G711" s="32" t="str">
        <x:v>V2</x:v>
      </x:c>
      <x:c r="H711" s="32" t="str">
        <x:v>tension_soil</x:v>
      </x:c>
      <x:c r="I711" s="32" t="str">
        <x:v>862323089930712</x:v>
      </x:c>
      <x:c r="J711" s="82"/>
      <x:c r="K711" s="82" t="n">
        <x:v>-38</x:v>
      </x:c>
      <x:c r="L711" s="82" t="n">
        <x:v>40</x:v>
      </x:c>
      <x:c r="M711" s="82" t="n">
        <x:v>25.6</x:v>
      </x:c>
      <x:c r="N711" s="86" t="n">
        <x:v>959</x:v>
      </x:c>
      <x:c r="O711" s="90" t="n">
        <x:v>6.43</x:v>
      </x:c>
      <x:c r="P711" s="150" t="n">
        <x:v>3.92</x:v>
      </x:c>
      <x:c r="Q711" s="86" t="n">
        <x:v>21</x:v>
      </x:c>
      <x:c r="R711" s="32"/>
      <x:c r="S711" s="32" t="str">
        <x:v>ok</x:v>
      </x:c>
      <x:c r="T711" s="32" t="str">
        <x:v>ok</x:v>
      </x:c>
      <x:c r="U711" s="32" t="str">
        <x:v>ok</x:v>
      </x:c>
      <x:c r="V711" s="32" t="str">
        <x:v>ok</x:v>
      </x:c>
      <x:c r="W711" s="154" t="str">
        <x:v>{"schema_version":1,"imei":"862323089930712","timestamp":1786023653,"report_sequence":30,"task_version":"rice_tension_soil_demo","sensor_mode":"tension_soil","soil_moisture_percent":40,"soil_temperature_c":25.6,"soil_ec_us_cm":959,"soil_ph":6.43,"battery_mv":3920,"csq":21,"soil_rs485_status":"ok","cycle_status":"ok","soil_tension_kpa":-38,"soil_tension_rs485_status":"ok"}</x:v>
      </x:c>
    </x:row>
    <x:row r="712">
      <x:c r="A712" s="72" t="n">
        <x:v>46240.903391203705</x:v>
      </x:c>
      <x:c r="B712" s="72" t="n">
        <x:v>46240.90340509259</x:v>
      </x:c>
      <x:c r="C712" s="32" t="str">
        <x:v>P13</x:v>
      </x:c>
      <x:c r="D712" s="32" t="str">
        <x:v>B3-W0-V1</x:v>
      </x:c>
      <x:c r="E712" s="32" t="str">
        <x:v>B3</x:v>
      </x:c>
      <x:c r="F712" s="32" t="str">
        <x:v>W0</x:v>
      </x:c>
      <x:c r="G712" s="32" t="str">
        <x:v>V1</x:v>
      </x:c>
      <x:c r="H712" s="32" t="str">
        <x:v>water_soil</x:v>
      </x:c>
      <x:c r="I712" s="32" t="str">
        <x:v>862323089930713</x:v>
      </x:c>
      <x:c r="J712" s="82" t="n">
        <x:v>35.9</x:v>
      </x:c>
      <x:c r="K712" s="82"/>
      <x:c r="L712" s="82" t="n">
        <x:v>41</x:v>
      </x:c>
      <x:c r="M712" s="82" t="n">
        <x:v>25.6</x:v>
      </x:c>
      <x:c r="N712" s="86" t="n">
        <x:v>971</x:v>
      </x:c>
      <x:c r="O712" s="90" t="n">
        <x:v>6.48</x:v>
      </x:c>
      <x:c r="P712" s="150" t="n">
        <x:v>3.938</x:v>
      </x:c>
      <x:c r="Q712" s="86" t="n">
        <x:v>22</x:v>
      </x:c>
      <x:c r="R712" s="32" t="str">
        <x:v>ok</x:v>
      </x:c>
      <x:c r="S712" s="32"/>
      <x:c r="T712" s="32" t="str">
        <x:v>ok</x:v>
      </x:c>
      <x:c r="U712" s="32" t="str">
        <x:v>ok</x:v>
      </x:c>
      <x:c r="V712" s="32" t="str">
        <x:v>ok</x:v>
      </x:c>
      <x:c r="W712" s="154" t="str">
        <x:v>{"schema_version":1,"imei":"862323089930713","timestamp":1786023653,"report_sequence":30,"task_version":"rice_w0_water_soil_demo","sensor_mode":"water_soil","soil_moisture_percent":41,"soil_temperature_c":25.6,"soil_ec_us_cm":971,"soil_ph":6.48,"battery_mv":3938,"csq":22,"soil_rs485_status":"ok","cycle_status":"ok","water_level_mm":35.9,"water_4_20ma_status":"ok"}</x:v>
      </x:c>
    </x:row>
    <x:row r="713">
      <x:c r="A713" s="72" t="n">
        <x:v>46240.903391203705</x:v>
      </x:c>
      <x:c r="B713" s="72" t="n">
        <x:v>46240.90340509259</x:v>
      </x:c>
      <x:c r="C713" s="32" t="str">
        <x:v>P14</x:v>
      </x:c>
      <x:c r="D713" s="32" t="str">
        <x:v>B3-W0-V2</x:v>
      </x:c>
      <x:c r="E713" s="32" t="str">
        <x:v>B3</x:v>
      </x:c>
      <x:c r="F713" s="32" t="str">
        <x:v>W0</x:v>
      </x:c>
      <x:c r="G713" s="32" t="str">
        <x:v>V2</x:v>
      </x:c>
      <x:c r="H713" s="32" t="str">
        <x:v>water_soil</x:v>
      </x:c>
      <x:c r="I713" s="32" t="str">
        <x:v>862323089930714</x:v>
      </x:c>
      <x:c r="J713" s="82" t="n">
        <x:v>38.6</x:v>
      </x:c>
      <x:c r="K713" s="82"/>
      <x:c r="L713" s="82" t="n">
        <x:v>41.8</x:v>
      </x:c>
      <x:c r="M713" s="82" t="n">
        <x:v>25.6</x:v>
      </x:c>
      <x:c r="N713" s="86" t="n">
        <x:v>980</x:v>
      </x:c>
      <x:c r="O713" s="90" t="n">
        <x:v>6.53</x:v>
      </x:c>
      <x:c r="P713" s="150" t="n">
        <x:v>3.956</x:v>
      </x:c>
      <x:c r="Q713" s="86" t="n">
        <x:v>23</x:v>
      </x:c>
      <x:c r="R713" s="32" t="str">
        <x:v>ok</x:v>
      </x:c>
      <x:c r="S713" s="32"/>
      <x:c r="T713" s="32" t="str">
        <x:v>ok</x:v>
      </x:c>
      <x:c r="U713" s="32" t="str">
        <x:v>ok</x:v>
      </x:c>
      <x:c r="V713" s="32" t="str">
        <x:v>ok</x:v>
      </x:c>
      <x:c r="W713" s="154" t="str">
        <x:v>{"schema_version":1,"imei":"862323089930714","timestamp":1786023653,"report_sequence":30,"task_version":"rice_w0_water_soil_demo","sensor_mode":"water_soil","soil_moisture_percent":41.8,"soil_temperature_c":25.6,"soil_ec_us_cm":980,"soil_ph":6.53,"battery_mv":3956,"csq":23,"soil_rs485_status":"ok","cycle_status":"ok","water_level_mm":38.6,"water_4_20ma_status":"ok"}</x:v>
      </x:c>
    </x:row>
    <x:row r="714">
      <x:c r="A714" s="72" t="n">
        <x:v>46240.903391203705</x:v>
      </x:c>
      <x:c r="B714" s="72" t="n">
        <x:v>46240.90340509259</x:v>
      </x:c>
      <x:c r="C714" s="32" t="str">
        <x:v>P15</x:v>
      </x:c>
      <x:c r="D714" s="32" t="str">
        <x:v>B3-W1-V1</x:v>
      </x:c>
      <x:c r="E714" s="32" t="str">
        <x:v>B3</x:v>
      </x:c>
      <x:c r="F714" s="32" t="str">
        <x:v>W1</x:v>
      </x:c>
      <x:c r="G714" s="32" t="str">
        <x:v>V1</x:v>
      </x:c>
      <x:c r="H714" s="32" t="str">
        <x:v>tension_soil</x:v>
      </x:c>
      <x:c r="I714" s="32" t="str">
        <x:v>862323089930715</x:v>
      </x:c>
      <x:c r="J714" s="82"/>
      <x:c r="K714" s="82" t="n">
        <x:v>-24.6</x:v>
      </x:c>
      <x:c r="L714" s="82" t="n">
        <x:v>42.6</x:v>
      </x:c>
      <x:c r="M714" s="82" t="n">
        <x:v>25.5</x:v>
      </x:c>
      <x:c r="N714" s="86" t="n">
        <x:v>988</x:v>
      </x:c>
      <x:c r="O714" s="90" t="n">
        <x:v>6.32</x:v>
      </x:c>
      <x:c r="P714" s="150" t="n">
        <x:v>3.974</x:v>
      </x:c>
      <x:c r="Q714" s="86" t="n">
        <x:v>24</x:v>
      </x:c>
      <x:c r="R714" s="32"/>
      <x:c r="S714" s="32" t="str">
        <x:v>ok</x:v>
      </x:c>
      <x:c r="T714" s="32" t="str">
        <x:v>ok</x:v>
      </x:c>
      <x:c r="U714" s="32" t="str">
        <x:v>ok</x:v>
      </x:c>
      <x:c r="V714" s="32" t="str">
        <x:v>ok</x:v>
      </x:c>
      <x:c r="W714" s="154" t="str">
        <x:v>{"schema_version":1,"imei":"862323089930715","timestamp":1786023653,"report_sequence":30,"task_version":"rice_tension_soil_demo","sensor_mode":"tension_soil","soil_moisture_percent":42.6,"soil_temperature_c":25.5,"soil_ec_us_cm":988,"soil_ph":6.32,"battery_mv":3974,"csq":24,"soil_rs485_status":"ok","cycle_status":"ok","soil_tension_kpa":-24.6,"soil_tension_rs485_status":"ok"}</x:v>
      </x:c>
    </x:row>
    <x:row r="715">
      <x:c r="A715" s="72" t="n">
        <x:v>46240.903391203705</x:v>
      </x:c>
      <x:c r="B715" s="72" t="n">
        <x:v>46240.90340509259</x:v>
      </x:c>
      <x:c r="C715" s="32" t="str">
        <x:v>P16</x:v>
      </x:c>
      <x:c r="D715" s="32" t="str">
        <x:v>B3-W1-V2</x:v>
      </x:c>
      <x:c r="E715" s="32" t="str">
        <x:v>B3</x:v>
      </x:c>
      <x:c r="F715" s="32" t="str">
        <x:v>W1</x:v>
      </x:c>
      <x:c r="G715" s="32" t="str">
        <x:v>V2</x:v>
      </x:c>
      <x:c r="H715" s="32" t="str">
        <x:v>tension_soil</x:v>
      </x:c>
      <x:c r="I715" s="32" t="str">
        <x:v>862323089930716</x:v>
      </x:c>
      <x:c r="J715" s="82"/>
      <x:c r="K715" s="82" t="n">
        <x:v>-25.2</x:v>
      </x:c>
      <x:c r="L715" s="82" t="n">
        <x:v>35.2</x:v>
      </x:c>
      <x:c r="M715" s="82" t="n">
        <x:v>25.4</x:v>
      </x:c>
      <x:c r="N715" s="86" t="n">
        <x:v>994</x:v>
      </x:c>
      <x:c r="O715" s="90" t="n">
        <x:v>6.37</x:v>
      </x:c>
      <x:c r="P715" s="150" t="n">
        <x:v>3.992</x:v>
      </x:c>
      <x:c r="Q715" s="86" t="n">
        <x:v>17</x:v>
      </x:c>
      <x:c r="R715" s="32"/>
      <x:c r="S715" s="32" t="str">
        <x:v>ok</x:v>
      </x:c>
      <x:c r="T715" s="32" t="str">
        <x:v>ok</x:v>
      </x:c>
      <x:c r="U715" s="32" t="str">
        <x:v>ok</x:v>
      </x:c>
      <x:c r="V715" s="32" t="str">
        <x:v>ok</x:v>
      </x:c>
      <x:c r="W715" s="154" t="str">
        <x:v>{"schema_version":1,"imei":"862323089930716","timestamp":1786023653,"report_sequence":30,"task_version":"rice_tension_soil_demo","sensor_mode":"tension_soil","soil_moisture_percent":35.2,"soil_temperature_c":25.4,"soil_ec_us_cm":994,"soil_ph":6.37,"battery_mv":3992,"csq":17,"soil_rs485_status":"ok","cycle_status":"ok","soil_tension_kpa":-25.2,"soil_tension_rs485_status":"ok"}</x:v>
      </x:c>
    </x:row>
    <x:row r="716">
      <x:c r="A716" s="72" t="n">
        <x:v>46240.903391203705</x:v>
      </x:c>
      <x:c r="B716" s="72" t="n">
        <x:v>46240.90340509259</x:v>
      </x:c>
      <x:c r="C716" s="32" t="str">
        <x:v>P17</x:v>
      </x:c>
      <x:c r="D716" s="32" t="str">
        <x:v>B3-W2-V1</x:v>
      </x:c>
      <x:c r="E716" s="32" t="str">
        <x:v>B3</x:v>
      </x:c>
      <x:c r="F716" s="32" t="str">
        <x:v>W2</x:v>
      </x:c>
      <x:c r="G716" s="32" t="str">
        <x:v>V1</x:v>
      </x:c>
      <x:c r="H716" s="32" t="str">
        <x:v>tension_soil</x:v>
      </x:c>
      <x:c r="I716" s="32" t="str">
        <x:v>862323089930717</x:v>
      </x:c>
      <x:c r="J716" s="82"/>
      <x:c r="K716" s="82" t="n">
        <x:v>-36.8</x:v>
      </x:c>
      <x:c r="L716" s="82" t="n">
        <x:v>35.8</x:v>
      </x:c>
      <x:c r="M716" s="82" t="n">
        <x:v>25.3</x:v>
      </x:c>
      <x:c r="N716" s="86" t="n">
        <x:v>998</x:v>
      </x:c>
      <x:c r="O716" s="90" t="n">
        <x:v>6.41</x:v>
      </x:c>
      <x:c r="P716" s="150" t="n">
        <x:v>4.01</x:v>
      </x:c>
      <x:c r="Q716" s="86" t="n">
        <x:v>18</x:v>
      </x:c>
      <x:c r="R716" s="32"/>
      <x:c r="S716" s="32" t="str">
        <x:v>ok</x:v>
      </x:c>
      <x:c r="T716" s="32" t="str">
        <x:v>ok</x:v>
      </x:c>
      <x:c r="U716" s="32" t="str">
        <x:v>ok</x:v>
      </x:c>
      <x:c r="V716" s="32" t="str">
        <x:v>ok</x:v>
      </x:c>
      <x:c r="W716" s="154" t="str">
        <x:v>{"schema_version":1,"imei":"862323089930717","timestamp":1786023653,"report_sequence":30,"task_version":"rice_tension_soil_demo","sensor_mode":"tension_soil","soil_moisture_percent":35.8,"soil_temperature_c":25.3,"soil_ec_us_cm":998,"soil_ph":6.41,"battery_mv":4010,"csq":18,"soil_rs485_status":"ok","cycle_status":"ok","soil_tension_kpa":-36.8,"soil_tension_rs485_status":"ok"}</x:v>
      </x:c>
    </x:row>
    <x:row r="717">
      <x:c r="A717" s="72" t="n">
        <x:v>46240.903391203705</x:v>
      </x:c>
      <x:c r="B717" s="72" t="n">
        <x:v>46240.90340509259</x:v>
      </x:c>
      <x:c r="C717" s="32" t="str">
        <x:v>P18</x:v>
      </x:c>
      <x:c r="D717" s="32" t="str">
        <x:v>B3-W2-V2</x:v>
      </x:c>
      <x:c r="E717" s="32" t="str">
        <x:v>B3</x:v>
      </x:c>
      <x:c r="F717" s="32" t="str">
        <x:v>W2</x:v>
      </x:c>
      <x:c r="G717" s="32" t="str">
        <x:v>V2</x:v>
      </x:c>
      <x:c r="H717" s="32" t="str">
        <x:v>tension_soil</x:v>
      </x:c>
      <x:c r="I717" s="32" t="str">
        <x:v>862323089930718</x:v>
      </x:c>
      <x:c r="J717" s="82"/>
      <x:c r="K717" s="82" t="n">
        <x:v>-37.3</x:v>
      </x:c>
      <x:c r="L717" s="82" t="n">
        <x:v>36.3</x:v>
      </x:c>
      <x:c r="M717" s="82" t="n">
        <x:v>25.2</x:v>
      </x:c>
      <x:c r="N717" s="86" t="n">
        <x:v>1002</x:v>
      </x:c>
      <x:c r="O717" s="90" t="n">
        <x:v>6.46</x:v>
      </x:c>
      <x:c r="P717" s="150" t="n">
        <x:v>3.92</x:v>
      </x:c>
      <x:c r="Q717" s="86" t="n">
        <x:v>19</x:v>
      </x:c>
      <x:c r="R717" s="32"/>
      <x:c r="S717" s="32" t="str">
        <x:v>ok</x:v>
      </x:c>
      <x:c r="T717" s="32" t="str">
        <x:v>ok</x:v>
      </x:c>
      <x:c r="U717" s="32" t="str">
        <x:v>ok</x:v>
      </x:c>
      <x:c r="V717" s="32" t="str">
        <x:v>ok</x:v>
      </x:c>
      <x:c r="W717" s="154" t="str">
        <x:v>{"schema_version":1,"imei":"862323089930718","timestamp":1786023653,"report_sequence":30,"task_version":"rice_tension_soil_demo","sensor_mode":"tension_soil","soil_moisture_percent":36.3,"soil_temperature_c":25.2,"soil_ec_us_cm":1002,"soil_ph":6.46,"battery_mv":3920,"csq":19,"soil_rs485_status":"ok","cycle_status":"ok","soil_tension_kpa":-37.3,"soil_tension_rs485_status":"ok"}</x:v>
      </x:c>
    </x:row>
    <x:row r="718">
      <x:c r="A718" s="72" t="n">
        <x:v>46240.903391203705</x:v>
      </x:c>
      <x:c r="B718" s="72" t="n">
        <x:v>46240.90340509259</x:v>
      </x:c>
      <x:c r="C718" s="32" t="str">
        <x:v>P19</x:v>
      </x:c>
      <x:c r="D718" s="32" t="str">
        <x:v>B4-W0-V1</x:v>
      </x:c>
      <x:c r="E718" s="32" t="str">
        <x:v>B4</x:v>
      </x:c>
      <x:c r="F718" s="32" t="str">
        <x:v>W0</x:v>
      </x:c>
      <x:c r="G718" s="32" t="str">
        <x:v>V1</x:v>
      </x:c>
      <x:c r="H718" s="32" t="str">
        <x:v>water_soil</x:v>
      </x:c>
      <x:c r="I718" s="32" t="str">
        <x:v>862323089930719</x:v>
      </x:c>
      <x:c r="J718" s="82" t="n">
        <x:v>36.6</x:v>
      </x:c>
      <x:c r="K718" s="82"/>
      <x:c r="L718" s="82" t="n">
        <x:v>36.8</x:v>
      </x:c>
      <x:c r="M718" s="82" t="n">
        <x:v>25.1</x:v>
      </x:c>
      <x:c r="N718" s="86" t="n">
        <x:v>1005</x:v>
      </x:c>
      <x:c r="O718" s="90" t="n">
        <x:v>6.5</x:v>
      </x:c>
      <x:c r="P718" s="150" t="n">
        <x:v>3.938</x:v>
      </x:c>
      <x:c r="Q718" s="86" t="n">
        <x:v>20</x:v>
      </x:c>
      <x:c r="R718" s="32" t="str">
        <x:v>ok</x:v>
      </x:c>
      <x:c r="S718" s="32"/>
      <x:c r="T718" s="32" t="str">
        <x:v>ok</x:v>
      </x:c>
      <x:c r="U718" s="32" t="str">
        <x:v>ok</x:v>
      </x:c>
      <x:c r="V718" s="32" t="str">
        <x:v>ok</x:v>
      </x:c>
      <x:c r="W718" s="154" t="str">
        <x:v>{"schema_version":1,"imei":"862323089930719","timestamp":1786023653,"report_sequence":30,"task_version":"rice_w0_water_soil_demo","sensor_mode":"water_soil","soil_moisture_percent":36.8,"soil_temperature_c":25.1,"soil_ec_us_cm":1005,"soil_ph":6.5,"battery_mv":3938,"csq":20,"soil_rs485_status":"ok","cycle_status":"ok","water_level_mm":36.6,"water_4_20ma_status":"ok"}</x:v>
      </x:c>
    </x:row>
    <x:row r="719">
      <x:c r="A719" s="72" t="n">
        <x:v>46240.903391203705</x:v>
      </x:c>
      <x:c r="B719" s="72" t="n">
        <x:v>46240.90340509259</x:v>
      </x:c>
      <x:c r="C719" s="32" t="str">
        <x:v>P20</x:v>
      </x:c>
      <x:c r="D719" s="32" t="str">
        <x:v>B4-W0-V2</x:v>
      </x:c>
      <x:c r="E719" s="32" t="str">
        <x:v>B4</x:v>
      </x:c>
      <x:c r="F719" s="32" t="str">
        <x:v>W0</x:v>
      </x:c>
      <x:c r="G719" s="32" t="str">
        <x:v>V2</x:v>
      </x:c>
      <x:c r="H719" s="32" t="str">
        <x:v>water_soil</x:v>
      </x:c>
      <x:c r="I719" s="32" t="str">
        <x:v>862323089930720</x:v>
      </x:c>
      <x:c r="J719" s="82" t="n">
        <x:v>26.4</x:v>
      </x:c>
      <x:c r="K719" s="82"/>
      <x:c r="L719" s="82" t="n">
        <x:v>37.4</x:v>
      </x:c>
      <x:c r="M719" s="82" t="n">
        <x:v>24.9</x:v>
      </x:c>
      <x:c r="N719" s="86" t="n">
        <x:v>1009</x:v>
      </x:c>
      <x:c r="O719" s="90" t="n">
        <x:v>6.29</x:v>
      </x:c>
      <x:c r="P719" s="150" t="n">
        <x:v>3.956</x:v>
      </x:c>
      <x:c r="Q719" s="86" t="n">
        <x:v>21</x:v>
      </x:c>
      <x:c r="R719" s="32" t="str">
        <x:v>ok</x:v>
      </x:c>
      <x:c r="S719" s="32"/>
      <x:c r="T719" s="32" t="str">
        <x:v>ok</x:v>
      </x:c>
      <x:c r="U719" s="32" t="str">
        <x:v>ok</x:v>
      </x:c>
      <x:c r="V719" s="32" t="str">
        <x:v>ok</x:v>
      </x:c>
      <x:c r="W719" s="154" t="str">
        <x:v>{"schema_version":1,"imei":"862323089930720","timestamp":1786023653,"report_sequence":30,"task_version":"rice_w0_water_soil_demo","sensor_mode":"water_soil","soil_moisture_percent":37.4,"soil_temperature_c":24.9,"soil_ec_us_cm":1009,"soil_ph":6.29,"battery_mv":3956,"csq":21,"soil_rs485_status":"ok","cycle_status":"ok","water_level_mm":26.4,"water_4_20ma_status":"ok"}</x:v>
      </x:c>
    </x:row>
    <x:row r="720">
      <x:c r="A720" s="72" t="n">
        <x:v>46240.903391203705</x:v>
      </x:c>
      <x:c r="B720" s="72" t="n">
        <x:v>46240.90340509259</x:v>
      </x:c>
      <x:c r="C720" s="32" t="str">
        <x:v>P21</x:v>
      </x:c>
      <x:c r="D720" s="32" t="str">
        <x:v>B4-W1-V1</x:v>
      </x:c>
      <x:c r="E720" s="32" t="str">
        <x:v>B4</x:v>
      </x:c>
      <x:c r="F720" s="32" t="str">
        <x:v>W1</x:v>
      </x:c>
      <x:c r="G720" s="32" t="str">
        <x:v>V1</x:v>
      </x:c>
      <x:c r="H720" s="32" t="str">
        <x:v>tension_soil</x:v>
      </x:c>
      <x:c r="I720" s="32" t="str">
        <x:v>862323089930721</x:v>
      </x:c>
      <x:c r="J720" s="82"/>
      <x:c r="K720" s="82" t="n">
        <x:v>-22.9</x:v>
      </x:c>
      <x:c r="L720" s="82" t="n">
        <x:v>37.9</x:v>
      </x:c>
      <x:c r="M720" s="82" t="n">
        <x:v>24.8</x:v>
      </x:c>
      <x:c r="N720" s="86" t="n">
        <x:v>1013</x:v>
      </x:c>
      <x:c r="O720" s="90" t="n">
        <x:v>6.33</x:v>
      </x:c>
      <x:c r="P720" s="150" t="n">
        <x:v>3.974</x:v>
      </x:c>
      <x:c r="Q720" s="86" t="n">
        <x:v>22</x:v>
      </x:c>
      <x:c r="R720" s="32"/>
      <x:c r="S720" s="32" t="str">
        <x:v>ok</x:v>
      </x:c>
      <x:c r="T720" s="32" t="str">
        <x:v>ok</x:v>
      </x:c>
      <x:c r="U720" s="32" t="str">
        <x:v>ok</x:v>
      </x:c>
      <x:c r="V720" s="32" t="str">
        <x:v>ok</x:v>
      </x:c>
      <x:c r="W720" s="154" t="str">
        <x:v>{"schema_version":1,"imei":"862323089930721","timestamp":1786023653,"report_sequence":30,"task_version":"rice_tension_soil_demo","sensor_mode":"tension_soil","soil_moisture_percent":37.9,"soil_temperature_c":24.8,"soil_ec_us_cm":1013,"soil_ph":6.33,"battery_mv":3974,"csq":22,"soil_rs485_status":"ok","cycle_status":"ok","soil_tension_kpa":-22.9,"soil_tension_rs485_status":"ok"}</x:v>
      </x:c>
    </x:row>
    <x:row r="721">
      <x:c r="A721" s="72" t="n">
        <x:v>46240.903391203705</x:v>
      </x:c>
      <x:c r="B721" s="72" t="n">
        <x:v>46240.90340509259</x:v>
      </x:c>
      <x:c r="C721" s="32" t="str">
        <x:v>P22</x:v>
      </x:c>
      <x:c r="D721" s="32" t="str">
        <x:v>B4-W1-V2</x:v>
      </x:c>
      <x:c r="E721" s="32" t="str">
        <x:v>B4</x:v>
      </x:c>
      <x:c r="F721" s="32" t="str">
        <x:v>W1</x:v>
      </x:c>
      <x:c r="G721" s="32" t="str">
        <x:v>V2</x:v>
      </x:c>
      <x:c r="H721" s="32" t="str">
        <x:v>tension_soil</x:v>
      </x:c>
      <x:c r="I721" s="32" t="str">
        <x:v>862323089930722</x:v>
      </x:c>
      <x:c r="J721" s="82"/>
      <x:c r="K721" s="82" t="n">
        <x:v>-23.5</x:v>
      </x:c>
      <x:c r="L721" s="82" t="n">
        <x:v>38.5</x:v>
      </x:c>
      <x:c r="M721" s="82" t="n">
        <x:v>24.7</x:v>
      </x:c>
      <x:c r="N721" s="86" t="n">
        <x:v>1018</x:v>
      </x:c>
      <x:c r="O721" s="90" t="n">
        <x:v>6.38</x:v>
      </x:c>
      <x:c r="P721" s="150" t="n">
        <x:v>3.992</x:v>
      </x:c>
      <x:c r="Q721" s="86" t="n">
        <x:v>23</x:v>
      </x:c>
      <x:c r="R721" s="32"/>
      <x:c r="S721" s="32" t="str">
        <x:v>ok</x:v>
      </x:c>
      <x:c r="T721" s="32" t="str">
        <x:v>ok</x:v>
      </x:c>
      <x:c r="U721" s="32" t="str">
        <x:v>ok</x:v>
      </x:c>
      <x:c r="V721" s="32" t="str">
        <x:v>ok</x:v>
      </x:c>
      <x:c r="W721" s="154" t="str">
        <x:v>{"schema_version":1,"imei":"862323089930722","timestamp":1786023653,"report_sequence":30,"task_version":"rice_tension_soil_demo","sensor_mode":"tension_soil","soil_moisture_percent":38.5,"soil_temperature_c":24.7,"soil_ec_us_cm":1018,"soil_ph":6.38,"battery_mv":3992,"csq":23,"soil_rs485_status":"ok","cycle_status":"ok","soil_tension_kpa":-23.5,"soil_tension_rs485_status":"ok"}</x:v>
      </x:c>
    </x:row>
    <x:row r="722">
      <x:c r="A722" s="72" t="n">
        <x:v>46240.903391203705</x:v>
      </x:c>
      <x:c r="B722" s="72" t="n">
        <x:v>46240.90340509259</x:v>
      </x:c>
      <x:c r="C722" s="32" t="str">
        <x:v>P23</x:v>
      </x:c>
      <x:c r="D722" s="32" t="str">
        <x:v>B4-W2-V1</x:v>
      </x:c>
      <x:c r="E722" s="32" t="str">
        <x:v>B4</x:v>
      </x:c>
      <x:c r="F722" s="32" t="str">
        <x:v>W2</x:v>
      </x:c>
      <x:c r="G722" s="32" t="str">
        <x:v>V1</x:v>
      </x:c>
      <x:c r="H722" s="32" t="str">
        <x:v>tension_soil</x:v>
      </x:c>
      <x:c r="I722" s="32" t="str">
        <x:v>862323089930723</x:v>
      </x:c>
      <x:c r="J722" s="82"/>
      <x:c r="K722" s="82" t="n">
        <x:v>-35.2</x:v>
      </x:c>
      <x:c r="L722" s="82" t="n">
        <x:v>39.2</x:v>
      </x:c>
      <x:c r="M722" s="82" t="n">
        <x:v>24.7</x:v>
      </x:c>
      <x:c r="N722" s="86" t="n">
        <x:v>1025</x:v>
      </x:c>
      <x:c r="O722" s="90" t="n">
        <x:v>6.42</x:v>
      </x:c>
      <x:c r="P722" s="150" t="n">
        <x:v>4.01</x:v>
      </x:c>
      <x:c r="Q722" s="86" t="n">
        <x:v>24</x:v>
      </x:c>
      <x:c r="R722" s="32"/>
      <x:c r="S722" s="32" t="str">
        <x:v>ok</x:v>
      </x:c>
      <x:c r="T722" s="32" t="str">
        <x:v>ok</x:v>
      </x:c>
      <x:c r="U722" s="32" t="str">
        <x:v>ok</x:v>
      </x:c>
      <x:c r="V722" s="32" t="str">
        <x:v>ok</x:v>
      </x:c>
      <x:c r="W722" s="154" t="str">
        <x:v>{"schema_version":1,"imei":"862323089930723","timestamp":1786023653,"report_sequence":30,"task_version":"rice_tension_soil_demo","sensor_mode":"tension_soil","soil_moisture_percent":39.2,"soil_temperature_c":24.7,"soil_ec_us_cm":1025,"soil_ph":6.42,"battery_mv":4010,"csq":24,"soil_rs485_status":"ok","cycle_status":"ok","soil_tension_kpa":-35.2,"soil_tension_rs485_status":"ok"}</x:v>
      </x:c>
    </x:row>
    <x:row r="723">
      <x:c r="A723" s="72" t="n">
        <x:v>46240.903391203705</x:v>
      </x:c>
      <x:c r="B723" s="72" t="n">
        <x:v>46240.90340509259</x:v>
      </x:c>
      <x:c r="C723" s="32" t="str">
        <x:v>P24</x:v>
      </x:c>
      <x:c r="D723" s="32" t="str">
        <x:v>B4-W2-V2</x:v>
      </x:c>
      <x:c r="E723" s="32" t="str">
        <x:v>B4</x:v>
      </x:c>
      <x:c r="F723" s="32" t="str">
        <x:v>W2</x:v>
      </x:c>
      <x:c r="G723" s="32" t="str">
        <x:v>V2</x:v>
      </x:c>
      <x:c r="H723" s="32" t="str">
        <x:v>tension_soil</x:v>
      </x:c>
      <x:c r="I723" s="32" t="str">
        <x:v>862323089930724</x:v>
      </x:c>
      <x:c r="J723" s="82"/>
      <x:c r="K723" s="82" t="n">
        <x:v>-36.1</x:v>
      </x:c>
      <x:c r="L723" s="82" t="n">
        <x:v>32.1</x:v>
      </x:c>
      <x:c r="M723" s="82" t="n">
        <x:v>24.6</x:v>
      </x:c>
      <x:c r="N723" s="86" t="n">
        <x:v>1034</x:v>
      </x:c>
      <x:c r="O723" s="90" t="n">
        <x:v>6.47</x:v>
      </x:c>
      <x:c r="P723" s="150" t="n">
        <x:v>3.92</x:v>
      </x:c>
      <x:c r="Q723" s="86" t="n">
        <x:v>17</x:v>
      </x:c>
      <x:c r="R723" s="32"/>
      <x:c r="S723" s="32" t="str">
        <x:v>ok</x:v>
      </x:c>
      <x:c r="T723" s="32" t="str">
        <x:v>ok</x:v>
      </x:c>
      <x:c r="U723" s="32" t="str">
        <x:v>ok</x:v>
      </x:c>
      <x:c r="V723" s="32" t="str">
        <x:v>ok</x:v>
      </x:c>
      <x:c r="W723" s="154" t="str">
        <x:v>{"schema_version":1,"imei":"862323089930724","timestamp":1786023653,"report_sequence":30,"task_version":"rice_tension_soil_demo","sensor_mode":"tension_soil","soil_moisture_percent":32.1,"soil_temperature_c":24.6,"soil_ec_us_cm":1034,"soil_ph":6.47,"battery_mv":3920,"csq":17,"soil_rs485_status":"ok","cycle_status":"ok","soil_tension_kpa":-36.1,"soil_tension_rs485_status":"ok"}</x:v>
      </x:c>
    </x:row>
    <x:row r="724">
      <x:c r="A724" s="72" t="n">
        <x:v>46240.906863425924</x:v>
      </x:c>
      <x:c r="B724" s="72" t="n">
        <x:v>46240.90687731482</x:v>
      </x:c>
      <x:c r="C724" s="32" t="str">
        <x:v>P01</x:v>
      </x:c>
      <x:c r="D724" s="32" t="str">
        <x:v>B1-W0-V1</x:v>
      </x:c>
      <x:c r="E724" s="32" t="str">
        <x:v>B1</x:v>
      </x:c>
      <x:c r="F724" s="32" t="str">
        <x:v>W0</x:v>
      </x:c>
      <x:c r="G724" s="32" t="str">
        <x:v>V1</x:v>
      </x:c>
      <x:c r="H724" s="32" t="str">
        <x:v>water_soil</x:v>
      </x:c>
      <x:c r="I724" s="32" t="str">
        <x:v>862323089930701</x:v>
      </x:c>
      <x:c r="J724" s="82" t="n">
        <x:v>26</x:v>
      </x:c>
      <x:c r="K724" s="82"/>
      <x:c r="L724" s="82" t="n">
        <x:v>33</x:v>
      </x:c>
      <x:c r="M724" s="82" t="n">
        <x:v>24.6</x:v>
      </x:c>
      <x:c r="N724" s="86" t="n">
        <x:v>757</x:v>
      </x:c>
      <x:c r="O724" s="90" t="n">
        <x:v>6.32</x:v>
      </x:c>
      <x:c r="P724" s="150" t="n">
        <x:v>3.938</x:v>
      </x:c>
      <x:c r="Q724" s="86" t="n">
        <x:v>18</x:v>
      </x:c>
      <x:c r="R724" s="32" t="str">
        <x:v>ok</x:v>
      </x:c>
      <x:c r="S724" s="32"/>
      <x:c r="T724" s="32" t="str">
        <x:v>ok</x:v>
      </x:c>
      <x:c r="U724" s="32" t="str">
        <x:v>ok</x:v>
      </x:c>
      <x:c r="V724" s="32" t="str">
        <x:v>ok</x:v>
      </x:c>
      <x:c r="W724" s="154" t="str">
        <x:v>{"schema_version":1,"imei":"862323089930701","timestamp":1786023953,"report_sequence":31,"task_version":"rice_w0_water_soil_demo","sensor_mode":"water_soil","soil_moisture_percent":33,"soil_temperature_c":24.6,"soil_ec_us_cm":757,"soil_ph":6.32,"battery_mv":3938,"csq":18,"soil_rs485_status":"ok","cycle_status":"ok","water_level_mm":26,"water_4_20ma_status":"ok"}</x:v>
      </x:c>
    </x:row>
    <x:row r="725">
      <x:c r="A725" s="72" t="n">
        <x:v>46240.906863425924</x:v>
      </x:c>
      <x:c r="B725" s="72" t="n">
        <x:v>46240.90687731482</x:v>
      </x:c>
      <x:c r="C725" s="32" t="str">
        <x:v>P02</x:v>
      </x:c>
      <x:c r="D725" s="32" t="str">
        <x:v>B1-W0-V2</x:v>
      </x:c>
      <x:c r="E725" s="32" t="str">
        <x:v>B1</x:v>
      </x:c>
      <x:c r="F725" s="32" t="str">
        <x:v>W0</x:v>
      </x:c>
      <x:c r="G725" s="32" t="str">
        <x:v>V2</x:v>
      </x:c>
      <x:c r="H725" s="32" t="str">
        <x:v>water_soil</x:v>
      </x:c>
      <x:c r="I725" s="32" t="str">
        <x:v>862323089930702</x:v>
      </x:c>
      <x:c r="J725" s="82" t="n">
        <x:v>29.2</x:v>
      </x:c>
      <x:c r="K725" s="82"/>
      <x:c r="L725" s="82" t="n">
        <x:v>34.1</x:v>
      </x:c>
      <x:c r="M725" s="82" t="n">
        <x:v>24.6</x:v>
      </x:c>
      <x:c r="N725" s="86" t="n">
        <x:v>770</x:v>
      </x:c>
      <x:c r="O725" s="90" t="n">
        <x:v>6.37</x:v>
      </x:c>
      <x:c r="P725" s="150" t="n">
        <x:v>3.956</x:v>
      </x:c>
      <x:c r="Q725" s="86" t="n">
        <x:v>19</x:v>
      </x:c>
      <x:c r="R725" s="32" t="str">
        <x:v>ok</x:v>
      </x:c>
      <x:c r="S725" s="32"/>
      <x:c r="T725" s="32" t="str">
        <x:v>ok</x:v>
      </x:c>
      <x:c r="U725" s="32" t="str">
        <x:v>ok</x:v>
      </x:c>
      <x:c r="V725" s="32" t="str">
        <x:v>ok</x:v>
      </x:c>
      <x:c r="W725" s="154" t="str">
        <x:v>{"schema_version":1,"imei":"862323089930702","timestamp":1786023953,"report_sequence":31,"task_version":"rice_w0_water_soil_demo","sensor_mode":"water_soil","soil_moisture_percent":34.1,"soil_temperature_c":24.6,"soil_ec_us_cm":770,"soil_ph":6.37,"battery_mv":3956,"csq":19,"soil_rs485_status":"ok","cycle_status":"ok","water_level_mm":29.2,"water_4_20ma_status":"ok"}</x:v>
      </x:c>
    </x:row>
    <x:row r="726">
      <x:c r="A726" s="72" t="n">
        <x:v>46240.906863425924</x:v>
      </x:c>
      <x:c r="B726" s="72" t="n">
        <x:v>46240.90687731482</x:v>
      </x:c>
      <x:c r="C726" s="32" t="str">
        <x:v>P03</x:v>
      </x:c>
      <x:c r="D726" s="32" t="str">
        <x:v>B1-W1-V1</x:v>
      </x:c>
      <x:c r="E726" s="32" t="str">
        <x:v>B1</x:v>
      </x:c>
      <x:c r="F726" s="32" t="str">
        <x:v>W1</x:v>
      </x:c>
      <x:c r="G726" s="32" t="str">
        <x:v>V1</x:v>
      </x:c>
      <x:c r="H726" s="32" t="str">
        <x:v>tension_soil</x:v>
      </x:c>
      <x:c r="I726" s="32" t="str">
        <x:v>862323089930703</x:v>
      </x:c>
      <x:c r="J726" s="82"/>
      <x:c r="K726" s="82" t="n">
        <x:v>-24.3</x:v>
      </x:c>
      <x:c r="L726" s="82" t="n">
        <x:v>35.3</x:v>
      </x:c>
      <x:c r="M726" s="82" t="n">
        <x:v>24.7</x:v>
      </x:c>
      <x:c r="N726" s="86" t="n">
        <x:v>786</x:v>
      </x:c>
      <x:c r="O726" s="90" t="n">
        <x:v>6.42</x:v>
      </x:c>
      <x:c r="P726" s="150" t="n">
        <x:v>3.974</x:v>
      </x:c>
      <x:c r="Q726" s="86" t="n">
        <x:v>20</x:v>
      </x:c>
      <x:c r="R726" s="32"/>
      <x:c r="S726" s="32" t="str">
        <x:v>ok</x:v>
      </x:c>
      <x:c r="T726" s="32" t="str">
        <x:v>ok</x:v>
      </x:c>
      <x:c r="U726" s="32" t="str">
        <x:v>ok</x:v>
      </x:c>
      <x:c r="V726" s="32" t="str">
        <x:v>ok</x:v>
      </x:c>
      <x:c r="W726" s="154" t="str">
        <x:v>{"schema_version":1,"imei":"862323089930703","timestamp":1786023953,"report_sequence":31,"task_version":"rice_tension_soil_demo","sensor_mode":"tension_soil","soil_moisture_percent":35.3,"soil_temperature_c":24.7,"soil_ec_us_cm":786,"soil_ph":6.42,"battery_mv":3974,"csq":20,"soil_rs485_status":"ok","cycle_status":"ok","soil_tension_kpa":-24.3,"soil_tension_rs485_status":"ok"}</x:v>
      </x:c>
    </x:row>
    <x:row r="727">
      <x:c r="A727" s="72" t="n">
        <x:v>46240.906863425924</x:v>
      </x:c>
      <x:c r="B727" s="72" t="n">
        <x:v>46240.90687731482</x:v>
      </x:c>
      <x:c r="C727" s="32" t="str">
        <x:v>P04</x:v>
      </x:c>
      <x:c r="D727" s="32" t="str">
        <x:v>B1-W1-V2</x:v>
      </x:c>
      <x:c r="E727" s="32" t="str">
        <x:v>B1</x:v>
      </x:c>
      <x:c r="F727" s="32" t="str">
        <x:v>W1</x:v>
      </x:c>
      <x:c r="G727" s="32" t="str">
        <x:v>V2</x:v>
      </x:c>
      <x:c r="H727" s="32" t="str">
        <x:v>tension_soil</x:v>
      </x:c>
      <x:c r="I727" s="32" t="str">
        <x:v>862323089930704</x:v>
      </x:c>
      <x:c r="J727" s="82"/>
      <x:c r="K727" s="82" t="n">
        <x:v>-25.6</x:v>
      </x:c>
      <x:c r="L727" s="82" t="n">
        <x:v>36.6</x:v>
      </x:c>
      <x:c r="M727" s="82" t="n">
        <x:v>24.7</x:v>
      </x:c>
      <x:c r="N727" s="86" t="n">
        <x:v>803</x:v>
      </x:c>
      <x:c r="O727" s="90" t="n">
        <x:v>6.48</x:v>
      </x:c>
      <x:c r="P727" s="150" t="n">
        <x:v>3.992</x:v>
      </x:c>
      <x:c r="Q727" s="86" t="n">
        <x:v>21</x:v>
      </x:c>
      <x:c r="R727" s="32"/>
      <x:c r="S727" s="32" t="str">
        <x:v>ok</x:v>
      </x:c>
      <x:c r="T727" s="32" t="str">
        <x:v>ok</x:v>
      </x:c>
      <x:c r="U727" s="32" t="str">
        <x:v>ok</x:v>
      </x:c>
      <x:c r="V727" s="32" t="str">
        <x:v>ok</x:v>
      </x:c>
      <x:c r="W727" s="154" t="str">
        <x:v>{"schema_version":1,"imei":"862323089930704","timestamp":1786023953,"report_sequence":31,"task_version":"rice_tension_soil_demo","sensor_mode":"tension_soil","soil_moisture_percent":36.6,"soil_temperature_c":24.7,"soil_ec_us_cm":803,"soil_ph":6.48,"battery_mv":3992,"csq":21,"soil_rs485_status":"ok","cycle_status":"ok","soil_tension_kpa":-25.6,"soil_tension_rs485_status":"ok"}</x:v>
      </x:c>
    </x:row>
    <x:row r="728">
      <x:c r="A728" s="72" t="n">
        <x:v>46240.906863425924</x:v>
      </x:c>
      <x:c r="B728" s="72" t="n">
        <x:v>46240.90687731482</x:v>
      </x:c>
      <x:c r="C728" s="32" t="str">
        <x:v>P05</x:v>
      </x:c>
      <x:c r="D728" s="32" t="str">
        <x:v>B1-W2-V1</x:v>
      </x:c>
      <x:c r="E728" s="32" t="str">
        <x:v>B1</x:v>
      </x:c>
      <x:c r="F728" s="32" t="str">
        <x:v>W2</x:v>
      </x:c>
      <x:c r="G728" s="32" t="str">
        <x:v>V1</x:v>
      </x:c>
      <x:c r="H728" s="32" t="str">
        <x:v>tension_soil</x:v>
      </x:c>
      <x:c r="I728" s="32" t="str">
        <x:v>862323089930705</x:v>
      </x:c>
      <x:c r="J728" s="82"/>
      <x:c r="K728" s="82" t="n">
        <x:v>-33</x:v>
      </x:c>
      <x:c r="L728" s="82" t="n">
        <x:v>38</x:v>
      </x:c>
      <x:c r="M728" s="82" t="n">
        <x:v>24.8</x:v>
      </x:c>
      <x:c r="N728" s="86" t="n">
        <x:v>822</x:v>
      </x:c>
      <x:c r="O728" s="90" t="n">
        <x:v>6.28</x:v>
      </x:c>
      <x:c r="P728" s="150" t="n">
        <x:v>4.01</x:v>
      </x:c>
      <x:c r="Q728" s="86" t="n">
        <x:v>22</x:v>
      </x:c>
      <x:c r="R728" s="32"/>
      <x:c r="S728" s="32" t="str">
        <x:v>ok</x:v>
      </x:c>
      <x:c r="T728" s="32" t="str">
        <x:v>ok</x:v>
      </x:c>
      <x:c r="U728" s="32" t="str">
        <x:v>ok</x:v>
      </x:c>
      <x:c r="V728" s="32" t="str">
        <x:v>ok</x:v>
      </x:c>
      <x:c r="W728" s="154" t="str">
        <x:v>{"schema_version":1,"imei":"862323089930705","timestamp":1786023953,"report_sequence":31,"task_version":"rice_tension_soil_demo","sensor_mode":"tension_soil","soil_moisture_percent":38,"soil_temperature_c":24.8,"soil_ec_us_cm":822,"soil_ph":6.28,"battery_mv":4010,"csq":22,"soil_rs485_status":"ok","cycle_status":"ok","soil_tension_kpa":-33,"soil_tension_rs485_status":"ok"}</x:v>
      </x:c>
    </x:row>
    <x:row r="729">
      <x:c r="A729" s="72" t="n">
        <x:v>46240.906863425924</x:v>
      </x:c>
      <x:c r="B729" s="72" t="n">
        <x:v>46240.90687731482</x:v>
      </x:c>
      <x:c r="C729" s="32" t="str">
        <x:v>P06</x:v>
      </x:c>
      <x:c r="D729" s="32" t="str">
        <x:v>B1-W2-V2</x:v>
      </x:c>
      <x:c r="E729" s="32" t="str">
        <x:v>B1</x:v>
      </x:c>
      <x:c r="F729" s="32" t="str">
        <x:v>W2</x:v>
      </x:c>
      <x:c r="G729" s="32" t="str">
        <x:v>V2</x:v>
      </x:c>
      <x:c r="H729" s="32" t="str">
        <x:v>tension_soil</x:v>
      </x:c>
      <x:c r="I729" s="32" t="str">
        <x:v>862323089930706</x:v>
      </x:c>
      <x:c r="J729" s="82"/>
      <x:c r="K729" s="82" t="n">
        <x:v>-34.4</x:v>
      </x:c>
      <x:c r="L729" s="82" t="n">
        <x:v>39.4</x:v>
      </x:c>
      <x:c r="M729" s="82" t="n">
        <x:v>25</x:v>
      </x:c>
      <x:c r="N729" s="86" t="n">
        <x:v>842</x:v>
      </x:c>
      <x:c r="O729" s="90" t="n">
        <x:v>6.34</x:v>
      </x:c>
      <x:c r="P729" s="150" t="n">
        <x:v>3.92</x:v>
      </x:c>
      <x:c r="Q729" s="86" t="n">
        <x:v>23</x:v>
      </x:c>
      <x:c r="R729" s="32"/>
      <x:c r="S729" s="32" t="str">
        <x:v>ok</x:v>
      </x:c>
      <x:c r="T729" s="32" t="str">
        <x:v>ok</x:v>
      </x:c>
      <x:c r="U729" s="32" t="str">
        <x:v>ok</x:v>
      </x:c>
      <x:c r="V729" s="32" t="str">
        <x:v>ok</x:v>
      </x:c>
      <x:c r="W729" s="154" t="str">
        <x:v>{"schema_version":1,"imei":"862323089930706","timestamp":1786023953,"report_sequence":31,"task_version":"rice_tension_soil_demo","sensor_mode":"tension_soil","soil_moisture_percent":39.4,"soil_temperature_c":25,"soil_ec_us_cm":842,"soil_ph":6.34,"battery_mv":3920,"csq":23,"soil_rs485_status":"ok","cycle_status":"ok","soil_tension_kpa":-34.4,"soil_tension_rs485_status":"ok"}</x:v>
      </x:c>
    </x:row>
    <x:row r="730">
      <x:c r="A730" s="72" t="n">
        <x:v>46240.906863425924</x:v>
      </x:c>
      <x:c r="B730" s="72" t="n">
        <x:v>46240.90687731482</x:v>
      </x:c>
      <x:c r="C730" s="32" t="str">
        <x:v>P07</x:v>
      </x:c>
      <x:c r="D730" s="32" t="str">
        <x:v>B2-W0-V1</x:v>
      </x:c>
      <x:c r="E730" s="32" t="str">
        <x:v>B2</x:v>
      </x:c>
      <x:c r="F730" s="32" t="str">
        <x:v>W0</x:v>
      </x:c>
      <x:c r="G730" s="32" t="str">
        <x:v>V1</x:v>
      </x:c>
      <x:c r="H730" s="32" t="str">
        <x:v>water_soil</x:v>
      </x:c>
      <x:c r="I730" s="32" t="str">
        <x:v>862323089930707</x:v>
      </x:c>
      <x:c r="J730" s="82" t="n">
        <x:v>36.8</x:v>
      </x:c>
      <x:c r="K730" s="82"/>
      <x:c r="L730" s="82" t="n">
        <x:v>40.9</x:v>
      </x:c>
      <x:c r="M730" s="82" t="n">
        <x:v>25.1</x:v>
      </x:c>
      <x:c r="N730" s="86" t="n">
        <x:v>863</x:v>
      </x:c>
      <x:c r="O730" s="90" t="n">
        <x:v>6.4</x:v>
      </x:c>
      <x:c r="P730" s="150" t="n">
        <x:v>3.938</x:v>
      </x:c>
      <x:c r="Q730" s="86" t="n">
        <x:v>24</x:v>
      </x:c>
      <x:c r="R730" s="32" t="str">
        <x:v>ok</x:v>
      </x:c>
      <x:c r="S730" s="32"/>
      <x:c r="T730" s="32" t="str">
        <x:v>ok</x:v>
      </x:c>
      <x:c r="U730" s="32" t="str">
        <x:v>ok</x:v>
      </x:c>
      <x:c r="V730" s="32" t="str">
        <x:v>ok</x:v>
      </x:c>
      <x:c r="W730" s="154" t="str">
        <x:v>{"schema_version":1,"imei":"862323089930707","timestamp":1786023953,"report_sequence":31,"task_version":"rice_w0_water_soil_demo","sensor_mode":"water_soil","soil_moisture_percent":40.9,"soil_temperature_c":25.1,"soil_ec_us_cm":863,"soil_ph":6.4,"battery_mv":3938,"csq":24,"soil_rs485_status":"ok","cycle_status":"ok","water_level_mm":36.8,"water_4_20ma_status":"ok"}</x:v>
      </x:c>
    </x:row>
    <x:row r="731">
      <x:c r="A731" s="72" t="n">
        <x:v>46240.906863425924</x:v>
      </x:c>
      <x:c r="B731" s="72" t="n">
        <x:v>46240.90687731482</x:v>
      </x:c>
      <x:c r="C731" s="32" t="str">
        <x:v>P08</x:v>
      </x:c>
      <x:c r="D731" s="32" t="str">
        <x:v>B2-W0-V2</x:v>
      </x:c>
      <x:c r="E731" s="32" t="str">
        <x:v>B2</x:v>
      </x:c>
      <x:c r="F731" s="32" t="str">
        <x:v>W0</x:v>
      </x:c>
      <x:c r="G731" s="32" t="str">
        <x:v>V2</x:v>
      </x:c>
      <x:c r="H731" s="32" t="str">
        <x:v>water_soil</x:v>
      </x:c>
      <x:c r="I731" s="32" t="str">
        <x:v>862323089930708</x:v>
      </x:c>
      <x:c r="J731" s="82" t="n">
        <x:v>29.1</x:v>
      </x:c>
      <x:c r="K731" s="82"/>
      <x:c r="L731" s="82" t="n">
        <x:v>34.4</x:v>
      </x:c>
      <x:c r="M731" s="82" t="n">
        <x:v>25.2</x:v>
      </x:c>
      <x:c r="N731" s="86" t="n">
        <x:v>884</x:v>
      </x:c>
      <x:c r="O731" s="90" t="n">
        <x:v>6.46</x:v>
      </x:c>
      <x:c r="P731" s="150" t="n">
        <x:v>3.956</x:v>
      </x:c>
      <x:c r="Q731" s="86" t="n">
        <x:v>17</x:v>
      </x:c>
      <x:c r="R731" s="32" t="str">
        <x:v>ok</x:v>
      </x:c>
      <x:c r="S731" s="32"/>
      <x:c r="T731" s="32" t="str">
        <x:v>ok</x:v>
      </x:c>
      <x:c r="U731" s="32" t="str">
        <x:v>ok</x:v>
      </x:c>
      <x:c r="V731" s="32" t="str">
        <x:v>ok</x:v>
      </x:c>
      <x:c r="W731" s="154" t="str">
        <x:v>{"schema_version":1,"imei":"862323089930708","timestamp":1786023953,"report_sequence":31,"task_version":"rice_w0_water_soil_demo","sensor_mode":"water_soil","soil_moisture_percent":34.4,"soil_temperature_c":25.2,"soil_ec_us_cm":884,"soil_ph":6.46,"battery_mv":3956,"csq":17,"soil_rs485_status":"ok","cycle_status":"ok","water_level_mm":29.1,"water_4_20ma_status":"ok"}</x:v>
      </x:c>
    </x:row>
    <x:row r="732">
      <x:c r="A732" s="72" t="n">
        <x:v>46240.906863425924</x:v>
      </x:c>
      <x:c r="B732" s="72" t="n">
        <x:v>46240.90687731482</x:v>
      </x:c>
      <x:c r="C732" s="32" t="str">
        <x:v>P09</x:v>
      </x:c>
      <x:c r="D732" s="32" t="str">
        <x:v>B2-W1-V1</x:v>
      </x:c>
      <x:c r="E732" s="32" t="str">
        <x:v>B2</x:v>
      </x:c>
      <x:c r="F732" s="32" t="str">
        <x:v>W1</x:v>
      </x:c>
      <x:c r="G732" s="32" t="str">
        <x:v>V1</x:v>
      </x:c>
      <x:c r="H732" s="32" t="str">
        <x:v>tension_soil</x:v>
      </x:c>
      <x:c r="I732" s="32" t="str">
        <x:v>862323089930709</x:v>
      </x:c>
      <x:c r="J732" s="82"/>
      <x:c r="K732" s="82" t="n">
        <x:v>-27.9</x:v>
      </x:c>
      <x:c r="L732" s="82" t="n">
        <x:v>35.9</x:v>
      </x:c>
      <x:c r="M732" s="82" t="n">
        <x:v>25.3</x:v>
      </x:c>
      <x:c r="N732" s="86" t="n">
        <x:v>904</x:v>
      </x:c>
      <x:c r="O732" s="90" t="n">
        <x:v>6.51</x:v>
      </x:c>
      <x:c r="P732" s="150" t="n">
        <x:v>3.974</x:v>
      </x:c>
      <x:c r="Q732" s="86" t="n">
        <x:v>18</x:v>
      </x:c>
      <x:c r="R732" s="32"/>
      <x:c r="S732" s="32" t="str">
        <x:v>ok</x:v>
      </x:c>
      <x:c r="T732" s="32" t="str">
        <x:v>ok</x:v>
      </x:c>
      <x:c r="U732" s="32" t="str">
        <x:v>ok</x:v>
      </x:c>
      <x:c r="V732" s="32" t="str">
        <x:v>ok</x:v>
      </x:c>
      <x:c r="W732" s="154" t="str">
        <x:v>{"schema_version":1,"imei":"862323089930709","timestamp":1786023953,"report_sequence":31,"task_version":"rice_tension_soil_demo","sensor_mode":"tension_soil","soil_moisture_percent":35.9,"soil_temperature_c":25.3,"soil_ec_us_cm":904,"soil_ph":6.51,"battery_mv":3974,"csq":18,"soil_rs485_status":"ok","cycle_status":"ok","soil_tension_kpa":-27.9,"soil_tension_rs485_status":"ok"}</x:v>
      </x:c>
    </x:row>
    <x:row r="733">
      <x:c r="A733" s="72" t="n">
        <x:v>46240.906863425924</x:v>
      </x:c>
      <x:c r="B733" s="72" t="n">
        <x:v>46240.90687731482</x:v>
      </x:c>
      <x:c r="C733" s="32" t="str">
        <x:v>P10</x:v>
      </x:c>
      <x:c r="D733" s="32" t="str">
        <x:v>B2-W1-V2</x:v>
      </x:c>
      <x:c r="E733" s="32" t="str">
        <x:v>B2</x:v>
      </x:c>
      <x:c r="F733" s="32" t="str">
        <x:v>W1</x:v>
      </x:c>
      <x:c r="G733" s="32" t="str">
        <x:v>V2</x:v>
      </x:c>
      <x:c r="H733" s="32" t="str">
        <x:v>tension_soil</x:v>
      </x:c>
      <x:c r="I733" s="32" t="str">
        <x:v>862323089930710</x:v>
      </x:c>
      <x:c r="J733" s="82"/>
      <x:c r="K733" s="82" t="n">
        <x:v>-24.3</x:v>
      </x:c>
      <x:c r="L733" s="82" t="n">
        <x:v>37.3</x:v>
      </x:c>
      <x:c r="M733" s="82" t="n">
        <x:v>25.4</x:v>
      </x:c>
      <x:c r="N733" s="86" t="n">
        <x:v>923</x:v>
      </x:c>
      <x:c r="O733" s="90" t="n">
        <x:v>6.32</x:v>
      </x:c>
      <x:c r="P733" s="150" t="n">
        <x:v>3.992</x:v>
      </x:c>
      <x:c r="Q733" s="86" t="n">
        <x:v>19</x:v>
      </x:c>
      <x:c r="R733" s="32"/>
      <x:c r="S733" s="32" t="str">
        <x:v>ok</x:v>
      </x:c>
      <x:c r="T733" s="32" t="str">
        <x:v>ok</x:v>
      </x:c>
      <x:c r="U733" s="32" t="str">
        <x:v>ok</x:v>
      </x:c>
      <x:c r="V733" s="32" t="str">
        <x:v>ok</x:v>
      </x:c>
      <x:c r="W733" s="154" t="str">
        <x:v>{"schema_version":1,"imei":"862323089930710","timestamp":1786023953,"report_sequence":31,"task_version":"rice_tension_soil_demo","sensor_mode":"tension_soil","soil_moisture_percent":37.3,"soil_temperature_c":25.4,"soil_ec_us_cm":923,"soil_ph":6.32,"battery_mv":3992,"csq":19,"soil_rs485_status":"ok","cycle_status":"ok","soil_tension_kpa":-24.3,"soil_tension_rs485_status":"ok"}</x:v>
      </x:c>
    </x:row>
    <x:row r="734">
      <x:c r="A734" s="72" t="n">
        <x:v>46240.906863425924</x:v>
      </x:c>
      <x:c r="B734" s="72" t="n">
        <x:v>46240.90687731482</x:v>
      </x:c>
      <x:c r="C734" s="32" t="str">
        <x:v>P11</x:v>
      </x:c>
      <x:c r="D734" s="32" t="str">
        <x:v>B2-W2-V1</x:v>
      </x:c>
      <x:c r="E734" s="32" t="str">
        <x:v>B2</x:v>
      </x:c>
      <x:c r="F734" s="32" t="str">
        <x:v>W2</x:v>
      </x:c>
      <x:c r="G734" s="32" t="str">
        <x:v>V1</x:v>
      </x:c>
      <x:c r="H734" s="32" t="str">
        <x:v>tension_soil</x:v>
      </x:c>
      <x:c r="I734" s="32" t="str">
        <x:v>862323089930711</x:v>
      </x:c>
      <x:c r="J734" s="82"/>
      <x:c r="K734" s="82" t="n">
        <x:v>-36.6</x:v>
      </x:c>
      <x:c r="L734" s="82" t="n">
        <x:v>38.6</x:v>
      </x:c>
      <x:c r="M734" s="82" t="n">
        <x:v>25.5</x:v>
      </x:c>
      <x:c r="N734" s="86" t="n">
        <x:v>941</x:v>
      </x:c>
      <x:c r="O734" s="90" t="n">
        <x:v>6.37</x:v>
      </x:c>
      <x:c r="P734" s="150" t="n">
        <x:v>4.01</x:v>
      </x:c>
      <x:c r="Q734" s="86" t="n">
        <x:v>20</x:v>
      </x:c>
      <x:c r="R734" s="32"/>
      <x:c r="S734" s="32" t="str">
        <x:v>ok</x:v>
      </x:c>
      <x:c r="T734" s="32" t="str">
        <x:v>ok</x:v>
      </x:c>
      <x:c r="U734" s="32" t="str">
        <x:v>ok</x:v>
      </x:c>
      <x:c r="V734" s="32" t="str">
        <x:v>ok</x:v>
      </x:c>
      <x:c r="W734" s="154" t="str">
        <x:v>{"schema_version":1,"imei":"862323089930711","timestamp":1786023953,"report_sequence":31,"task_version":"rice_tension_soil_demo","sensor_mode":"tension_soil","soil_moisture_percent":38.6,"soil_temperature_c":25.5,"soil_ec_us_cm":941,"soil_ph":6.37,"battery_mv":4010,"csq":20,"soil_rs485_status":"ok","cycle_status":"ok","soil_tension_kpa":-36.6,"soil_tension_rs485_status":"ok"}</x:v>
      </x:c>
    </x:row>
    <x:row r="735">
      <x:c r="A735" s="72" t="n">
        <x:v>46240.906863425924</x:v>
      </x:c>
      <x:c r="B735" s="72" t="n">
        <x:v>46240.90687731482</x:v>
      </x:c>
      <x:c r="C735" s="32" t="str">
        <x:v>P12</x:v>
      </x:c>
      <x:c r="D735" s="32" t="str">
        <x:v>B2-W2-V2</x:v>
      </x:c>
      <x:c r="E735" s="32" t="str">
        <x:v>B2</x:v>
      </x:c>
      <x:c r="F735" s="32" t="str">
        <x:v>W2</x:v>
      </x:c>
      <x:c r="G735" s="32" t="str">
        <x:v>V2</x:v>
      </x:c>
      <x:c r="H735" s="32" t="str">
        <x:v>tension_soil</x:v>
      </x:c>
      <x:c r="I735" s="32" t="str">
        <x:v>862323089930712</x:v>
      </x:c>
      <x:c r="J735" s="82"/>
      <x:c r="K735" s="82" t="n">
        <x:v>-37.9</x:v>
      </x:c>
      <x:c r="L735" s="82" t="n">
        <x:v>39.9</x:v>
      </x:c>
      <x:c r="M735" s="82" t="n">
        <x:v>25.6</x:v>
      </x:c>
      <x:c r="N735" s="86" t="n">
        <x:v>957</x:v>
      </x:c>
      <x:c r="O735" s="90" t="n">
        <x:v>6.43</x:v>
      </x:c>
      <x:c r="P735" s="150" t="n">
        <x:v>3.92</x:v>
      </x:c>
      <x:c r="Q735" s="86" t="n">
        <x:v>21</x:v>
      </x:c>
      <x:c r="R735" s="32"/>
      <x:c r="S735" s="32" t="str">
        <x:v>ok</x:v>
      </x:c>
      <x:c r="T735" s="32" t="str">
        <x:v>ok</x:v>
      </x:c>
      <x:c r="U735" s="32" t="str">
        <x:v>ok</x:v>
      </x:c>
      <x:c r="V735" s="32" t="str">
        <x:v>ok</x:v>
      </x:c>
      <x:c r="W735" s="154" t="str">
        <x:v>{"schema_version":1,"imei":"862323089930712","timestamp":1786023953,"report_sequence":31,"task_version":"rice_tension_soil_demo","sensor_mode":"tension_soil","soil_moisture_percent":39.9,"soil_temperature_c":25.6,"soil_ec_us_cm":957,"soil_ph":6.43,"battery_mv":3920,"csq":21,"soil_rs485_status":"ok","cycle_status":"ok","soil_tension_kpa":-37.9,"soil_tension_rs485_status":"ok"}</x:v>
      </x:c>
    </x:row>
    <x:row r="736">
      <x:c r="A736" s="72" t="n">
        <x:v>46240.906863425924</x:v>
      </x:c>
      <x:c r="B736" s="72" t="n">
        <x:v>46240.90687731482</x:v>
      </x:c>
      <x:c r="C736" s="32" t="str">
        <x:v>P13</x:v>
      </x:c>
      <x:c r="D736" s="32" t="str">
        <x:v>B3-W0-V1</x:v>
      </x:c>
      <x:c r="E736" s="32" t="str">
        <x:v>B3</x:v>
      </x:c>
      <x:c r="F736" s="32" t="str">
        <x:v>W0</x:v>
      </x:c>
      <x:c r="G736" s="32" t="str">
        <x:v>V1</x:v>
      </x:c>
      <x:c r="H736" s="32" t="str">
        <x:v>water_soil</x:v>
      </x:c>
      <x:c r="I736" s="32" t="str">
        <x:v>862323089930713</x:v>
      </x:c>
      <x:c r="J736" s="82" t="n">
        <x:v>36</x:v>
      </x:c>
      <x:c r="K736" s="82"/>
      <x:c r="L736" s="82" t="n">
        <x:v>41</x:v>
      </x:c>
      <x:c r="M736" s="82" t="n">
        <x:v>25.6</x:v>
      </x:c>
      <x:c r="N736" s="86" t="n">
        <x:v>971</x:v>
      </x:c>
      <x:c r="O736" s="90" t="n">
        <x:v>6.48</x:v>
      </x:c>
      <x:c r="P736" s="150" t="n">
        <x:v>3.938</x:v>
      </x:c>
      <x:c r="Q736" s="86" t="n">
        <x:v>22</x:v>
      </x:c>
      <x:c r="R736" s="32" t="str">
        <x:v>ok</x:v>
      </x:c>
      <x:c r="S736" s="32"/>
      <x:c r="T736" s="32" t="str">
        <x:v>ok</x:v>
      </x:c>
      <x:c r="U736" s="32" t="str">
        <x:v>ok</x:v>
      </x:c>
      <x:c r="V736" s="32" t="str">
        <x:v>ok</x:v>
      </x:c>
      <x:c r="W736" s="154" t="str">
        <x:v>{"schema_version":1,"imei":"862323089930713","timestamp":1786023953,"report_sequence":31,"task_version":"rice_w0_water_soil_demo","sensor_mode":"water_soil","soil_moisture_percent":41,"soil_temperature_c":25.6,"soil_ec_us_cm":971,"soil_ph":6.48,"battery_mv":3938,"csq":22,"soil_rs485_status":"ok","cycle_status":"ok","water_level_mm":36,"water_4_20ma_status":"ok"}</x:v>
      </x:c>
    </x:row>
    <x:row r="737">
      <x:c r="A737" s="72" t="n">
        <x:v>46240.906863425924</x:v>
      </x:c>
      <x:c r="B737" s="72" t="n">
        <x:v>46240.90687731482</x:v>
      </x:c>
      <x:c r="C737" s="32" t="str">
        <x:v>P14</x:v>
      </x:c>
      <x:c r="D737" s="32" t="str">
        <x:v>B3-W0-V2</x:v>
      </x:c>
      <x:c r="E737" s="32" t="str">
        <x:v>B3</x:v>
      </x:c>
      <x:c r="F737" s="32" t="str">
        <x:v>W0</x:v>
      </x:c>
      <x:c r="G737" s="32" t="str">
        <x:v>V2</x:v>
      </x:c>
      <x:c r="H737" s="32" t="str">
        <x:v>water_soil</x:v>
      </x:c>
      <x:c r="I737" s="32" t="str">
        <x:v>862323089930714</x:v>
      </x:c>
      <x:c r="J737" s="82" t="n">
        <x:v>38.9</x:v>
      </x:c>
      <x:c r="K737" s="82"/>
      <x:c r="L737" s="82" t="n">
        <x:v>42</x:v>
      </x:c>
      <x:c r="M737" s="82" t="n">
        <x:v>25.6</x:v>
      </x:c>
      <x:c r="N737" s="86" t="n">
        <x:v>983</x:v>
      </x:c>
      <x:c r="O737" s="90" t="n">
        <x:v>6.53</x:v>
      </x:c>
      <x:c r="P737" s="150" t="n">
        <x:v>3.956</x:v>
      </x:c>
      <x:c r="Q737" s="86" t="n">
        <x:v>23</x:v>
      </x:c>
      <x:c r="R737" s="32" t="str">
        <x:v>ok</x:v>
      </x:c>
      <x:c r="S737" s="32"/>
      <x:c r="T737" s="32" t="str">
        <x:v>ok</x:v>
      </x:c>
      <x:c r="U737" s="32" t="str">
        <x:v>ok</x:v>
      </x:c>
      <x:c r="V737" s="32" t="str">
        <x:v>ok</x:v>
      </x:c>
      <x:c r="W737" s="154" t="str">
        <x:v>{"schema_version":1,"imei":"862323089930714","timestamp":1786023953,"report_sequence":31,"task_version":"rice_w0_water_soil_demo","sensor_mode":"water_soil","soil_moisture_percent":42,"soil_temperature_c":25.6,"soil_ec_us_cm":983,"soil_ph":6.53,"battery_mv":3956,"csq":23,"soil_rs485_status":"ok","cycle_status":"ok","water_level_mm":38.9,"water_4_20ma_status":"ok"}</x:v>
      </x:c>
    </x:row>
    <x:row r="738">
      <x:c r="A738" s="72" t="n">
        <x:v>46240.906863425924</x:v>
      </x:c>
      <x:c r="B738" s="72" t="n">
        <x:v>46240.90687731482</x:v>
      </x:c>
      <x:c r="C738" s="32" t="str">
        <x:v>P15</x:v>
      </x:c>
      <x:c r="D738" s="32" t="str">
        <x:v>B3-W1-V1</x:v>
      </x:c>
      <x:c r="E738" s="32" t="str">
        <x:v>B3</x:v>
      </x:c>
      <x:c r="F738" s="32" t="str">
        <x:v>W1</x:v>
      </x:c>
      <x:c r="G738" s="32" t="str">
        <x:v>V1</x:v>
      </x:c>
      <x:c r="H738" s="32" t="str">
        <x:v>tension_soil</x:v>
      </x:c>
      <x:c r="I738" s="32" t="str">
        <x:v>862323089930715</x:v>
      </x:c>
      <x:c r="J738" s="82"/>
      <x:c r="K738" s="82" t="n">
        <x:v>-24.8</x:v>
      </x:c>
      <x:c r="L738" s="82" t="n">
        <x:v>42.8</x:v>
      </x:c>
      <x:c r="M738" s="82" t="n">
        <x:v>25.6</x:v>
      </x:c>
      <x:c r="N738" s="86" t="n">
        <x:v>992</x:v>
      </x:c>
      <x:c r="O738" s="90" t="n">
        <x:v>6.33</x:v>
      </x:c>
      <x:c r="P738" s="150" t="n">
        <x:v>3.974</x:v>
      </x:c>
      <x:c r="Q738" s="86" t="n">
        <x:v>24</x:v>
      </x:c>
      <x:c r="R738" s="32"/>
      <x:c r="S738" s="32" t="str">
        <x:v>ok</x:v>
      </x:c>
      <x:c r="T738" s="32" t="str">
        <x:v>ok</x:v>
      </x:c>
      <x:c r="U738" s="32" t="str">
        <x:v>ok</x:v>
      </x:c>
      <x:c r="V738" s="32" t="str">
        <x:v>ok</x:v>
      </x:c>
      <x:c r="W738" s="154" t="str">
        <x:v>{"schema_version":1,"imei":"862323089930715","timestamp":1786023953,"report_sequence":31,"task_version":"rice_tension_soil_demo","sensor_mode":"tension_soil","soil_moisture_percent":42.8,"soil_temperature_c":25.6,"soil_ec_us_cm":992,"soil_ph":6.33,"battery_mv":3974,"csq":24,"soil_rs485_status":"ok","cycle_status":"ok","soil_tension_kpa":-24.8,"soil_tension_rs485_status":"ok"}</x:v>
      </x:c>
    </x:row>
    <x:row r="739">
      <x:c r="A739" s="72" t="n">
        <x:v>46240.906863425924</x:v>
      </x:c>
      <x:c r="B739" s="72" t="n">
        <x:v>46240.90687731482</x:v>
      </x:c>
      <x:c r="C739" s="32" t="str">
        <x:v>P16</x:v>
      </x:c>
      <x:c r="D739" s="32" t="str">
        <x:v>B3-W1-V2</x:v>
      </x:c>
      <x:c r="E739" s="32" t="str">
        <x:v>B3</x:v>
      </x:c>
      <x:c r="F739" s="32" t="str">
        <x:v>W1</x:v>
      </x:c>
      <x:c r="G739" s="32" t="str">
        <x:v>V2</x:v>
      </x:c>
      <x:c r="H739" s="32" t="str">
        <x:v>tension_soil</x:v>
      </x:c>
      <x:c r="I739" s="32" t="str">
        <x:v>862323089930716</x:v>
      </x:c>
      <x:c r="J739" s="82"/>
      <x:c r="K739" s="82" t="n">
        <x:v>-25.6</x:v>
      </x:c>
      <x:c r="L739" s="82" t="n">
        <x:v>35.6</x:v>
      </x:c>
      <x:c r="M739" s="82" t="n">
        <x:v>25.5</x:v>
      </x:c>
      <x:c r="N739" s="86" t="n">
        <x:v>1000</x:v>
      </x:c>
      <x:c r="O739" s="90" t="n">
        <x:v>6.37</x:v>
      </x:c>
      <x:c r="P739" s="150" t="n">
        <x:v>3.992</x:v>
      </x:c>
      <x:c r="Q739" s="86" t="n">
        <x:v>17</x:v>
      </x:c>
      <x:c r="R739" s="32"/>
      <x:c r="S739" s="32" t="str">
        <x:v>ok</x:v>
      </x:c>
      <x:c r="T739" s="32" t="str">
        <x:v>ok</x:v>
      </x:c>
      <x:c r="U739" s="32" t="str">
        <x:v>ok</x:v>
      </x:c>
      <x:c r="V739" s="32" t="str">
        <x:v>ok</x:v>
      </x:c>
      <x:c r="W739" s="154" t="str">
        <x:v>{"schema_version":1,"imei":"862323089930716","timestamp":1786023953,"report_sequence":31,"task_version":"rice_tension_soil_demo","sensor_mode":"tension_soil","soil_moisture_percent":35.6,"soil_temperature_c":25.5,"soil_ec_us_cm":1000,"soil_ph":6.37,"battery_mv":3992,"csq":17,"soil_rs485_status":"ok","cycle_status":"ok","soil_tension_kpa":-25.6,"soil_tension_rs485_status":"ok"}</x:v>
      </x:c>
    </x:row>
    <x:row r="740">
      <x:c r="A740" s="72" t="n">
        <x:v>46240.906863425924</x:v>
      </x:c>
      <x:c r="B740" s="72" t="n">
        <x:v>46240.90687731482</x:v>
      </x:c>
      <x:c r="C740" s="32" t="str">
        <x:v>P17</x:v>
      </x:c>
      <x:c r="D740" s="32" t="str">
        <x:v>B3-W2-V1</x:v>
      </x:c>
      <x:c r="E740" s="32" t="str">
        <x:v>B3</x:v>
      </x:c>
      <x:c r="F740" s="32" t="str">
        <x:v>W2</x:v>
      </x:c>
      <x:c r="G740" s="32" t="str">
        <x:v>V1</x:v>
      </x:c>
      <x:c r="H740" s="32" t="str">
        <x:v>tension_soil</x:v>
      </x:c>
      <x:c r="I740" s="32" t="str">
        <x:v>862323089930717</x:v>
      </x:c>
      <x:c r="J740" s="82"/>
      <x:c r="K740" s="82" t="n">
        <x:v>-37.2</x:v>
      </x:c>
      <x:c r="L740" s="82" t="n">
        <x:v>36.2</x:v>
      </x:c>
      <x:c r="M740" s="82" t="n">
        <x:v>25.4</x:v>
      </x:c>
      <x:c r="N740" s="86" t="n">
        <x:v>1006</x:v>
      </x:c>
      <x:c r="O740" s="90" t="n">
        <x:v>6.42</x:v>
      </x:c>
      <x:c r="P740" s="150" t="n">
        <x:v>4.01</x:v>
      </x:c>
      <x:c r="Q740" s="86" t="n">
        <x:v>18</x:v>
      </x:c>
      <x:c r="R740" s="32"/>
      <x:c r="S740" s="32" t="str">
        <x:v>ok</x:v>
      </x:c>
      <x:c r="T740" s="32" t="str">
        <x:v>ok</x:v>
      </x:c>
      <x:c r="U740" s="32" t="str">
        <x:v>ok</x:v>
      </x:c>
      <x:c r="V740" s="32" t="str">
        <x:v>ok</x:v>
      </x:c>
      <x:c r="W740" s="154" t="str">
        <x:v>{"schema_version":1,"imei":"862323089930717","timestamp":1786023953,"report_sequence":31,"task_version":"rice_tension_soil_demo","sensor_mode":"tension_soil","soil_moisture_percent":36.2,"soil_temperature_c":25.4,"soil_ec_us_cm":1006,"soil_ph":6.42,"battery_mv":4010,"csq":18,"soil_rs485_status":"ok","cycle_status":"ok","soil_tension_kpa":-37.2,"soil_tension_rs485_status":"ok"}</x:v>
      </x:c>
    </x:row>
    <x:row r="741">
      <x:c r="A741" s="72" t="n">
        <x:v>46240.906863425924</x:v>
      </x:c>
      <x:c r="B741" s="72" t="n">
        <x:v>46240.90687731482</x:v>
      </x:c>
      <x:c r="C741" s="32" t="str">
        <x:v>P18</x:v>
      </x:c>
      <x:c r="D741" s="32" t="str">
        <x:v>B3-W2-V2</x:v>
      </x:c>
      <x:c r="E741" s="32" t="str">
        <x:v>B3</x:v>
      </x:c>
      <x:c r="F741" s="32" t="str">
        <x:v>W2</x:v>
      </x:c>
      <x:c r="G741" s="32" t="str">
        <x:v>V2</x:v>
      </x:c>
      <x:c r="H741" s="32" t="str">
        <x:v>tension_soil</x:v>
      </x:c>
      <x:c r="I741" s="32" t="str">
        <x:v>862323089930718</x:v>
      </x:c>
      <x:c r="J741" s="82"/>
      <x:c r="K741" s="82" t="n">
        <x:v>-37.8</x:v>
      </x:c>
      <x:c r="L741" s="82" t="n">
        <x:v>36.8</x:v>
      </x:c>
      <x:c r="M741" s="82" t="n">
        <x:v>25.3</x:v>
      </x:c>
      <x:c r="N741" s="86" t="n">
        <x:v>1010</x:v>
      </x:c>
      <x:c r="O741" s="90" t="n">
        <x:v>6.46</x:v>
      </x:c>
      <x:c r="P741" s="150" t="n">
        <x:v>3.92</x:v>
      </x:c>
      <x:c r="Q741" s="86" t="n">
        <x:v>19</x:v>
      </x:c>
      <x:c r="R741" s="32"/>
      <x:c r="S741" s="32" t="str">
        <x:v>ok</x:v>
      </x:c>
      <x:c r="T741" s="32" t="str">
        <x:v>ok</x:v>
      </x:c>
      <x:c r="U741" s="32" t="str">
        <x:v>ok</x:v>
      </x:c>
      <x:c r="V741" s="32" t="str">
        <x:v>ok</x:v>
      </x:c>
      <x:c r="W741" s="154" t="str">
        <x:v>{"schema_version":1,"imei":"862323089930718","timestamp":1786023953,"report_sequence":31,"task_version":"rice_tension_soil_demo","sensor_mode":"tension_soil","soil_moisture_percent":36.8,"soil_temperature_c":25.3,"soil_ec_us_cm":1010,"soil_ph":6.46,"battery_mv":3920,"csq":19,"soil_rs485_status":"ok","cycle_status":"ok","soil_tension_kpa":-37.8,"soil_tension_rs485_status":"ok"}</x:v>
      </x:c>
    </x:row>
    <x:row r="742">
      <x:c r="A742" s="72" t="n">
        <x:v>46240.906863425924</x:v>
      </x:c>
      <x:c r="B742" s="72" t="n">
        <x:v>46240.90687731482</x:v>
      </x:c>
      <x:c r="C742" s="32" t="str">
        <x:v>P19</x:v>
      </x:c>
      <x:c r="D742" s="32" t="str">
        <x:v>B4-W0-V1</x:v>
      </x:c>
      <x:c r="E742" s="32" t="str">
        <x:v>B4</x:v>
      </x:c>
      <x:c r="F742" s="32" t="str">
        <x:v>W0</x:v>
      </x:c>
      <x:c r="G742" s="32" t="str">
        <x:v>V1</x:v>
      </x:c>
      <x:c r="H742" s="32" t="str">
        <x:v>water_soil</x:v>
      </x:c>
      <x:c r="I742" s="32" t="str">
        <x:v>862323089930719</x:v>
      </x:c>
      <x:c r="J742" s="82" t="n">
        <x:v>37.9</x:v>
      </x:c>
      <x:c r="K742" s="82"/>
      <x:c r="L742" s="82" t="n">
        <x:v>37.3</x:v>
      </x:c>
      <x:c r="M742" s="82" t="n">
        <x:v>25.2</x:v>
      </x:c>
      <x:c r="N742" s="86" t="n">
        <x:v>1014</x:v>
      </x:c>
      <x:c r="O742" s="90" t="n">
        <x:v>6.51</x:v>
      </x:c>
      <x:c r="P742" s="150" t="n">
        <x:v>3.938</x:v>
      </x:c>
      <x:c r="Q742" s="86" t="n">
        <x:v>20</x:v>
      </x:c>
      <x:c r="R742" s="32" t="str">
        <x:v>ok</x:v>
      </x:c>
      <x:c r="S742" s="32"/>
      <x:c r="T742" s="32" t="str">
        <x:v>ok</x:v>
      </x:c>
      <x:c r="U742" s="32" t="str">
        <x:v>ok</x:v>
      </x:c>
      <x:c r="V742" s="32" t="str">
        <x:v>ok</x:v>
      </x:c>
      <x:c r="W742" s="154" t="str">
        <x:v>{"schema_version":1,"imei":"862323089930719","timestamp":1786023953,"report_sequence":31,"task_version":"rice_w0_water_soil_demo","sensor_mode":"water_soil","soil_moisture_percent":37.3,"soil_temperature_c":25.2,"soil_ec_us_cm":1014,"soil_ph":6.51,"battery_mv":3938,"csq":20,"soil_rs485_status":"ok","cycle_status":"ok","water_level_mm":37.9,"water_4_20ma_status":"ok"}</x:v>
      </x:c>
    </x:row>
    <x:row r="743">
      <x:c r="A743" s="72" t="n">
        <x:v>46240.906863425924</x:v>
      </x:c>
      <x:c r="B743" s="72" t="n">
        <x:v>46240.90687731482</x:v>
      </x:c>
      <x:c r="C743" s="32" t="str">
        <x:v>P20</x:v>
      </x:c>
      <x:c r="D743" s="32" t="str">
        <x:v>B4-W0-V2</x:v>
      </x:c>
      <x:c r="E743" s="32" t="str">
        <x:v>B4</x:v>
      </x:c>
      <x:c r="F743" s="32" t="str">
        <x:v>W0</x:v>
      </x:c>
      <x:c r="G743" s="32" t="str">
        <x:v>V2</x:v>
      </x:c>
      <x:c r="H743" s="32" t="str">
        <x:v>water_soil</x:v>
      </x:c>
      <x:c r="I743" s="32" t="str">
        <x:v>862323089930720</x:v>
      </x:c>
      <x:c r="J743" s="82" t="n">
        <x:v>27.6</x:v>
      </x:c>
      <x:c r="K743" s="82"/>
      <x:c r="L743" s="82" t="n">
        <x:v>37.8</x:v>
      </x:c>
      <x:c r="M743" s="82" t="n">
        <x:v>25.1</x:v>
      </x:c>
      <x:c r="N743" s="86" t="n">
        <x:v>1017</x:v>
      </x:c>
      <x:c r="O743" s="90" t="n">
        <x:v>6.3</x:v>
      </x:c>
      <x:c r="P743" s="150" t="n">
        <x:v>3.956</x:v>
      </x:c>
      <x:c r="Q743" s="86" t="n">
        <x:v>21</x:v>
      </x:c>
      <x:c r="R743" s="32" t="str">
        <x:v>ok</x:v>
      </x:c>
      <x:c r="S743" s="32"/>
      <x:c r="T743" s="32" t="str">
        <x:v>ok</x:v>
      </x:c>
      <x:c r="U743" s="32" t="str">
        <x:v>ok</x:v>
      </x:c>
      <x:c r="V743" s="32" t="str">
        <x:v>ok</x:v>
      </x:c>
      <x:c r="W743" s="154" t="str">
        <x:v>{"schema_version":1,"imei":"862323089930720","timestamp":1786023953,"report_sequence":31,"task_version":"rice_w0_water_soil_demo","sensor_mode":"water_soil","soil_moisture_percent":37.8,"soil_temperature_c":25.1,"soil_ec_us_cm":1017,"soil_ph":6.3,"battery_mv":3956,"csq":21,"soil_rs485_status":"ok","cycle_status":"ok","water_level_mm":27.6,"water_4_20ma_status":"ok"}</x:v>
      </x:c>
    </x:row>
    <x:row r="744">
      <x:c r="A744" s="72" t="n">
        <x:v>46240.906863425924</x:v>
      </x:c>
      <x:c r="B744" s="72" t="n">
        <x:v>46240.90687731482</x:v>
      </x:c>
      <x:c r="C744" s="32" t="str">
        <x:v>P21</x:v>
      </x:c>
      <x:c r="D744" s="32" t="str">
        <x:v>B4-W1-V1</x:v>
      </x:c>
      <x:c r="E744" s="32" t="str">
        <x:v>B4</x:v>
      </x:c>
      <x:c r="F744" s="32" t="str">
        <x:v>W1</x:v>
      </x:c>
      <x:c r="G744" s="32" t="str">
        <x:v>V1</x:v>
      </x:c>
      <x:c r="H744" s="32" t="str">
        <x:v>tension_soil</x:v>
      </x:c>
      <x:c r="I744" s="32" t="str">
        <x:v>862323089930721</x:v>
      </x:c>
      <x:c r="J744" s="82"/>
      <x:c r="K744" s="82" t="n">
        <x:v>-23.4</x:v>
      </x:c>
      <x:c r="L744" s="82" t="n">
        <x:v>38.4</x:v>
      </x:c>
      <x:c r="M744" s="82" t="n">
        <x:v>24.9</x:v>
      </x:c>
      <x:c r="N744" s="86" t="n">
        <x:v>1021</x:v>
      </x:c>
      <x:c r="O744" s="90" t="n">
        <x:v>6.34</x:v>
      </x:c>
      <x:c r="P744" s="150" t="n">
        <x:v>3.974</x:v>
      </x:c>
      <x:c r="Q744" s="86" t="n">
        <x:v>22</x:v>
      </x:c>
      <x:c r="R744" s="32"/>
      <x:c r="S744" s="32" t="str">
        <x:v>ok</x:v>
      </x:c>
      <x:c r="T744" s="32" t="str">
        <x:v>ok</x:v>
      </x:c>
      <x:c r="U744" s="32" t="str">
        <x:v>ok</x:v>
      </x:c>
      <x:c r="V744" s="32" t="str">
        <x:v>ok</x:v>
      </x:c>
      <x:c r="W744" s="154" t="str">
        <x:v>{"schema_version":1,"imei":"862323089930721","timestamp":1786023953,"report_sequence":31,"task_version":"rice_tension_soil_demo","sensor_mode":"tension_soil","soil_moisture_percent":38.4,"soil_temperature_c":24.9,"soil_ec_us_cm":1021,"soil_ph":6.34,"battery_mv":3974,"csq":22,"soil_rs485_status":"ok","cycle_status":"ok","soil_tension_kpa":-23.4,"soil_tension_rs485_status":"ok"}</x:v>
      </x:c>
    </x:row>
    <x:row r="745">
      <x:c r="A745" s="72" t="n">
        <x:v>46240.906863425924</x:v>
      </x:c>
      <x:c r="B745" s="72" t="n">
        <x:v>46240.90687731482</x:v>
      </x:c>
      <x:c r="C745" s="32" t="str">
        <x:v>P22</x:v>
      </x:c>
      <x:c r="D745" s="32" t="str">
        <x:v>B4-W1-V2</x:v>
      </x:c>
      <x:c r="E745" s="32" t="str">
        <x:v>B4</x:v>
      </x:c>
      <x:c r="F745" s="32" t="str">
        <x:v>W1</x:v>
      </x:c>
      <x:c r="G745" s="32" t="str">
        <x:v>V2</x:v>
      </x:c>
      <x:c r="H745" s="32" t="str">
        <x:v>tension_soil</x:v>
      </x:c>
      <x:c r="I745" s="32" t="str">
        <x:v>862323089930722</x:v>
      </x:c>
      <x:c r="J745" s="82"/>
      <x:c r="K745" s="82" t="n">
        <x:v>-23.9</x:v>
      </x:c>
      <x:c r="L745" s="82" t="n">
        <x:v>38.9</x:v>
      </x:c>
      <x:c r="M745" s="82" t="n">
        <x:v>24.8</x:v>
      </x:c>
      <x:c r="N745" s="86" t="n">
        <x:v>1025</x:v>
      </x:c>
      <x:c r="O745" s="90" t="n">
        <x:v>6.38</x:v>
      </x:c>
      <x:c r="P745" s="150" t="n">
        <x:v>3.992</x:v>
      </x:c>
      <x:c r="Q745" s="86" t="n">
        <x:v>23</x:v>
      </x:c>
      <x:c r="R745" s="32"/>
      <x:c r="S745" s="32" t="str">
        <x:v>ok</x:v>
      </x:c>
      <x:c r="T745" s="32" t="str">
        <x:v>ok</x:v>
      </x:c>
      <x:c r="U745" s="32" t="str">
        <x:v>ok</x:v>
      </x:c>
      <x:c r="V745" s="32" t="str">
        <x:v>ok</x:v>
      </x:c>
      <x:c r="W745" s="154" t="str">
        <x:v>{"schema_version":1,"imei":"862323089930722","timestamp":1786023953,"report_sequence":31,"task_version":"rice_tension_soil_demo","sensor_mode":"tension_soil","soil_moisture_percent":38.9,"soil_temperature_c":24.8,"soil_ec_us_cm":1025,"soil_ph":6.38,"battery_mv":3992,"csq":23,"soil_rs485_status":"ok","cycle_status":"ok","soil_tension_kpa":-23.9,"soil_tension_rs485_status":"ok"}</x:v>
      </x:c>
    </x:row>
    <x:row r="746">
      <x:c r="A746" s="72" t="n">
        <x:v>46240.906863425924</x:v>
      </x:c>
      <x:c r="B746" s="72" t="n">
        <x:v>46240.90687731482</x:v>
      </x:c>
      <x:c r="C746" s="32" t="str">
        <x:v>P23</x:v>
      </x:c>
      <x:c r="D746" s="32" t="str">
        <x:v>B4-W2-V1</x:v>
      </x:c>
      <x:c r="E746" s="32" t="str">
        <x:v>B4</x:v>
      </x:c>
      <x:c r="F746" s="32" t="str">
        <x:v>W2</x:v>
      </x:c>
      <x:c r="G746" s="32" t="str">
        <x:v>V1</x:v>
      </x:c>
      <x:c r="H746" s="32" t="str">
        <x:v>tension_soil</x:v>
      </x:c>
      <x:c r="I746" s="32" t="str">
        <x:v>862323089930723</x:v>
      </x:c>
      <x:c r="J746" s="82"/>
      <x:c r="K746" s="82" t="n">
        <x:v>-35.5</x:v>
      </x:c>
      <x:c r="L746" s="82" t="n">
        <x:v>39.5</x:v>
      </x:c>
      <x:c r="M746" s="82" t="n">
        <x:v>24.7</x:v>
      </x:c>
      <x:c r="N746" s="86" t="n">
        <x:v>1030</x:v>
      </x:c>
      <x:c r="O746" s="90" t="n">
        <x:v>6.43</x:v>
      </x:c>
      <x:c r="P746" s="150" t="n">
        <x:v>4.01</x:v>
      </x:c>
      <x:c r="Q746" s="86" t="n">
        <x:v>24</x:v>
      </x:c>
      <x:c r="R746" s="32"/>
      <x:c r="S746" s="32" t="str">
        <x:v>ok</x:v>
      </x:c>
      <x:c r="T746" s="32" t="str">
        <x:v>ok</x:v>
      </x:c>
      <x:c r="U746" s="32" t="str">
        <x:v>ok</x:v>
      </x:c>
      <x:c r="V746" s="32" t="str">
        <x:v>ok</x:v>
      </x:c>
      <x:c r="W746" s="154" t="str">
        <x:v>{"schema_version":1,"imei":"862323089930723","timestamp":1786023953,"report_sequence":31,"task_version":"rice_tension_soil_demo","sensor_mode":"tension_soil","soil_moisture_percent":39.5,"soil_temperature_c":24.7,"soil_ec_us_cm":1030,"soil_ph":6.43,"battery_mv":4010,"csq":24,"soil_rs485_status":"ok","cycle_status":"ok","soil_tension_kpa":-35.5,"soil_tension_rs485_status":"ok"}</x:v>
      </x:c>
    </x:row>
    <x:row r="747">
      <x:c r="A747" s="72" t="n">
        <x:v>46240.906863425924</x:v>
      </x:c>
      <x:c r="B747" s="72" t="n">
        <x:v>46240.90687731482</x:v>
      </x:c>
      <x:c r="C747" s="32" t="str">
        <x:v>P24</x:v>
      </x:c>
      <x:c r="D747" s="32" t="str">
        <x:v>B4-W2-V2</x:v>
      </x:c>
      <x:c r="E747" s="32" t="str">
        <x:v>B4</x:v>
      </x:c>
      <x:c r="F747" s="32" t="str">
        <x:v>W2</x:v>
      </x:c>
      <x:c r="G747" s="32" t="str">
        <x:v>V2</x:v>
      </x:c>
      <x:c r="H747" s="32" t="str">
        <x:v>tension_soil</x:v>
      </x:c>
      <x:c r="I747" s="32" t="str">
        <x:v>862323089930724</x:v>
      </x:c>
      <x:c r="J747" s="82"/>
      <x:c r="K747" s="82" t="n">
        <x:v>-36.2</x:v>
      </x:c>
      <x:c r="L747" s="82" t="n">
        <x:v>32.2</x:v>
      </x:c>
      <x:c r="M747" s="82" t="n">
        <x:v>24.7</x:v>
      </x:c>
      <x:c r="N747" s="86" t="n">
        <x:v>1037</x:v>
      </x:c>
      <x:c r="O747" s="90" t="n">
        <x:v>6.47</x:v>
      </x:c>
      <x:c r="P747" s="150" t="n">
        <x:v>3.92</x:v>
      </x:c>
      <x:c r="Q747" s="86" t="n">
        <x:v>17</x:v>
      </x:c>
      <x:c r="R747" s="32"/>
      <x:c r="S747" s="32" t="str">
        <x:v>ok</x:v>
      </x:c>
      <x:c r="T747" s="32" t="str">
        <x:v>ok</x:v>
      </x:c>
      <x:c r="U747" s="32" t="str">
        <x:v>ok</x:v>
      </x:c>
      <x:c r="V747" s="32" t="str">
        <x:v>ok</x:v>
      </x:c>
      <x:c r="W747" s="154" t="str">
        <x:v>{"schema_version":1,"imei":"862323089930724","timestamp":1786023953,"report_sequence":31,"task_version":"rice_tension_soil_demo","sensor_mode":"tension_soil","soil_moisture_percent":32.2,"soil_temperature_c":24.7,"soil_ec_us_cm":1037,"soil_ph":6.47,"battery_mv":3920,"csq":17,"soil_rs485_status":"ok","cycle_status":"ok","soil_tension_kpa":-36.2,"soil_tension_rs485_status":"ok"}</x:v>
      </x:c>
    </x:row>
    <x:row r="748">
      <x:c r="A748" s="72" t="n">
        <x:v>46240.91033564815</x:v>
      </x:c>
      <x:c r="B748" s="72" t="n">
        <x:v>46240.91034953704</x:v>
      </x:c>
      <x:c r="C748" s="32" t="str">
        <x:v>P01</x:v>
      </x:c>
      <x:c r="D748" s="32" t="str">
        <x:v>B1-W0-V1</x:v>
      </x:c>
      <x:c r="E748" s="32" t="str">
        <x:v>B1</x:v>
      </x:c>
      <x:c r="F748" s="32" t="str">
        <x:v>W0</x:v>
      </x:c>
      <x:c r="G748" s="32" t="str">
        <x:v>V1</x:v>
      </x:c>
      <x:c r="H748" s="32" t="str">
        <x:v>water_soil</x:v>
      </x:c>
      <x:c r="I748" s="32" t="str">
        <x:v>862323089930701</x:v>
      </x:c>
      <x:c r="J748" s="82" t="n">
        <x:v>26.1</x:v>
      </x:c>
      <x:c r="K748" s="82"/>
      <x:c r="L748" s="82" t="n">
        <x:v>33</x:v>
      </x:c>
      <x:c r="M748" s="82" t="n">
        <x:v>24.6</x:v>
      </x:c>
      <x:c r="N748" s="86" t="n">
        <x:v>758</x:v>
      </x:c>
      <x:c r="O748" s="90" t="n">
        <x:v>6.32</x:v>
      </x:c>
      <x:c r="P748" s="150" t="n">
        <x:v>3.938</x:v>
      </x:c>
      <x:c r="Q748" s="86" t="n">
        <x:v>18</x:v>
      </x:c>
      <x:c r="R748" s="32" t="str">
        <x:v>ok</x:v>
      </x:c>
      <x:c r="S748" s="32"/>
      <x:c r="T748" s="32" t="str">
        <x:v>ok</x:v>
      </x:c>
      <x:c r="U748" s="32" t="str">
        <x:v>ok</x:v>
      </x:c>
      <x:c r="V748" s="32" t="str">
        <x:v>ok</x:v>
      </x:c>
      <x:c r="W748" s="154" t="str">
        <x:v>{"schema_version":1,"imei":"862323089930701","timestamp":1786024253,"report_sequence":32,"task_version":"rice_w0_water_soil_demo","sensor_mode":"water_soil","soil_moisture_percent":33,"soil_temperature_c":24.6,"soil_ec_us_cm":758,"soil_ph":6.32,"battery_mv":3938,"csq":18,"soil_rs485_status":"ok","cycle_status":"ok","water_level_mm":26.1,"water_4_20ma_status":"ok"}</x:v>
      </x:c>
    </x:row>
    <x:row r="749">
      <x:c r="A749" s="72" t="n">
        <x:v>46240.91033564815</x:v>
      </x:c>
      <x:c r="B749" s="72" t="n">
        <x:v>46240.91034953704</x:v>
      </x:c>
      <x:c r="C749" s="32" t="str">
        <x:v>P02</x:v>
      </x:c>
      <x:c r="D749" s="32" t="str">
        <x:v>B1-W0-V2</x:v>
      </x:c>
      <x:c r="E749" s="32" t="str">
        <x:v>B1</x:v>
      </x:c>
      <x:c r="F749" s="32" t="str">
        <x:v>W0</x:v>
      </x:c>
      <x:c r="G749" s="32" t="str">
        <x:v>V2</x:v>
      </x:c>
      <x:c r="H749" s="32" t="str">
        <x:v>water_soil</x:v>
      </x:c>
      <x:c r="I749" s="32" t="str">
        <x:v>862323089930702</x:v>
      </x:c>
      <x:c r="J749" s="82" t="n">
        <x:v>29</x:v>
      </x:c>
      <x:c r="K749" s="82"/>
      <x:c r="L749" s="82" t="n">
        <x:v>34</x:v>
      </x:c>
      <x:c r="M749" s="82" t="n">
        <x:v>24.6</x:v>
      </x:c>
      <x:c r="N749" s="86" t="n">
        <x:v>769</x:v>
      </x:c>
      <x:c r="O749" s="90" t="n">
        <x:v>6.37</x:v>
      </x:c>
      <x:c r="P749" s="150" t="n">
        <x:v>3.956</x:v>
      </x:c>
      <x:c r="Q749" s="86" t="n">
        <x:v>19</x:v>
      </x:c>
      <x:c r="R749" s="32" t="str">
        <x:v>ok</x:v>
      </x:c>
      <x:c r="S749" s="32"/>
      <x:c r="T749" s="32" t="str">
        <x:v>ok</x:v>
      </x:c>
      <x:c r="U749" s="32" t="str">
        <x:v>ok</x:v>
      </x:c>
      <x:c r="V749" s="32" t="str">
        <x:v>ok</x:v>
      </x:c>
      <x:c r="W749" s="154" t="str">
        <x:v>{"schema_version":1,"imei":"862323089930702","timestamp":1786024253,"report_sequence":32,"task_version":"rice_w0_water_soil_demo","sensor_mode":"water_soil","soil_moisture_percent":34,"soil_temperature_c":24.6,"soil_ec_us_cm":769,"soil_ph":6.37,"battery_mv":3956,"csq":19,"soil_rs485_status":"ok","cycle_status":"ok","water_level_mm":29,"water_4_20ma_status":"ok"}</x:v>
      </x:c>
    </x:row>
    <x:row r="750">
      <x:c r="A750" s="72" t="n">
        <x:v>46240.91033564815</x:v>
      </x:c>
      <x:c r="B750" s="72" t="n">
        <x:v>46240.91034953704</x:v>
      </x:c>
      <x:c r="C750" s="32" t="str">
        <x:v>P03</x:v>
      </x:c>
      <x:c r="D750" s="32" t="str">
        <x:v>B1-W1-V1</x:v>
      </x:c>
      <x:c r="E750" s="32" t="str">
        <x:v>B1</x:v>
      </x:c>
      <x:c r="F750" s="32" t="str">
        <x:v>W1</x:v>
      </x:c>
      <x:c r="G750" s="32" t="str">
        <x:v>V1</x:v>
      </x:c>
      <x:c r="H750" s="32" t="str">
        <x:v>tension_soil</x:v>
      </x:c>
      <x:c r="I750" s="32" t="str">
        <x:v>862323089930703</x:v>
      </x:c>
      <x:c r="J750" s="82"/>
      <x:c r="K750" s="82" t="n">
        <x:v>-24.1</x:v>
      </x:c>
      <x:c r="L750" s="82" t="n">
        <x:v>35.1</x:v>
      </x:c>
      <x:c r="M750" s="82" t="n">
        <x:v>24.6</x:v>
      </x:c>
      <x:c r="N750" s="86" t="n">
        <x:v>782</x:v>
      </x:c>
      <x:c r="O750" s="90" t="n">
        <x:v>6.42</x:v>
      </x:c>
      <x:c r="P750" s="150" t="n">
        <x:v>3.974</x:v>
      </x:c>
      <x:c r="Q750" s="86" t="n">
        <x:v>20</x:v>
      </x:c>
      <x:c r="R750" s="32"/>
      <x:c r="S750" s="32" t="str">
        <x:v>ok</x:v>
      </x:c>
      <x:c r="T750" s="32" t="str">
        <x:v>ok</x:v>
      </x:c>
      <x:c r="U750" s="32" t="str">
        <x:v>ok</x:v>
      </x:c>
      <x:c r="V750" s="32" t="str">
        <x:v>ok</x:v>
      </x:c>
      <x:c r="W750" s="154" t="str">
        <x:v>{"schema_version":1,"imei":"862323089930703","timestamp":1786024253,"report_sequence":32,"task_version":"rice_tension_soil_demo","sensor_mode":"tension_soil","soil_moisture_percent":35.1,"soil_temperature_c":24.6,"soil_ec_us_cm":782,"soil_ph":6.42,"battery_mv":3974,"csq":20,"soil_rs485_status":"ok","cycle_status":"ok","soil_tension_kpa":-24.1,"soil_tension_rs485_status":"ok"}</x:v>
      </x:c>
    </x:row>
    <x:row r="751">
      <x:c r="A751" s="72" t="n">
        <x:v>46240.91033564815</x:v>
      </x:c>
      <x:c r="B751" s="72" t="n">
        <x:v>46240.91034953704</x:v>
      </x:c>
      <x:c r="C751" s="32" t="str">
        <x:v>P04</x:v>
      </x:c>
      <x:c r="D751" s="32" t="str">
        <x:v>B1-W1-V2</x:v>
      </x:c>
      <x:c r="E751" s="32" t="str">
        <x:v>B1</x:v>
      </x:c>
      <x:c r="F751" s="32" t="str">
        <x:v>W1</x:v>
      </x:c>
      <x:c r="G751" s="32" t="str">
        <x:v>V2</x:v>
      </x:c>
      <x:c r="H751" s="32" t="str">
        <x:v>tension_soil</x:v>
      </x:c>
      <x:c r="I751" s="32" t="str">
        <x:v>862323089930704</x:v>
      </x:c>
      <x:c r="J751" s="82"/>
      <x:c r="K751" s="82" t="n">
        <x:v>-25.3</x:v>
      </x:c>
      <x:c r="L751" s="82" t="n">
        <x:v>36.3</x:v>
      </x:c>
      <x:c r="M751" s="82" t="n">
        <x:v>24.7</x:v>
      </x:c>
      <x:c r="N751" s="86" t="n">
        <x:v>798</x:v>
      </x:c>
      <x:c r="O751" s="90" t="n">
        <x:v>6.47</x:v>
      </x:c>
      <x:c r="P751" s="150" t="n">
        <x:v>3.992</x:v>
      </x:c>
      <x:c r="Q751" s="86" t="n">
        <x:v>21</x:v>
      </x:c>
      <x:c r="R751" s="32"/>
      <x:c r="S751" s="32" t="str">
        <x:v>ok</x:v>
      </x:c>
      <x:c r="T751" s="32" t="str">
        <x:v>ok</x:v>
      </x:c>
      <x:c r="U751" s="32" t="str">
        <x:v>ok</x:v>
      </x:c>
      <x:c r="V751" s="32" t="str">
        <x:v>ok</x:v>
      </x:c>
      <x:c r="W751" s="154" t="str">
        <x:v>{"schema_version":1,"imei":"862323089930704","timestamp":1786024253,"report_sequence":32,"task_version":"rice_tension_soil_demo","sensor_mode":"tension_soil","soil_moisture_percent":36.3,"soil_temperature_c":24.7,"soil_ec_us_cm":798,"soil_ph":6.47,"battery_mv":3992,"csq":21,"soil_rs485_status":"ok","cycle_status":"ok","soil_tension_kpa":-25.3,"soil_tension_rs485_status":"ok"}</x:v>
      </x:c>
    </x:row>
    <x:row r="752">
      <x:c r="A752" s="72" t="n">
        <x:v>46240.91033564815</x:v>
      </x:c>
      <x:c r="B752" s="72" t="n">
        <x:v>46240.91034953704</x:v>
      </x:c>
      <x:c r="C752" s="32" t="str">
        <x:v>P05</x:v>
      </x:c>
      <x:c r="D752" s="32" t="str">
        <x:v>B1-W2-V1</x:v>
      </x:c>
      <x:c r="E752" s="32" t="str">
        <x:v>B1</x:v>
      </x:c>
      <x:c r="F752" s="32" t="str">
        <x:v>W2</x:v>
      </x:c>
      <x:c r="G752" s="32" t="str">
        <x:v>V1</x:v>
      </x:c>
      <x:c r="H752" s="32" t="str">
        <x:v>tension_soil</x:v>
      </x:c>
      <x:c r="I752" s="32" t="str">
        <x:v>862323089930705</x:v>
      </x:c>
      <x:c r="J752" s="82"/>
      <x:c r="K752" s="82" t="n">
        <x:v>-32.6</x:v>
      </x:c>
      <x:c r="L752" s="82" t="n">
        <x:v>37.6</x:v>
      </x:c>
      <x:c r="M752" s="82" t="n">
        <x:v>24.7</x:v>
      </x:c>
      <x:c r="N752" s="86" t="n">
        <x:v>815</x:v>
      </x:c>
      <x:c r="O752" s="90" t="n">
        <x:v>6.28</x:v>
      </x:c>
      <x:c r="P752" s="150" t="n">
        <x:v>4.01</x:v>
      </x:c>
      <x:c r="Q752" s="86" t="n">
        <x:v>22</x:v>
      </x:c>
      <x:c r="R752" s="32"/>
      <x:c r="S752" s="32" t="str">
        <x:v>ok</x:v>
      </x:c>
      <x:c r="T752" s="32" t="str">
        <x:v>ok</x:v>
      </x:c>
      <x:c r="U752" s="32" t="str">
        <x:v>ok</x:v>
      </x:c>
      <x:c r="V752" s="32" t="str">
        <x:v>ok</x:v>
      </x:c>
      <x:c r="W752" s="154" t="str">
        <x:v>{"schema_version":1,"imei":"862323089930705","timestamp":1786024253,"report_sequence":32,"task_version":"rice_tension_soil_demo","sensor_mode":"tension_soil","soil_moisture_percent":37.6,"soil_temperature_c":24.7,"soil_ec_us_cm":815,"soil_ph":6.28,"battery_mv":4010,"csq":22,"soil_rs485_status":"ok","cycle_status":"ok","soil_tension_kpa":-32.6,"soil_tension_rs485_status":"ok"}</x:v>
      </x:c>
    </x:row>
    <x:row r="753">
      <x:c r="A753" s="72" t="n">
        <x:v>46240.91033564815</x:v>
      </x:c>
      <x:c r="B753" s="72" t="n">
        <x:v>46240.91034953704</x:v>
      </x:c>
      <x:c r="C753" s="32" t="str">
        <x:v>P06</x:v>
      </x:c>
      <x:c r="D753" s="32" t="str">
        <x:v>B1-W2-V2</x:v>
      </x:c>
      <x:c r="E753" s="32" t="str">
        <x:v>B1</x:v>
      </x:c>
      <x:c r="F753" s="32" t="str">
        <x:v>W2</x:v>
      </x:c>
      <x:c r="G753" s="32" t="str">
        <x:v>V2</x:v>
      </x:c>
      <x:c r="H753" s="32" t="str">
        <x:v>tension_soil</x:v>
      </x:c>
      <x:c r="I753" s="32" t="str">
        <x:v>862323089930706</x:v>
      </x:c>
      <x:c r="J753" s="82"/>
      <x:c r="K753" s="82" t="n">
        <x:v>-34</x:v>
      </x:c>
      <x:c r="L753" s="82" t="n">
        <x:v>39</x:v>
      </x:c>
      <x:c r="M753" s="82" t="n">
        <x:v>24.8</x:v>
      </x:c>
      <x:c r="N753" s="86" t="n">
        <x:v>834</x:v>
      </x:c>
      <x:c r="O753" s="90" t="n">
        <x:v>6.33</x:v>
      </x:c>
      <x:c r="P753" s="150" t="n">
        <x:v>3.92</x:v>
      </x:c>
      <x:c r="Q753" s="86" t="n">
        <x:v>23</x:v>
      </x:c>
      <x:c r="R753" s="32"/>
      <x:c r="S753" s="32" t="str">
        <x:v>ok</x:v>
      </x:c>
      <x:c r="T753" s="32" t="str">
        <x:v>ok</x:v>
      </x:c>
      <x:c r="U753" s="32" t="str">
        <x:v>ok</x:v>
      </x:c>
      <x:c r="V753" s="32" t="str">
        <x:v>ok</x:v>
      </x:c>
      <x:c r="W753" s="154" t="str">
        <x:v>{"schema_version":1,"imei":"862323089930706","timestamp":1786024253,"report_sequence":32,"task_version":"rice_tension_soil_demo","sensor_mode":"tension_soil","soil_moisture_percent":39,"soil_temperature_c":24.8,"soil_ec_us_cm":834,"soil_ph":6.33,"battery_mv":3920,"csq":23,"soil_rs485_status":"ok","cycle_status":"ok","soil_tension_kpa":-34,"soil_tension_rs485_status":"ok"}</x:v>
      </x:c>
    </x:row>
    <x:row r="754">
      <x:c r="A754" s="72" t="n">
        <x:v>46240.91033564815</x:v>
      </x:c>
      <x:c r="B754" s="72" t="n">
        <x:v>46240.91034953704</x:v>
      </x:c>
      <x:c r="C754" s="32" t="str">
        <x:v>P07</x:v>
      </x:c>
      <x:c r="D754" s="32" t="str">
        <x:v>B2-W0-V1</x:v>
      </x:c>
      <x:c r="E754" s="32" t="str">
        <x:v>B2</x:v>
      </x:c>
      <x:c r="F754" s="32" t="str">
        <x:v>W0</x:v>
      </x:c>
      <x:c r="G754" s="32" t="str">
        <x:v>V1</x:v>
      </x:c>
      <x:c r="H754" s="32" t="str">
        <x:v>water_soil</x:v>
      </x:c>
      <x:c r="I754" s="32" t="str">
        <x:v>862323089930707</x:v>
      </x:c>
      <x:c r="J754" s="82" t="n">
        <x:v>35.6</x:v>
      </x:c>
      <x:c r="K754" s="82"/>
      <x:c r="L754" s="82" t="n">
        <x:v>40.4</x:v>
      </x:c>
      <x:c r="M754" s="82" t="n">
        <x:v>25</x:v>
      </x:c>
      <x:c r="N754" s="86" t="n">
        <x:v>854</x:v>
      </x:c>
      <x:c r="O754" s="90" t="n">
        <x:v>6.39</x:v>
      </x:c>
      <x:c r="P754" s="150" t="n">
        <x:v>3.938</x:v>
      </x:c>
      <x:c r="Q754" s="86" t="n">
        <x:v>24</x:v>
      </x:c>
      <x:c r="R754" s="32" t="str">
        <x:v>ok</x:v>
      </x:c>
      <x:c r="S754" s="32"/>
      <x:c r="T754" s="32" t="str">
        <x:v>ok</x:v>
      </x:c>
      <x:c r="U754" s="32" t="str">
        <x:v>ok</x:v>
      </x:c>
      <x:c r="V754" s="32" t="str">
        <x:v>ok</x:v>
      </x:c>
      <x:c r="W754" s="154" t="str">
        <x:v>{"schema_version":1,"imei":"862323089930707","timestamp":1786024253,"report_sequence":32,"task_version":"rice_w0_water_soil_demo","sensor_mode":"water_soil","soil_moisture_percent":40.4,"soil_temperature_c":25,"soil_ec_us_cm":854,"soil_ph":6.39,"battery_mv":3938,"csq":24,"soil_rs485_status":"ok","cycle_status":"ok","water_level_mm":35.6,"water_4_20ma_status":"ok"}</x:v>
      </x:c>
    </x:row>
    <x:row r="755">
      <x:c r="A755" s="72" t="n">
        <x:v>46240.91033564815</x:v>
      </x:c>
      <x:c r="B755" s="72" t="n">
        <x:v>46240.91034953704</x:v>
      </x:c>
      <x:c r="C755" s="32" t="str">
        <x:v>P08</x:v>
      </x:c>
      <x:c r="D755" s="32" t="str">
        <x:v>B2-W0-V2</x:v>
      </x:c>
      <x:c r="E755" s="32" t="str">
        <x:v>B2</x:v>
      </x:c>
      <x:c r="F755" s="32" t="str">
        <x:v>W0</x:v>
      </x:c>
      <x:c r="G755" s="32" t="str">
        <x:v>V2</x:v>
      </x:c>
      <x:c r="H755" s="32" t="str">
        <x:v>water_soil</x:v>
      </x:c>
      <x:c r="I755" s="32" t="str">
        <x:v>862323089930708</x:v>
      </x:c>
      <x:c r="J755" s="82" t="n">
        <x:v>27.8</x:v>
      </x:c>
      <x:c r="K755" s="82"/>
      <x:c r="L755" s="82" t="n">
        <x:v>33.9</x:v>
      </x:c>
      <x:c r="M755" s="82" t="n">
        <x:v>25.1</x:v>
      </x:c>
      <x:c r="N755" s="86" t="n">
        <x:v>875</x:v>
      </x:c>
      <x:c r="O755" s="90" t="n">
        <x:v>6.45</x:v>
      </x:c>
      <x:c r="P755" s="150" t="n">
        <x:v>3.956</x:v>
      </x:c>
      <x:c r="Q755" s="86" t="n">
        <x:v>17</x:v>
      </x:c>
      <x:c r="R755" s="32" t="str">
        <x:v>ok</x:v>
      </x:c>
      <x:c r="S755" s="32"/>
      <x:c r="T755" s="32" t="str">
        <x:v>ok</x:v>
      </x:c>
      <x:c r="U755" s="32" t="str">
        <x:v>ok</x:v>
      </x:c>
      <x:c r="V755" s="32" t="str">
        <x:v>ok</x:v>
      </x:c>
      <x:c r="W755" s="154" t="str">
        <x:v>{"schema_version":1,"imei":"862323089930708","timestamp":1786024253,"report_sequence":32,"task_version":"rice_w0_water_soil_demo","sensor_mode":"water_soil","soil_moisture_percent":33.9,"soil_temperature_c":25.1,"soil_ec_us_cm":875,"soil_ph":6.45,"battery_mv":3956,"csq":17,"soil_rs485_status":"ok","cycle_status":"ok","water_level_mm":27.8,"water_4_20ma_status":"ok"}</x:v>
      </x:c>
    </x:row>
    <x:row r="756">
      <x:c r="A756" s="72" t="n">
        <x:v>46240.91033564815</x:v>
      </x:c>
      <x:c r="B756" s="72" t="n">
        <x:v>46240.91034953704</x:v>
      </x:c>
      <x:c r="C756" s="32" t="str">
        <x:v>P09</x:v>
      </x:c>
      <x:c r="D756" s="32" t="str">
        <x:v>B2-W1-V1</x:v>
      </x:c>
      <x:c r="E756" s="32" t="str">
        <x:v>B2</x:v>
      </x:c>
      <x:c r="F756" s="32" t="str">
        <x:v>W1</x:v>
      </x:c>
      <x:c r="G756" s="32" t="str">
        <x:v>V1</x:v>
      </x:c>
      <x:c r="H756" s="32" t="str">
        <x:v>tension_soil</x:v>
      </x:c>
      <x:c r="I756" s="32" t="str">
        <x:v>862323089930709</x:v>
      </x:c>
      <x:c r="J756" s="82"/>
      <x:c r="K756" s="82" t="n">
        <x:v>-27.4</x:v>
      </x:c>
      <x:c r="L756" s="82" t="n">
        <x:v>35.4</x:v>
      </x:c>
      <x:c r="M756" s="82" t="n">
        <x:v>25.2</x:v>
      </x:c>
      <x:c r="N756" s="86" t="n">
        <x:v>896</x:v>
      </x:c>
      <x:c r="O756" s="90" t="n">
        <x:v>6.51</x:v>
      </x:c>
      <x:c r="P756" s="150" t="n">
        <x:v>3.974</x:v>
      </x:c>
      <x:c r="Q756" s="86" t="n">
        <x:v>18</x:v>
      </x:c>
      <x:c r="R756" s="32"/>
      <x:c r="S756" s="32" t="str">
        <x:v>ok</x:v>
      </x:c>
      <x:c r="T756" s="32" t="str">
        <x:v>ok</x:v>
      </x:c>
      <x:c r="U756" s="32" t="str">
        <x:v>ok</x:v>
      </x:c>
      <x:c r="V756" s="32" t="str">
        <x:v>ok</x:v>
      </x:c>
      <x:c r="W756" s="154" t="str">
        <x:v>{"schema_version":1,"imei":"862323089930709","timestamp":1786024253,"report_sequence":32,"task_version":"rice_tension_soil_demo","sensor_mode":"tension_soil","soil_moisture_percent":35.4,"soil_temperature_c":25.2,"soil_ec_us_cm":896,"soil_ph":6.51,"battery_mv":3974,"csq":18,"soil_rs485_status":"ok","cycle_status":"ok","soil_tension_kpa":-27.4,"soil_tension_rs485_status":"ok"}</x:v>
      </x:c>
    </x:row>
    <x:row r="757">
      <x:c r="A757" s="72" t="n">
        <x:v>46240.91033564815</x:v>
      </x:c>
      <x:c r="B757" s="72" t="n">
        <x:v>46240.91034953704</x:v>
      </x:c>
      <x:c r="C757" s="32" t="str">
        <x:v>P10</x:v>
      </x:c>
      <x:c r="D757" s="32" t="str">
        <x:v>B2-W1-V2</x:v>
      </x:c>
      <x:c r="E757" s="32" t="str">
        <x:v>B2</x:v>
      </x:c>
      <x:c r="F757" s="32" t="str">
        <x:v>W1</x:v>
      </x:c>
      <x:c r="G757" s="32" t="str">
        <x:v>V2</x:v>
      </x:c>
      <x:c r="H757" s="32" t="str">
        <x:v>tension_soil</x:v>
      </x:c>
      <x:c r="I757" s="32" t="str">
        <x:v>862323089930710</x:v>
      </x:c>
      <x:c r="J757" s="82"/>
      <x:c r="K757" s="82" t="n">
        <x:v>-23.9</x:v>
      </x:c>
      <x:c r="L757" s="82" t="n">
        <x:v>36.9</x:v>
      </x:c>
      <x:c r="M757" s="82" t="n">
        <x:v>25.3</x:v>
      </x:c>
      <x:c r="N757" s="86" t="n">
        <x:v>916</x:v>
      </x:c>
      <x:c r="O757" s="90" t="n">
        <x:v>6.31</x:v>
      </x:c>
      <x:c r="P757" s="150" t="n">
        <x:v>3.992</x:v>
      </x:c>
      <x:c r="Q757" s="86" t="n">
        <x:v>19</x:v>
      </x:c>
      <x:c r="R757" s="32"/>
      <x:c r="S757" s="32" t="str">
        <x:v>ok</x:v>
      </x:c>
      <x:c r="T757" s="32" t="str">
        <x:v>ok</x:v>
      </x:c>
      <x:c r="U757" s="32" t="str">
        <x:v>ok</x:v>
      </x:c>
      <x:c r="V757" s="32" t="str">
        <x:v>ok</x:v>
      </x:c>
      <x:c r="W757" s="154" t="str">
        <x:v>{"schema_version":1,"imei":"862323089930710","timestamp":1786024253,"report_sequence":32,"task_version":"rice_tension_soil_demo","sensor_mode":"tension_soil","soil_moisture_percent":36.9,"soil_temperature_c":25.3,"soil_ec_us_cm":916,"soil_ph":6.31,"battery_mv":3992,"csq":19,"soil_rs485_status":"ok","cycle_status":"ok","soil_tension_kpa":-23.9,"soil_tension_rs485_status":"ok"}</x:v>
      </x:c>
    </x:row>
    <x:row r="758">
      <x:c r="A758" s="72" t="n">
        <x:v>46240.91033564815</x:v>
      </x:c>
      <x:c r="B758" s="72" t="n">
        <x:v>46240.91034953704</x:v>
      </x:c>
      <x:c r="C758" s="32" t="str">
        <x:v>P11</x:v>
      </x:c>
      <x:c r="D758" s="32" t="str">
        <x:v>B2-W2-V1</x:v>
      </x:c>
      <x:c r="E758" s="32" t="str">
        <x:v>B2</x:v>
      </x:c>
      <x:c r="F758" s="32" t="str">
        <x:v>W2</x:v>
      </x:c>
      <x:c r="G758" s="32" t="str">
        <x:v>V1</x:v>
      </x:c>
      <x:c r="H758" s="32" t="str">
        <x:v>tension_soil</x:v>
      </x:c>
      <x:c r="I758" s="32" t="str">
        <x:v>862323089930711</x:v>
      </x:c>
      <x:c r="J758" s="82"/>
      <x:c r="K758" s="82" t="n">
        <x:v>-36.3</x:v>
      </x:c>
      <x:c r="L758" s="82" t="n">
        <x:v>38.3</x:v>
      </x:c>
      <x:c r="M758" s="82" t="n">
        <x:v>25.4</x:v>
      </x:c>
      <x:c r="N758" s="86" t="n">
        <x:v>935</x:v>
      </x:c>
      <x:c r="O758" s="90" t="n">
        <x:v>6.37</x:v>
      </x:c>
      <x:c r="P758" s="150" t="n">
        <x:v>4.01</x:v>
      </x:c>
      <x:c r="Q758" s="86" t="n">
        <x:v>20</x:v>
      </x:c>
      <x:c r="R758" s="32"/>
      <x:c r="S758" s="32" t="str">
        <x:v>ok</x:v>
      </x:c>
      <x:c r="T758" s="32" t="str">
        <x:v>ok</x:v>
      </x:c>
      <x:c r="U758" s="32" t="str">
        <x:v>ok</x:v>
      </x:c>
      <x:c r="V758" s="32" t="str">
        <x:v>ok</x:v>
      </x:c>
      <x:c r="W758" s="154" t="str">
        <x:v>{"schema_version":1,"imei":"862323089930711","timestamp":1786024253,"report_sequence":32,"task_version":"rice_tension_soil_demo","sensor_mode":"tension_soil","soil_moisture_percent":38.3,"soil_temperature_c":25.4,"soil_ec_us_cm":935,"soil_ph":6.37,"battery_mv":4010,"csq":20,"soil_rs485_status":"ok","cycle_status":"ok","soil_tension_kpa":-36.3,"soil_tension_rs485_status":"ok"}</x:v>
      </x:c>
    </x:row>
    <x:row r="759">
      <x:c r="A759" s="72" t="n">
        <x:v>46240.91033564815</x:v>
      </x:c>
      <x:c r="B759" s="72" t="n">
        <x:v>46240.91034953704</x:v>
      </x:c>
      <x:c r="C759" s="32" t="str">
        <x:v>P12</x:v>
      </x:c>
      <x:c r="D759" s="32" t="str">
        <x:v>B2-W2-V2</x:v>
      </x:c>
      <x:c r="E759" s="32" t="str">
        <x:v>B2</x:v>
      </x:c>
      <x:c r="F759" s="32" t="str">
        <x:v>W2</x:v>
      </x:c>
      <x:c r="G759" s="32" t="str">
        <x:v>V2</x:v>
      </x:c>
      <x:c r="H759" s="32" t="str">
        <x:v>tension_soil</x:v>
      </x:c>
      <x:c r="I759" s="32" t="str">
        <x:v>862323089930712</x:v>
      </x:c>
      <x:c r="J759" s="82"/>
      <x:c r="K759" s="82" t="n">
        <x:v>-37.6</x:v>
      </x:c>
      <x:c r="L759" s="82" t="n">
        <x:v>39.6</x:v>
      </x:c>
      <x:c r="M759" s="82" t="n">
        <x:v>25.5</x:v>
      </x:c>
      <x:c r="N759" s="86" t="n">
        <x:v>953</x:v>
      </x:c>
      <x:c r="O759" s="90" t="n">
        <x:v>6.42</x:v>
      </x:c>
      <x:c r="P759" s="150" t="n">
        <x:v>3.92</x:v>
      </x:c>
      <x:c r="Q759" s="86" t="n">
        <x:v>21</x:v>
      </x:c>
      <x:c r="R759" s="32"/>
      <x:c r="S759" s="32" t="str">
        <x:v>ok</x:v>
      </x:c>
      <x:c r="T759" s="32" t="str">
        <x:v>ok</x:v>
      </x:c>
      <x:c r="U759" s="32" t="str">
        <x:v>ok</x:v>
      </x:c>
      <x:c r="V759" s="32" t="str">
        <x:v>ok</x:v>
      </x:c>
      <x:c r="W759" s="154" t="str">
        <x:v>{"schema_version":1,"imei":"862323089930712","timestamp":1786024253,"report_sequence":32,"task_version":"rice_tension_soil_demo","sensor_mode":"tension_soil","soil_moisture_percent":39.6,"soil_temperature_c":25.5,"soil_ec_us_cm":953,"soil_ph":6.42,"battery_mv":3920,"csq":21,"soil_rs485_status":"ok","cycle_status":"ok","soil_tension_kpa":-37.6,"soil_tension_rs485_status":"ok"}</x:v>
      </x:c>
    </x:row>
    <x:row r="760">
      <x:c r="A760" s="72" t="n">
        <x:v>46240.91033564815</x:v>
      </x:c>
      <x:c r="B760" s="72" t="n">
        <x:v>46240.91034953704</x:v>
      </x:c>
      <x:c r="C760" s="32" t="str">
        <x:v>P13</x:v>
      </x:c>
      <x:c r="D760" s="32" t="str">
        <x:v>B3-W0-V1</x:v>
      </x:c>
      <x:c r="E760" s="32" t="str">
        <x:v>B3</x:v>
      </x:c>
      <x:c r="F760" s="32" t="str">
        <x:v>W0</x:v>
      </x:c>
      <x:c r="G760" s="32" t="str">
        <x:v>V1</x:v>
      </x:c>
      <x:c r="H760" s="32" t="str">
        <x:v>water_soil</x:v>
      </x:c>
      <x:c r="I760" s="32" t="str">
        <x:v>862323089930713</x:v>
      </x:c>
      <x:c r="J760" s="82" t="n">
        <x:v>35.7</x:v>
      </x:c>
      <x:c r="K760" s="82"/>
      <x:c r="L760" s="82" t="n">
        <x:v>40.9</x:v>
      </x:c>
      <x:c r="M760" s="82" t="n">
        <x:v>25.6</x:v>
      </x:c>
      <x:c r="N760" s="86" t="n">
        <x:v>969</x:v>
      </x:c>
      <x:c r="O760" s="90" t="n">
        <x:v>6.48</x:v>
      </x:c>
      <x:c r="P760" s="150" t="n">
        <x:v>3.938</x:v>
      </x:c>
      <x:c r="Q760" s="86" t="n">
        <x:v>22</x:v>
      </x:c>
      <x:c r="R760" s="32" t="str">
        <x:v>ok</x:v>
      </x:c>
      <x:c r="S760" s="32"/>
      <x:c r="T760" s="32" t="str">
        <x:v>ok</x:v>
      </x:c>
      <x:c r="U760" s="32" t="str">
        <x:v>ok</x:v>
      </x:c>
      <x:c r="V760" s="32" t="str">
        <x:v>ok</x:v>
      </x:c>
      <x:c r="W760" s="154" t="str">
        <x:v>{"schema_version":1,"imei":"862323089930713","timestamp":1786024253,"report_sequence":32,"task_version":"rice_w0_water_soil_demo","sensor_mode":"water_soil","soil_moisture_percent":40.9,"soil_temperature_c":25.6,"soil_ec_us_cm":969,"soil_ph":6.48,"battery_mv":3938,"csq":22,"soil_rs485_status":"ok","cycle_status":"ok","water_level_mm":35.7,"water_4_20ma_status":"ok"}</x:v>
      </x:c>
    </x:row>
    <x:row r="761">
      <x:c r="A761" s="72" t="n">
        <x:v>46240.91033564815</x:v>
      </x:c>
      <x:c r="B761" s="72" t="n">
        <x:v>46240.91034953704</x:v>
      </x:c>
      <x:c r="C761" s="32" t="str">
        <x:v>P14</x:v>
      </x:c>
      <x:c r="D761" s="32" t="str">
        <x:v>B3-W0-V2</x:v>
      </x:c>
      <x:c r="E761" s="32" t="str">
        <x:v>B3</x:v>
      </x:c>
      <x:c r="F761" s="32" t="str">
        <x:v>W0</x:v>
      </x:c>
      <x:c r="G761" s="32" t="str">
        <x:v>V2</x:v>
      </x:c>
      <x:c r="H761" s="32" t="str">
        <x:v>water_soil</x:v>
      </x:c>
      <x:c r="I761" s="32" t="str">
        <x:v>862323089930714</x:v>
      </x:c>
      <x:c r="J761" s="82" t="n">
        <x:v>39</x:v>
      </x:c>
      <x:c r="K761" s="82"/>
      <x:c r="L761" s="82" t="n">
        <x:v>42</x:v>
      </x:c>
      <x:c r="M761" s="82" t="n">
        <x:v>25.6</x:v>
      </x:c>
      <x:c r="N761" s="86" t="n">
        <x:v>983</x:v>
      </x:c>
      <x:c r="O761" s="90" t="n">
        <x:v>6.53</x:v>
      </x:c>
      <x:c r="P761" s="150" t="n">
        <x:v>3.956</x:v>
      </x:c>
      <x:c r="Q761" s="86" t="n">
        <x:v>23</x:v>
      </x:c>
      <x:c r="R761" s="32" t="str">
        <x:v>ok</x:v>
      </x:c>
      <x:c r="S761" s="32"/>
      <x:c r="T761" s="32" t="str">
        <x:v>ok</x:v>
      </x:c>
      <x:c r="U761" s="32" t="str">
        <x:v>ok</x:v>
      </x:c>
      <x:c r="V761" s="32" t="str">
        <x:v>ok</x:v>
      </x:c>
      <x:c r="W761" s="154" t="str">
        <x:v>{"schema_version":1,"imei":"862323089930714","timestamp":1786024253,"report_sequence":32,"task_version":"rice_w0_water_soil_demo","sensor_mode":"water_soil","soil_moisture_percent":42,"soil_temperature_c":25.6,"soil_ec_us_cm":983,"soil_ph":6.53,"battery_mv":3956,"csq":23,"soil_rs485_status":"ok","cycle_status":"ok","water_level_mm":39,"water_4_20ma_status":"ok"}</x:v>
      </x:c>
    </x:row>
    <x:row r="762">
      <x:c r="A762" s="72" t="n">
        <x:v>46240.91033564815</x:v>
      </x:c>
      <x:c r="B762" s="72" t="n">
        <x:v>46240.91034953704</x:v>
      </x:c>
      <x:c r="C762" s="32" t="str">
        <x:v>P15</x:v>
      </x:c>
      <x:c r="D762" s="32" t="str">
        <x:v>B3-W1-V1</x:v>
      </x:c>
      <x:c r="E762" s="32" t="str">
        <x:v>B3</x:v>
      </x:c>
      <x:c r="F762" s="32" t="str">
        <x:v>W1</x:v>
      </x:c>
      <x:c r="G762" s="32" t="str">
        <x:v>V1</x:v>
      </x:c>
      <x:c r="H762" s="32" t="str">
        <x:v>tension_soil</x:v>
      </x:c>
      <x:c r="I762" s="32" t="str">
        <x:v>862323089930715</x:v>
      </x:c>
      <x:c r="J762" s="82"/>
      <x:c r="K762" s="82" t="n">
        <x:v>-25</x:v>
      </x:c>
      <x:c r="L762" s="82" t="n">
        <x:v>43</x:v>
      </x:c>
      <x:c r="M762" s="82" t="n">
        <x:v>25.6</x:v>
      </x:c>
      <x:c r="N762" s="86" t="n">
        <x:v>995</x:v>
      </x:c>
      <x:c r="O762" s="90" t="n">
        <x:v>6.33</x:v>
      </x:c>
      <x:c r="P762" s="150" t="n">
        <x:v>3.974</x:v>
      </x:c>
      <x:c r="Q762" s="86" t="n">
        <x:v>24</x:v>
      </x:c>
      <x:c r="R762" s="32"/>
      <x:c r="S762" s="32" t="str">
        <x:v>ok</x:v>
      </x:c>
      <x:c r="T762" s="32" t="str">
        <x:v>ok</x:v>
      </x:c>
      <x:c r="U762" s="32" t="str">
        <x:v>ok</x:v>
      </x:c>
      <x:c r="V762" s="32" t="str">
        <x:v>ok</x:v>
      </x:c>
      <x:c r="W762" s="154" t="str">
        <x:v>{"schema_version":1,"imei":"862323089930715","timestamp":1786024253,"report_sequence":32,"task_version":"rice_tension_soil_demo","sensor_mode":"tension_soil","soil_moisture_percent":43,"soil_temperature_c":25.6,"soil_ec_us_cm":995,"soil_ph":6.33,"battery_mv":3974,"csq":24,"soil_rs485_status":"ok","cycle_status":"ok","soil_tension_kpa":-25,"soil_tension_rs485_status":"ok"}</x:v>
      </x:c>
    </x:row>
    <x:row r="763">
      <x:c r="A763" s="72" t="n">
        <x:v>46240.91033564815</x:v>
      </x:c>
      <x:c r="B763" s="72" t="n">
        <x:v>46240.91034953704</x:v>
      </x:c>
      <x:c r="C763" s="32" t="str">
        <x:v>P16</x:v>
      </x:c>
      <x:c r="D763" s="32" t="str">
        <x:v>B3-W1-V2</x:v>
      </x:c>
      <x:c r="E763" s="32" t="str">
        <x:v>B3</x:v>
      </x:c>
      <x:c r="F763" s="32" t="str">
        <x:v>W1</x:v>
      </x:c>
      <x:c r="G763" s="32" t="str">
        <x:v>V2</x:v>
      </x:c>
      <x:c r="H763" s="32" t="str">
        <x:v>tension_soil</x:v>
      </x:c>
      <x:c r="I763" s="32" t="str">
        <x:v>862323089930716</x:v>
      </x:c>
      <x:c r="J763" s="82"/>
      <x:c r="K763" s="82" t="n">
        <x:v>-25.8</x:v>
      </x:c>
      <x:c r="L763" s="82" t="n">
        <x:v>35.8</x:v>
      </x:c>
      <x:c r="M763" s="82" t="n">
        <x:v>25.6</x:v>
      </x:c>
      <x:c r="N763" s="86" t="n">
        <x:v>1004</x:v>
      </x:c>
      <x:c r="O763" s="90" t="n">
        <x:v>6.38</x:v>
      </x:c>
      <x:c r="P763" s="150" t="n">
        <x:v>3.992</x:v>
      </x:c>
      <x:c r="Q763" s="86" t="n">
        <x:v>17</x:v>
      </x:c>
      <x:c r="R763" s="32"/>
      <x:c r="S763" s="32" t="str">
        <x:v>ok</x:v>
      </x:c>
      <x:c r="T763" s="32" t="str">
        <x:v>ok</x:v>
      </x:c>
      <x:c r="U763" s="32" t="str">
        <x:v>ok</x:v>
      </x:c>
      <x:c r="V763" s="32" t="str">
        <x:v>ok</x:v>
      </x:c>
      <x:c r="W763" s="154" t="str">
        <x:v>{"schema_version":1,"imei":"862323089930716","timestamp":1786024253,"report_sequence":32,"task_version":"rice_tension_soil_demo","sensor_mode":"tension_soil","soil_moisture_percent":35.8,"soil_temperature_c":25.6,"soil_ec_us_cm":1004,"soil_ph":6.38,"battery_mv":3992,"csq":17,"soil_rs485_status":"ok","cycle_status":"ok","soil_tension_kpa":-25.8,"soil_tension_rs485_status":"ok"}</x:v>
      </x:c>
    </x:row>
    <x:row r="764">
      <x:c r="A764" s="72" t="n">
        <x:v>46240.91033564815</x:v>
      </x:c>
      <x:c r="B764" s="72" t="n">
        <x:v>46240.91034953704</x:v>
      </x:c>
      <x:c r="C764" s="32" t="str">
        <x:v>P17</x:v>
      </x:c>
      <x:c r="D764" s="32" t="str">
        <x:v>B3-W2-V1</x:v>
      </x:c>
      <x:c r="E764" s="32" t="str">
        <x:v>B3</x:v>
      </x:c>
      <x:c r="F764" s="32" t="str">
        <x:v>W2</x:v>
      </x:c>
      <x:c r="G764" s="32" t="str">
        <x:v>V1</x:v>
      </x:c>
      <x:c r="H764" s="32" t="str">
        <x:v>tension_soil</x:v>
      </x:c>
      <x:c r="I764" s="32" t="str">
        <x:v>862323089930717</x:v>
      </x:c>
      <x:c r="J764" s="82"/>
      <x:c r="K764" s="82" t="n">
        <x:v>-37.6</x:v>
      </x:c>
      <x:c r="L764" s="82" t="n">
        <x:v>36.6</x:v>
      </x:c>
      <x:c r="M764" s="82" t="n">
        <x:v>25.5</x:v>
      </x:c>
      <x:c r="N764" s="86" t="n">
        <x:v>1012</x:v>
      </x:c>
      <x:c r="O764" s="90" t="n">
        <x:v>6.42</x:v>
      </x:c>
      <x:c r="P764" s="150" t="n">
        <x:v>4.01</x:v>
      </x:c>
      <x:c r="Q764" s="86" t="n">
        <x:v>18</x:v>
      </x:c>
      <x:c r="R764" s="32"/>
      <x:c r="S764" s="32" t="str">
        <x:v>ok</x:v>
      </x:c>
      <x:c r="T764" s="32" t="str">
        <x:v>ok</x:v>
      </x:c>
      <x:c r="U764" s="32" t="str">
        <x:v>ok</x:v>
      </x:c>
      <x:c r="V764" s="32" t="str">
        <x:v>ok</x:v>
      </x:c>
      <x:c r="W764" s="154" t="str">
        <x:v>{"schema_version":1,"imei":"862323089930717","timestamp":1786024253,"report_sequence":32,"task_version":"rice_tension_soil_demo","sensor_mode":"tension_soil","soil_moisture_percent":36.6,"soil_temperature_c":25.5,"soil_ec_us_cm":1012,"soil_ph":6.42,"battery_mv":4010,"csq":18,"soil_rs485_status":"ok","cycle_status":"ok","soil_tension_kpa":-37.6,"soil_tension_rs485_status":"ok"}</x:v>
      </x:c>
    </x:row>
    <x:row r="765">
      <x:c r="A765" s="72" t="n">
        <x:v>46240.91033564815</x:v>
      </x:c>
      <x:c r="B765" s="72" t="n">
        <x:v>46240.91034953704</x:v>
      </x:c>
      <x:c r="C765" s="32" t="str">
        <x:v>P18</x:v>
      </x:c>
      <x:c r="D765" s="32" t="str">
        <x:v>B3-W2-V2</x:v>
      </x:c>
      <x:c r="E765" s="32" t="str">
        <x:v>B3</x:v>
      </x:c>
      <x:c r="F765" s="32" t="str">
        <x:v>W2</x:v>
      </x:c>
      <x:c r="G765" s="32" t="str">
        <x:v>V2</x:v>
      </x:c>
      <x:c r="H765" s="32" t="str">
        <x:v>tension_soil</x:v>
      </x:c>
      <x:c r="I765" s="32" t="str">
        <x:v>862323089930718</x:v>
      </x:c>
      <x:c r="J765" s="82"/>
      <x:c r="K765" s="82" t="n">
        <x:v>-38.2</x:v>
      </x:c>
      <x:c r="L765" s="82" t="n">
        <x:v>37.2</x:v>
      </x:c>
      <x:c r="M765" s="82" t="n">
        <x:v>25.4</x:v>
      </x:c>
      <x:c r="N765" s="86" t="n">
        <x:v>1018</x:v>
      </x:c>
      <x:c r="O765" s="90" t="n">
        <x:v>6.47</x:v>
      </x:c>
      <x:c r="P765" s="150" t="n">
        <x:v>3.92</x:v>
      </x:c>
      <x:c r="Q765" s="86" t="n">
        <x:v>19</x:v>
      </x:c>
      <x:c r="R765" s="32"/>
      <x:c r="S765" s="32" t="str">
        <x:v>ok</x:v>
      </x:c>
      <x:c r="T765" s="32" t="str">
        <x:v>ok</x:v>
      </x:c>
      <x:c r="U765" s="32" t="str">
        <x:v>ok</x:v>
      </x:c>
      <x:c r="V765" s="32" t="str">
        <x:v>ok</x:v>
      </x:c>
      <x:c r="W765" s="154" t="str">
        <x:v>{"schema_version":1,"imei":"862323089930718","timestamp":1786024253,"report_sequence":32,"task_version":"rice_tension_soil_demo","sensor_mode":"tension_soil","soil_moisture_percent":37.2,"soil_temperature_c":25.4,"soil_ec_us_cm":1018,"soil_ph":6.47,"battery_mv":3920,"csq":19,"soil_rs485_status":"ok","cycle_status":"ok","soil_tension_kpa":-38.2,"soil_tension_rs485_status":"ok"}</x:v>
      </x:c>
    </x:row>
    <x:row r="766">
      <x:c r="A766" s="72" t="n">
        <x:v>46240.91033564815</x:v>
      </x:c>
      <x:c r="B766" s="72" t="n">
        <x:v>46240.91034953704</x:v>
      </x:c>
      <x:c r="C766" s="32" t="str">
        <x:v>P19</x:v>
      </x:c>
      <x:c r="D766" s="32" t="str">
        <x:v>B4-W0-V1</x:v>
      </x:c>
      <x:c r="E766" s="32" t="str">
        <x:v>B4</x:v>
      </x:c>
      <x:c r="F766" s="32" t="str">
        <x:v>W0</x:v>
      </x:c>
      <x:c r="G766" s="32" t="str">
        <x:v>V1</x:v>
      </x:c>
      <x:c r="H766" s="32" t="str">
        <x:v>water_soil</x:v>
      </x:c>
      <x:c r="I766" s="32" t="str">
        <x:v>862323089930719</x:v>
      </x:c>
      <x:c r="J766" s="82" t="n">
        <x:v>39.1</x:v>
      </x:c>
      <x:c r="K766" s="82"/>
      <x:c r="L766" s="82" t="n">
        <x:v>37.8</x:v>
      </x:c>
      <x:c r="M766" s="82" t="n">
        <x:v>25.3</x:v>
      </x:c>
      <x:c r="N766" s="86" t="n">
        <x:v>1022</x:v>
      </x:c>
      <x:c r="O766" s="90" t="n">
        <x:v>6.51</x:v>
      </x:c>
      <x:c r="P766" s="150" t="n">
        <x:v>3.938</x:v>
      </x:c>
      <x:c r="Q766" s="86" t="n">
        <x:v>20</x:v>
      </x:c>
      <x:c r="R766" s="32" t="str">
        <x:v>ok</x:v>
      </x:c>
      <x:c r="S766" s="32"/>
      <x:c r="T766" s="32" t="str">
        <x:v>ok</x:v>
      </x:c>
      <x:c r="U766" s="32" t="str">
        <x:v>ok</x:v>
      </x:c>
      <x:c r="V766" s="32" t="str">
        <x:v>ok</x:v>
      </x:c>
      <x:c r="W766" s="154" t="str">
        <x:v>{"schema_version":1,"imei":"862323089930719","timestamp":1786024253,"report_sequence":32,"task_version":"rice_w0_water_soil_demo","sensor_mode":"water_soil","soil_moisture_percent":37.8,"soil_temperature_c":25.3,"soil_ec_us_cm":1022,"soil_ph":6.51,"battery_mv":3938,"csq":20,"soil_rs485_status":"ok","cycle_status":"ok","water_level_mm":39.1,"water_4_20ma_status":"ok"}</x:v>
      </x:c>
    </x:row>
    <x:row r="767">
      <x:c r="A767" s="72" t="n">
        <x:v>46240.91033564815</x:v>
      </x:c>
      <x:c r="B767" s="72" t="n">
        <x:v>46240.91034953704</x:v>
      </x:c>
      <x:c r="C767" s="32" t="str">
        <x:v>P20</x:v>
      </x:c>
      <x:c r="D767" s="32" t="str">
        <x:v>B4-W0-V2</x:v>
      </x:c>
      <x:c r="E767" s="32" t="str">
        <x:v>B4</x:v>
      </x:c>
      <x:c r="F767" s="32" t="str">
        <x:v>W0</x:v>
      </x:c>
      <x:c r="G767" s="32" t="str">
        <x:v>V2</x:v>
      </x:c>
      <x:c r="H767" s="32" t="str">
        <x:v>water_soil</x:v>
      </x:c>
      <x:c r="I767" s="32" t="str">
        <x:v>862323089930720</x:v>
      </x:c>
      <x:c r="J767" s="82" t="n">
        <x:v>28.9</x:v>
      </x:c>
      <x:c r="K767" s="82"/>
      <x:c r="L767" s="82" t="n">
        <x:v>38.3</x:v>
      </x:c>
      <x:c r="M767" s="82" t="n">
        <x:v>25.2</x:v>
      </x:c>
      <x:c r="N767" s="86" t="n">
        <x:v>1026</x:v>
      </x:c>
      <x:c r="O767" s="90" t="n">
        <x:v>6.31</x:v>
      </x:c>
      <x:c r="P767" s="150" t="n">
        <x:v>3.956</x:v>
      </x:c>
      <x:c r="Q767" s="86" t="n">
        <x:v>21</x:v>
      </x:c>
      <x:c r="R767" s="32" t="str">
        <x:v>ok</x:v>
      </x:c>
      <x:c r="S767" s="32"/>
      <x:c r="T767" s="32" t="str">
        <x:v>ok</x:v>
      </x:c>
      <x:c r="U767" s="32" t="str">
        <x:v>ok</x:v>
      </x:c>
      <x:c r="V767" s="32" t="str">
        <x:v>ok</x:v>
      </x:c>
      <x:c r="W767" s="154" t="str">
        <x:v>{"schema_version":1,"imei":"862323089930720","timestamp":1786024253,"report_sequence":32,"task_version":"rice_w0_water_soil_demo","sensor_mode":"water_soil","soil_moisture_percent":38.3,"soil_temperature_c":25.2,"soil_ec_us_cm":1026,"soil_ph":6.31,"battery_mv":3956,"csq":21,"soil_rs485_status":"ok","cycle_status":"ok","water_level_mm":28.9,"water_4_20ma_status":"ok"}</x:v>
      </x:c>
    </x:row>
    <x:row r="768">
      <x:c r="A768" s="72" t="n">
        <x:v>46240.91033564815</x:v>
      </x:c>
      <x:c r="B768" s="72" t="n">
        <x:v>46240.91034953704</x:v>
      </x:c>
      <x:c r="C768" s="32" t="str">
        <x:v>P21</x:v>
      </x:c>
      <x:c r="D768" s="32" t="str">
        <x:v>B4-W1-V1</x:v>
      </x:c>
      <x:c r="E768" s="32" t="str">
        <x:v>B4</x:v>
      </x:c>
      <x:c r="F768" s="32" t="str">
        <x:v>W1</x:v>
      </x:c>
      <x:c r="G768" s="32" t="str">
        <x:v>V1</x:v>
      </x:c>
      <x:c r="H768" s="32" t="str">
        <x:v>tension_soil</x:v>
      </x:c>
      <x:c r="I768" s="32" t="str">
        <x:v>862323089930721</x:v>
      </x:c>
      <x:c r="J768" s="82"/>
      <x:c r="K768" s="82" t="n">
        <x:v>-23.8</x:v>
      </x:c>
      <x:c r="L768" s="82" t="n">
        <x:v>38.8</x:v>
      </x:c>
      <x:c r="M768" s="82" t="n">
        <x:v>25.1</x:v>
      </x:c>
      <x:c r="N768" s="86" t="n">
        <x:v>1029</x:v>
      </x:c>
      <x:c r="O768" s="90" t="n">
        <x:v>6.35</x:v>
      </x:c>
      <x:c r="P768" s="150" t="n">
        <x:v>3.974</x:v>
      </x:c>
      <x:c r="Q768" s="86" t="n">
        <x:v>22</x:v>
      </x:c>
      <x:c r="R768" s="32"/>
      <x:c r="S768" s="32" t="str">
        <x:v>ok</x:v>
      </x:c>
      <x:c r="T768" s="32" t="str">
        <x:v>ok</x:v>
      </x:c>
      <x:c r="U768" s="32" t="str">
        <x:v>ok</x:v>
      </x:c>
      <x:c r="V768" s="32" t="str">
        <x:v>ok</x:v>
      </x:c>
      <x:c r="W768" s="154" t="str">
        <x:v>{"schema_version":1,"imei":"862323089930721","timestamp":1786024253,"report_sequence":32,"task_version":"rice_tension_soil_demo","sensor_mode":"tension_soil","soil_moisture_percent":38.8,"soil_temperature_c":25.1,"soil_ec_us_cm":1029,"soil_ph":6.35,"battery_mv":3974,"csq":22,"soil_rs485_status":"ok","cycle_status":"ok","soil_tension_kpa":-23.8,"soil_tension_rs485_status":"ok"}</x:v>
      </x:c>
    </x:row>
    <x:row r="769">
      <x:c r="A769" s="72" t="n">
        <x:v>46240.91033564815</x:v>
      </x:c>
      <x:c r="B769" s="72" t="n">
        <x:v>46240.91034953704</x:v>
      </x:c>
      <x:c r="C769" s="32" t="str">
        <x:v>P22</x:v>
      </x:c>
      <x:c r="D769" s="32" t="str">
        <x:v>B4-W1-V2</x:v>
      </x:c>
      <x:c r="E769" s="32" t="str">
        <x:v>B4</x:v>
      </x:c>
      <x:c r="F769" s="32" t="str">
        <x:v>W1</x:v>
      </x:c>
      <x:c r="G769" s="32" t="str">
        <x:v>V2</x:v>
      </x:c>
      <x:c r="H769" s="32" t="str">
        <x:v>tension_soil</x:v>
      </x:c>
      <x:c r="I769" s="32" t="str">
        <x:v>862323089930722</x:v>
      </x:c>
      <x:c r="J769" s="82"/>
      <x:c r="K769" s="82" t="n">
        <x:v>-24.4</x:v>
      </x:c>
      <x:c r="L769" s="82" t="n">
        <x:v>39.4</x:v>
      </x:c>
      <x:c r="M769" s="82" t="n">
        <x:v>24.9</x:v>
      </x:c>
      <x:c r="N769" s="86" t="n">
        <x:v>1033</x:v>
      </x:c>
      <x:c r="O769" s="90" t="n">
        <x:v>6.39</x:v>
      </x:c>
      <x:c r="P769" s="150" t="n">
        <x:v>3.992</x:v>
      </x:c>
      <x:c r="Q769" s="86" t="n">
        <x:v>23</x:v>
      </x:c>
      <x:c r="R769" s="32"/>
      <x:c r="S769" s="32" t="str">
        <x:v>ok</x:v>
      </x:c>
      <x:c r="T769" s="32" t="str">
        <x:v>ok</x:v>
      </x:c>
      <x:c r="U769" s="32" t="str">
        <x:v>ok</x:v>
      </x:c>
      <x:c r="V769" s="32" t="str">
        <x:v>ok</x:v>
      </x:c>
      <x:c r="W769" s="154" t="str">
        <x:v>{"schema_version":1,"imei":"862323089930722","timestamp":1786024253,"report_sequence":32,"task_version":"rice_tension_soil_demo","sensor_mode":"tension_soil","soil_moisture_percent":39.4,"soil_temperature_c":24.9,"soil_ec_us_cm":1033,"soil_ph":6.39,"battery_mv":3992,"csq":23,"soil_rs485_status":"ok","cycle_status":"ok","soil_tension_kpa":-24.4,"soil_tension_rs485_status":"ok"}</x:v>
      </x:c>
    </x:row>
    <x:row r="770">
      <x:c r="A770" s="72" t="n">
        <x:v>46240.91033564815</x:v>
      </x:c>
      <x:c r="B770" s="72" t="n">
        <x:v>46240.91034953704</x:v>
      </x:c>
      <x:c r="C770" s="32" t="str">
        <x:v>P23</x:v>
      </x:c>
      <x:c r="D770" s="32" t="str">
        <x:v>B4-W2-V1</x:v>
      </x:c>
      <x:c r="E770" s="32" t="str">
        <x:v>B4</x:v>
      </x:c>
      <x:c r="F770" s="32" t="str">
        <x:v>W2</x:v>
      </x:c>
      <x:c r="G770" s="32" t="str">
        <x:v>V1</x:v>
      </x:c>
      <x:c r="H770" s="32" t="str">
        <x:v>tension_soil</x:v>
      </x:c>
      <x:c r="I770" s="32" t="str">
        <x:v>862323089930723</x:v>
      </x:c>
      <x:c r="J770" s="82"/>
      <x:c r="K770" s="82" t="n">
        <x:v>-35.9</x:v>
      </x:c>
      <x:c r="L770" s="82" t="n">
        <x:v>39.9</x:v>
      </x:c>
      <x:c r="M770" s="82" t="n">
        <x:v>24.8</x:v>
      </x:c>
      <x:c r="N770" s="86" t="n">
        <x:v>1037</x:v>
      </x:c>
      <x:c r="O770" s="90" t="n">
        <x:v>6.43</x:v>
      </x:c>
      <x:c r="P770" s="150" t="n">
        <x:v>4.01</x:v>
      </x:c>
      <x:c r="Q770" s="86" t="n">
        <x:v>24</x:v>
      </x:c>
      <x:c r="R770" s="32"/>
      <x:c r="S770" s="32" t="str">
        <x:v>ok</x:v>
      </x:c>
      <x:c r="T770" s="32" t="str">
        <x:v>ok</x:v>
      </x:c>
      <x:c r="U770" s="32" t="str">
        <x:v>ok</x:v>
      </x:c>
      <x:c r="V770" s="32" t="str">
        <x:v>ok</x:v>
      </x:c>
      <x:c r="W770" s="154" t="str">
        <x:v>{"schema_version":1,"imei":"862323089930723","timestamp":1786024253,"report_sequence":32,"task_version":"rice_tension_soil_demo","sensor_mode":"tension_soil","soil_moisture_percent":39.9,"soil_temperature_c":24.8,"soil_ec_us_cm":1037,"soil_ph":6.43,"battery_mv":4010,"csq":24,"soil_rs485_status":"ok","cycle_status":"ok","soil_tension_kpa":-35.9,"soil_tension_rs485_status":"ok"}</x:v>
      </x:c>
    </x:row>
    <x:row r="771">
      <x:c r="A771" s="72" t="n">
        <x:v>46240.91033564815</x:v>
      </x:c>
      <x:c r="B771" s="72" t="n">
        <x:v>46240.91034953704</x:v>
      </x:c>
      <x:c r="C771" s="32" t="str">
        <x:v>P24</x:v>
      </x:c>
      <x:c r="D771" s="32" t="str">
        <x:v>B4-W2-V2</x:v>
      </x:c>
      <x:c r="E771" s="32" t="str">
        <x:v>B4</x:v>
      </x:c>
      <x:c r="F771" s="32" t="str">
        <x:v>W2</x:v>
      </x:c>
      <x:c r="G771" s="32" t="str">
        <x:v>V2</x:v>
      </x:c>
      <x:c r="H771" s="32" t="str">
        <x:v>tension_soil</x:v>
      </x:c>
      <x:c r="I771" s="32" t="str">
        <x:v>862323089930724</x:v>
      </x:c>
      <x:c r="J771" s="82"/>
      <x:c r="K771" s="82" t="n">
        <x:v>-36.5</x:v>
      </x:c>
      <x:c r="L771" s="82" t="n">
        <x:v>32.5</x:v>
      </x:c>
      <x:c r="M771" s="82" t="n">
        <x:v>24.7</x:v>
      </x:c>
      <x:c r="N771" s="86" t="n">
        <x:v>1042</x:v>
      </x:c>
      <x:c r="O771" s="90" t="n">
        <x:v>6.48</x:v>
      </x:c>
      <x:c r="P771" s="150" t="n">
        <x:v>3.92</x:v>
      </x:c>
      <x:c r="Q771" s="86" t="n">
        <x:v>17</x:v>
      </x:c>
      <x:c r="R771" s="32"/>
      <x:c r="S771" s="32" t="str">
        <x:v>ok</x:v>
      </x:c>
      <x:c r="T771" s="32" t="str">
        <x:v>ok</x:v>
      </x:c>
      <x:c r="U771" s="32" t="str">
        <x:v>ok</x:v>
      </x:c>
      <x:c r="V771" s="32" t="str">
        <x:v>ok</x:v>
      </x:c>
      <x:c r="W771" s="154" t="str">
        <x:v>{"schema_version":1,"imei":"862323089930724","timestamp":1786024253,"report_sequence":32,"task_version":"rice_tension_soil_demo","sensor_mode":"tension_soil","soil_moisture_percent":32.5,"soil_temperature_c":24.7,"soil_ec_us_cm":1042,"soil_ph":6.48,"battery_mv":3920,"csq":17,"soil_rs485_status":"ok","cycle_status":"ok","soil_tension_kpa":-36.5,"soil_tension_rs485_status":"ok"}</x:v>
      </x:c>
    </x:row>
    <x:row r="772">
      <x:c r="A772" s="72" t="n">
        <x:v>46240.91380787037</x:v>
      </x:c>
      <x:c r="B772" s="72" t="n">
        <x:v>46240.91382175926</x:v>
      </x:c>
      <x:c r="C772" s="32" t="str">
        <x:v>P01</x:v>
      </x:c>
      <x:c r="D772" s="32" t="str">
        <x:v>B1-W0-V1</x:v>
      </x:c>
      <x:c r="E772" s="32" t="str">
        <x:v>B1</x:v>
      </x:c>
      <x:c r="F772" s="32" t="str">
        <x:v>W0</x:v>
      </x:c>
      <x:c r="G772" s="32" t="str">
        <x:v>V1</x:v>
      </x:c>
      <x:c r="H772" s="32" t="str">
        <x:v>water_soil</x:v>
      </x:c>
      <x:c r="I772" s="32" t="str">
        <x:v>862323089930701</x:v>
      </x:c>
      <x:c r="J772" s="82" t="n">
        <x:v>26.5</x:v>
      </x:c>
      <x:c r="K772" s="82"/>
      <x:c r="L772" s="82" t="n">
        <x:v>33.2</x:v>
      </x:c>
      <x:c r="M772" s="82" t="n">
        <x:v>24.7</x:v>
      </x:c>
      <x:c r="N772" s="86" t="n">
        <x:v>761</x:v>
      </x:c>
      <x:c r="O772" s="90" t="n">
        <x:v>6.32</x:v>
      </x:c>
      <x:c r="P772" s="150" t="n">
        <x:v>3.938</x:v>
      </x:c>
      <x:c r="Q772" s="86" t="n">
        <x:v>18</x:v>
      </x:c>
      <x:c r="R772" s="32" t="str">
        <x:v>ok</x:v>
      </x:c>
      <x:c r="S772" s="32"/>
      <x:c r="T772" s="32" t="str">
        <x:v>ok</x:v>
      </x:c>
      <x:c r="U772" s="32" t="str">
        <x:v>ok</x:v>
      </x:c>
      <x:c r="V772" s="32" t="str">
        <x:v>ok</x:v>
      </x:c>
      <x:c r="W772" s="154" t="str">
        <x:v>{"schema_version":1,"imei":"862323089930701","timestamp":1786024553,"report_sequence":33,"task_version":"rice_w0_water_soil_demo","sensor_mode":"water_soil","soil_moisture_percent":33.2,"soil_temperature_c":24.7,"soil_ec_us_cm":761,"soil_ph":6.32,"battery_mv":3938,"csq":18,"soil_rs485_status":"ok","cycle_status":"ok","water_level_mm":26.5,"water_4_20ma_status":"ok"}</x:v>
      </x:c>
    </x:row>
    <x:row r="773">
      <x:c r="A773" s="72" t="n">
        <x:v>46240.91380787037</x:v>
      </x:c>
      <x:c r="B773" s="72" t="n">
        <x:v>46240.91382175926</x:v>
      </x:c>
      <x:c r="C773" s="32" t="str">
        <x:v>P02</x:v>
      </x:c>
      <x:c r="D773" s="32" t="str">
        <x:v>B1-W0-V2</x:v>
      </x:c>
      <x:c r="E773" s="32" t="str">
        <x:v>B1</x:v>
      </x:c>
      <x:c r="F773" s="32" t="str">
        <x:v>W0</x:v>
      </x:c>
      <x:c r="G773" s="32" t="str">
        <x:v>V2</x:v>
      </x:c>
      <x:c r="H773" s="32" t="str">
        <x:v>water_soil</x:v>
      </x:c>
      <x:c r="I773" s="32" t="str">
        <x:v>862323089930702</x:v>
      </x:c>
      <x:c r="J773" s="82" t="n">
        <x:v>29.1</x:v>
      </x:c>
      <x:c r="K773" s="82"/>
      <x:c r="L773" s="82" t="n">
        <x:v>34</x:v>
      </x:c>
      <x:c r="M773" s="82" t="n">
        <x:v>24.6</x:v>
      </x:c>
      <x:c r="N773" s="86" t="n">
        <x:v>770</x:v>
      </x:c>
      <x:c r="O773" s="90" t="n">
        <x:v>6.37</x:v>
      </x:c>
      <x:c r="P773" s="150" t="n">
        <x:v>3.956</x:v>
      </x:c>
      <x:c r="Q773" s="86" t="n">
        <x:v>19</x:v>
      </x:c>
      <x:c r="R773" s="32" t="str">
        <x:v>ok</x:v>
      </x:c>
      <x:c r="S773" s="32"/>
      <x:c r="T773" s="32" t="str">
        <x:v>ok</x:v>
      </x:c>
      <x:c r="U773" s="32" t="str">
        <x:v>ok</x:v>
      </x:c>
      <x:c r="V773" s="32" t="str">
        <x:v>ok</x:v>
      </x:c>
      <x:c r="W773" s="154" t="str">
        <x:v>{"schema_version":1,"imei":"862323089930702","timestamp":1786024553,"report_sequence":33,"task_version":"rice_w0_water_soil_demo","sensor_mode":"water_soil","soil_moisture_percent":34,"soil_temperature_c":24.6,"soil_ec_us_cm":770,"soil_ph":6.37,"battery_mv":3956,"csq":19,"soil_rs485_status":"ok","cycle_status":"ok","water_level_mm":29.1,"water_4_20ma_status":"ok"}</x:v>
      </x:c>
    </x:row>
    <x:row r="774">
      <x:c r="A774" s="72" t="n">
        <x:v>46240.91380787037</x:v>
      </x:c>
      <x:c r="B774" s="72" t="n">
        <x:v>46240.91382175926</x:v>
      </x:c>
      <x:c r="C774" s="32" t="str">
        <x:v>P03</x:v>
      </x:c>
      <x:c r="D774" s="32" t="str">
        <x:v>B1-W1-V1</x:v>
      </x:c>
      <x:c r="E774" s="32" t="str">
        <x:v>B1</x:v>
      </x:c>
      <x:c r="F774" s="32" t="str">
        <x:v>W1</x:v>
      </x:c>
      <x:c r="G774" s="32" t="str">
        <x:v>V1</x:v>
      </x:c>
      <x:c r="H774" s="32" t="str">
        <x:v>tension_soil</x:v>
      </x:c>
      <x:c r="I774" s="32" t="str">
        <x:v>862323089930703</x:v>
      </x:c>
      <x:c r="J774" s="82"/>
      <x:c r="K774" s="82" t="n">
        <x:v>-24</x:v>
      </x:c>
      <x:c r="L774" s="82" t="n">
        <x:v>35</x:v>
      </x:c>
      <x:c r="M774" s="82" t="n">
        <x:v>24.6</x:v>
      </x:c>
      <x:c r="N774" s="86" t="n">
        <x:v>781</x:v>
      </x:c>
      <x:c r="O774" s="90" t="n">
        <x:v>6.42</x:v>
      </x:c>
      <x:c r="P774" s="150" t="n">
        <x:v>3.974</x:v>
      </x:c>
      <x:c r="Q774" s="86" t="n">
        <x:v>20</x:v>
      </x:c>
      <x:c r="R774" s="32"/>
      <x:c r="S774" s="32" t="str">
        <x:v>ok</x:v>
      </x:c>
      <x:c r="T774" s="32" t="str">
        <x:v>ok</x:v>
      </x:c>
      <x:c r="U774" s="32" t="str">
        <x:v>ok</x:v>
      </x:c>
      <x:c r="V774" s="32" t="str">
        <x:v>ok</x:v>
      </x:c>
      <x:c r="W774" s="154" t="str">
        <x:v>{"schema_version":1,"imei":"862323089930703","timestamp":1786024553,"report_sequence":33,"task_version":"rice_tension_soil_demo","sensor_mode":"tension_soil","soil_moisture_percent":35,"soil_temperature_c":24.6,"soil_ec_us_cm":781,"soil_ph":6.42,"battery_mv":3974,"csq":20,"soil_rs485_status":"ok","cycle_status":"ok","soil_tension_kpa":-24,"soil_tension_rs485_status":"ok"}</x:v>
      </x:c>
    </x:row>
    <x:row r="775">
      <x:c r="A775" s="72" t="n">
        <x:v>46240.91380787037</x:v>
      </x:c>
      <x:c r="B775" s="72" t="n">
        <x:v>46240.91382175926</x:v>
      </x:c>
      <x:c r="C775" s="32" t="str">
        <x:v>P04</x:v>
      </x:c>
      <x:c r="D775" s="32" t="str">
        <x:v>B1-W1-V2</x:v>
      </x:c>
      <x:c r="E775" s="32" t="str">
        <x:v>B1</x:v>
      </x:c>
      <x:c r="F775" s="32" t="str">
        <x:v>W1</x:v>
      </x:c>
      <x:c r="G775" s="32" t="str">
        <x:v>V2</x:v>
      </x:c>
      <x:c r="H775" s="32" t="str">
        <x:v>tension_soil</x:v>
      </x:c>
      <x:c r="I775" s="32" t="str">
        <x:v>862323089930704</x:v>
      </x:c>
      <x:c r="J775" s="82"/>
      <x:c r="K775" s="82" t="n">
        <x:v>-25.1</x:v>
      </x:c>
      <x:c r="L775" s="82" t="n">
        <x:v>36.1</x:v>
      </x:c>
      <x:c r="M775" s="82" t="n">
        <x:v>24.6</x:v>
      </x:c>
      <x:c r="N775" s="86" t="n">
        <x:v>794</x:v>
      </x:c>
      <x:c r="O775" s="90" t="n">
        <x:v>6.47</x:v>
      </x:c>
      <x:c r="P775" s="150" t="n">
        <x:v>3.992</x:v>
      </x:c>
      <x:c r="Q775" s="86" t="n">
        <x:v>21</x:v>
      </x:c>
      <x:c r="R775" s="32"/>
      <x:c r="S775" s="32" t="str">
        <x:v>ok</x:v>
      </x:c>
      <x:c r="T775" s="32" t="str">
        <x:v>ok</x:v>
      </x:c>
      <x:c r="U775" s="32" t="str">
        <x:v>ok</x:v>
      </x:c>
      <x:c r="V775" s="32" t="str">
        <x:v>ok</x:v>
      </x:c>
      <x:c r="W775" s="154" t="str">
        <x:v>{"schema_version":1,"imei":"862323089930704","timestamp":1786024553,"report_sequence":33,"task_version":"rice_tension_soil_demo","sensor_mode":"tension_soil","soil_moisture_percent":36.1,"soil_temperature_c":24.6,"soil_ec_us_cm":794,"soil_ph":6.47,"battery_mv":3992,"csq":21,"soil_rs485_status":"ok","cycle_status":"ok","soil_tension_kpa":-25.1,"soil_tension_rs485_status":"ok"}</x:v>
      </x:c>
    </x:row>
    <x:row r="776">
      <x:c r="A776" s="72" t="n">
        <x:v>46240.91380787037</x:v>
      </x:c>
      <x:c r="B776" s="72" t="n">
        <x:v>46240.91382175926</x:v>
      </x:c>
      <x:c r="C776" s="32" t="str">
        <x:v>P05</x:v>
      </x:c>
      <x:c r="D776" s="32" t="str">
        <x:v>B1-W2-V1</x:v>
      </x:c>
      <x:c r="E776" s="32" t="str">
        <x:v>B1</x:v>
      </x:c>
      <x:c r="F776" s="32" t="str">
        <x:v>W2</x:v>
      </x:c>
      <x:c r="G776" s="32" t="str">
        <x:v>V1</x:v>
      </x:c>
      <x:c r="H776" s="32" t="str">
        <x:v>tension_soil</x:v>
      </x:c>
      <x:c r="I776" s="32" t="str">
        <x:v>862323089930705</x:v>
      </x:c>
      <x:c r="J776" s="82"/>
      <x:c r="K776" s="82" t="n">
        <x:v>-32.3</x:v>
      </x:c>
      <x:c r="L776" s="82" t="n">
        <x:v>37.3</x:v>
      </x:c>
      <x:c r="M776" s="82" t="n">
        <x:v>24.7</x:v>
      </x:c>
      <x:c r="N776" s="86" t="n">
        <x:v>810</x:v>
      </x:c>
      <x:c r="O776" s="90" t="n">
        <x:v>6.27</x:v>
      </x:c>
      <x:c r="P776" s="150" t="n">
        <x:v>4.01</x:v>
      </x:c>
      <x:c r="Q776" s="86" t="n">
        <x:v>22</x:v>
      </x:c>
      <x:c r="R776" s="32"/>
      <x:c r="S776" s="32" t="str">
        <x:v>ok</x:v>
      </x:c>
      <x:c r="T776" s="32" t="str">
        <x:v>ok</x:v>
      </x:c>
      <x:c r="U776" s="32" t="str">
        <x:v>ok</x:v>
      </x:c>
      <x:c r="V776" s="32" t="str">
        <x:v>ok</x:v>
      </x:c>
      <x:c r="W776" s="154" t="str">
        <x:v>{"schema_version":1,"imei":"862323089930705","timestamp":1786024553,"report_sequence":33,"task_version":"rice_tension_soil_demo","sensor_mode":"tension_soil","soil_moisture_percent":37.3,"soil_temperature_c":24.7,"soil_ec_us_cm":810,"soil_ph":6.27,"battery_mv":4010,"csq":22,"soil_rs485_status":"ok","cycle_status":"ok","soil_tension_kpa":-32.3,"soil_tension_rs485_status":"ok"}</x:v>
      </x:c>
    </x:row>
    <x:row r="777">
      <x:c r="A777" s="72" t="n">
        <x:v>46240.91380787037</x:v>
      </x:c>
      <x:c r="B777" s="72" t="n">
        <x:v>46240.91382175926</x:v>
      </x:c>
      <x:c r="C777" s="32" t="str">
        <x:v>P06</x:v>
      </x:c>
      <x:c r="D777" s="32" t="str">
        <x:v>B1-W2-V2</x:v>
      </x:c>
      <x:c r="E777" s="32" t="str">
        <x:v>B1</x:v>
      </x:c>
      <x:c r="F777" s="32" t="str">
        <x:v>W2</x:v>
      </x:c>
      <x:c r="G777" s="32" t="str">
        <x:v>V2</x:v>
      </x:c>
      <x:c r="H777" s="32" t="str">
        <x:v>tension_soil</x:v>
      </x:c>
      <x:c r="I777" s="32" t="str">
        <x:v>862323089930706</x:v>
      </x:c>
      <x:c r="J777" s="82"/>
      <x:c r="K777" s="82" t="n">
        <x:v>-33.6</x:v>
      </x:c>
      <x:c r="L777" s="82" t="n">
        <x:v>38.6</x:v>
      </x:c>
      <x:c r="M777" s="82" t="n">
        <x:v>24.7</x:v>
      </x:c>
      <x:c r="N777" s="86" t="n">
        <x:v>827</x:v>
      </x:c>
      <x:c r="O777" s="90" t="n">
        <x:v>6.33</x:v>
      </x:c>
      <x:c r="P777" s="150" t="n">
        <x:v>3.92</x:v>
      </x:c>
      <x:c r="Q777" s="86" t="n">
        <x:v>23</x:v>
      </x:c>
      <x:c r="R777" s="32"/>
      <x:c r="S777" s="32" t="str">
        <x:v>ok</x:v>
      </x:c>
      <x:c r="T777" s="32" t="str">
        <x:v>ok</x:v>
      </x:c>
      <x:c r="U777" s="32" t="str">
        <x:v>ok</x:v>
      </x:c>
      <x:c r="V777" s="32" t="str">
        <x:v>ok</x:v>
      </x:c>
      <x:c r="W777" s="154" t="str">
        <x:v>{"schema_version":1,"imei":"862323089930706","timestamp":1786024553,"report_sequence":33,"task_version":"rice_tension_soil_demo","sensor_mode":"tension_soil","soil_moisture_percent":38.6,"soil_temperature_c":24.7,"soil_ec_us_cm":827,"soil_ph":6.33,"battery_mv":3920,"csq":23,"soil_rs485_status":"ok","cycle_status":"ok","soil_tension_kpa":-33.6,"soil_tension_rs485_status":"ok"}</x:v>
      </x:c>
    </x:row>
    <x:row r="778">
      <x:c r="A778" s="72" t="n">
        <x:v>46240.91380787037</x:v>
      </x:c>
      <x:c r="B778" s="72" t="n">
        <x:v>46240.91382175926</x:v>
      </x:c>
      <x:c r="C778" s="32" t="str">
        <x:v>P07</x:v>
      </x:c>
      <x:c r="D778" s="32" t="str">
        <x:v>B2-W0-V1</x:v>
      </x:c>
      <x:c r="E778" s="32" t="str">
        <x:v>B2</x:v>
      </x:c>
      <x:c r="F778" s="32" t="str">
        <x:v>W0</x:v>
      </x:c>
      <x:c r="G778" s="32" t="str">
        <x:v>V1</x:v>
      </x:c>
      <x:c r="H778" s="32" t="str">
        <x:v>water_soil</x:v>
      </x:c>
      <x:c r="I778" s="32" t="str">
        <x:v>862323089930707</x:v>
      </x:c>
      <x:c r="J778" s="82" t="n">
        <x:v>34.5</x:v>
      </x:c>
      <x:c r="K778" s="82"/>
      <x:c r="L778" s="82" t="n">
        <x:v>40</x:v>
      </x:c>
      <x:c r="M778" s="82" t="n">
        <x:v>24.8</x:v>
      </x:c>
      <x:c r="N778" s="86" t="n">
        <x:v>846</x:v>
      </x:c>
      <x:c r="O778" s="90" t="n">
        <x:v>6.38</x:v>
      </x:c>
      <x:c r="P778" s="150" t="n">
        <x:v>3.938</x:v>
      </x:c>
      <x:c r="Q778" s="86" t="n">
        <x:v>24</x:v>
      </x:c>
      <x:c r="R778" s="32" t="str">
        <x:v>ok</x:v>
      </x:c>
      <x:c r="S778" s="32"/>
      <x:c r="T778" s="32" t="str">
        <x:v>ok</x:v>
      </x:c>
      <x:c r="U778" s="32" t="str">
        <x:v>ok</x:v>
      </x:c>
      <x:c r="V778" s="32" t="str">
        <x:v>ok</x:v>
      </x:c>
      <x:c r="W778" s="154" t="str">
        <x:v>{"schema_version":1,"imei":"862323089930707","timestamp":1786024553,"report_sequence":33,"task_version":"rice_w0_water_soil_demo","sensor_mode":"water_soil","soil_moisture_percent":40,"soil_temperature_c":24.8,"soil_ec_us_cm":846,"soil_ph":6.38,"battery_mv":3938,"csq":24,"soil_rs485_status":"ok","cycle_status":"ok","water_level_mm":34.5,"water_4_20ma_status":"ok"}</x:v>
      </x:c>
    </x:row>
    <x:row r="779">
      <x:c r="A779" s="72" t="n">
        <x:v>46240.91380787037</x:v>
      </x:c>
      <x:c r="B779" s="72" t="n">
        <x:v>46240.91382175926</x:v>
      </x:c>
      <x:c r="C779" s="32" t="str">
        <x:v>P08</x:v>
      </x:c>
      <x:c r="D779" s="32" t="str">
        <x:v>B2-W0-V2</x:v>
      </x:c>
      <x:c r="E779" s="32" t="str">
        <x:v>B2</x:v>
      </x:c>
      <x:c r="F779" s="32" t="str">
        <x:v>W0</x:v>
      </x:c>
      <x:c r="G779" s="32" t="str">
        <x:v>V2</x:v>
      </x:c>
      <x:c r="H779" s="32" t="str">
        <x:v>water_soil</x:v>
      </x:c>
      <x:c r="I779" s="32" t="str">
        <x:v>862323089930708</x:v>
      </x:c>
      <x:c r="J779" s="82" t="n">
        <x:v>26.6</x:v>
      </x:c>
      <x:c r="K779" s="82"/>
      <x:c r="L779" s="82" t="n">
        <x:v>33.4</x:v>
      </x:c>
      <x:c r="M779" s="82" t="n">
        <x:v>25</x:v>
      </x:c>
      <x:c r="N779" s="86" t="n">
        <x:v>866</x:v>
      </x:c>
      <x:c r="O779" s="90" t="n">
        <x:v>6.44</x:v>
      </x:c>
      <x:c r="P779" s="150" t="n">
        <x:v>3.956</x:v>
      </x:c>
      <x:c r="Q779" s="86" t="n">
        <x:v>17</x:v>
      </x:c>
      <x:c r="R779" s="32" t="str">
        <x:v>ok</x:v>
      </x:c>
      <x:c r="S779" s="32"/>
      <x:c r="T779" s="32" t="str">
        <x:v>ok</x:v>
      </x:c>
      <x:c r="U779" s="32" t="str">
        <x:v>ok</x:v>
      </x:c>
      <x:c r="V779" s="32" t="str">
        <x:v>ok</x:v>
      </x:c>
      <x:c r="W779" s="154" t="str">
        <x:v>{"schema_version":1,"imei":"862323089930708","timestamp":1786024553,"report_sequence":33,"task_version":"rice_w0_water_soil_demo","sensor_mode":"water_soil","soil_moisture_percent":33.4,"soil_temperature_c":25,"soil_ec_us_cm":866,"soil_ph":6.44,"battery_mv":3956,"csq":17,"soil_rs485_status":"ok","cycle_status":"ok","water_level_mm":26.6,"water_4_20ma_status":"ok"}</x:v>
      </x:c>
    </x:row>
    <x:row r="780">
      <x:c r="A780" s="72" t="n">
        <x:v>46240.91380787037</x:v>
      </x:c>
      <x:c r="B780" s="72" t="n">
        <x:v>46240.91382175926</x:v>
      </x:c>
      <x:c r="C780" s="32" t="str">
        <x:v>P09</x:v>
      </x:c>
      <x:c r="D780" s="32" t="str">
        <x:v>B2-W1-V1</x:v>
      </x:c>
      <x:c r="E780" s="32" t="str">
        <x:v>B2</x:v>
      </x:c>
      <x:c r="F780" s="32" t="str">
        <x:v>W1</x:v>
      </x:c>
      <x:c r="G780" s="32" t="str">
        <x:v>V1</x:v>
      </x:c>
      <x:c r="H780" s="32" t="str">
        <x:v>tension_soil</x:v>
      </x:c>
      <x:c r="I780" s="32" t="str">
        <x:v>862323089930709</x:v>
      </x:c>
      <x:c r="J780" s="82"/>
      <x:c r="K780" s="82" t="n">
        <x:v>-26.9</x:v>
      </x:c>
      <x:c r="L780" s="82" t="n">
        <x:v>34.9</x:v>
      </x:c>
      <x:c r="M780" s="82" t="n">
        <x:v>25.1</x:v>
      </x:c>
      <x:c r="N780" s="86" t="n">
        <x:v>887</x:v>
      </x:c>
      <x:c r="O780" s="90" t="n">
        <x:v>6.5</x:v>
      </x:c>
      <x:c r="P780" s="150" t="n">
        <x:v>3.974</x:v>
      </x:c>
      <x:c r="Q780" s="86" t="n">
        <x:v>18</x:v>
      </x:c>
      <x:c r="R780" s="32"/>
      <x:c r="S780" s="32" t="str">
        <x:v>ok</x:v>
      </x:c>
      <x:c r="T780" s="32" t="str">
        <x:v>ok</x:v>
      </x:c>
      <x:c r="U780" s="32" t="str">
        <x:v>ok</x:v>
      </x:c>
      <x:c r="V780" s="32" t="str">
        <x:v>ok</x:v>
      </x:c>
      <x:c r="W780" s="154" t="str">
        <x:v>{"schema_version":1,"imei":"862323089930709","timestamp":1786024553,"report_sequence":33,"task_version":"rice_tension_soil_demo","sensor_mode":"tension_soil","soil_moisture_percent":34.9,"soil_temperature_c":25.1,"soil_ec_us_cm":887,"soil_ph":6.5,"battery_mv":3974,"csq":18,"soil_rs485_status":"ok","cycle_status":"ok","soil_tension_kpa":-26.9,"soil_tension_rs485_status":"ok"}</x:v>
      </x:c>
    </x:row>
    <x:row r="781">
      <x:c r="A781" s="72" t="n">
        <x:v>46240.91380787037</x:v>
      </x:c>
      <x:c r="B781" s="72" t="n">
        <x:v>46240.91382175926</x:v>
      </x:c>
      <x:c r="C781" s="32" t="str">
        <x:v>P10</x:v>
      </x:c>
      <x:c r="D781" s="32" t="str">
        <x:v>B2-W1-V2</x:v>
      </x:c>
      <x:c r="E781" s="32" t="str">
        <x:v>B2</x:v>
      </x:c>
      <x:c r="F781" s="32" t="str">
        <x:v>W1</x:v>
      </x:c>
      <x:c r="G781" s="32" t="str">
        <x:v>V2</x:v>
      </x:c>
      <x:c r="H781" s="32" t="str">
        <x:v>tension_soil</x:v>
      </x:c>
      <x:c r="I781" s="32" t="str">
        <x:v>862323089930710</x:v>
      </x:c>
      <x:c r="J781" s="82"/>
      <x:c r="K781" s="82" t="n">
        <x:v>-23.4</x:v>
      </x:c>
      <x:c r="L781" s="82" t="n">
        <x:v>36.4</x:v>
      </x:c>
      <x:c r="M781" s="82" t="n">
        <x:v>25.2</x:v>
      </x:c>
      <x:c r="N781" s="86" t="n">
        <x:v>908</x:v>
      </x:c>
      <x:c r="O781" s="90" t="n">
        <x:v>6.31</x:v>
      </x:c>
      <x:c r="P781" s="150" t="n">
        <x:v>3.992</x:v>
      </x:c>
      <x:c r="Q781" s="86" t="n">
        <x:v>19</x:v>
      </x:c>
      <x:c r="R781" s="32"/>
      <x:c r="S781" s="32" t="str">
        <x:v>ok</x:v>
      </x:c>
      <x:c r="T781" s="32" t="str">
        <x:v>ok</x:v>
      </x:c>
      <x:c r="U781" s="32" t="str">
        <x:v>ok</x:v>
      </x:c>
      <x:c r="V781" s="32" t="str">
        <x:v>ok</x:v>
      </x:c>
      <x:c r="W781" s="154" t="str">
        <x:v>{"schema_version":1,"imei":"862323089930710","timestamp":1786024553,"report_sequence":33,"task_version":"rice_tension_soil_demo","sensor_mode":"tension_soil","soil_moisture_percent":36.4,"soil_temperature_c":25.2,"soil_ec_us_cm":908,"soil_ph":6.31,"battery_mv":3992,"csq":19,"soil_rs485_status":"ok","cycle_status":"ok","soil_tension_kpa":-23.4,"soil_tension_rs485_status":"ok"}</x:v>
      </x:c>
    </x:row>
    <x:row r="782">
      <x:c r="A782" s="72" t="n">
        <x:v>46240.91380787037</x:v>
      </x:c>
      <x:c r="B782" s="72" t="n">
        <x:v>46240.91382175926</x:v>
      </x:c>
      <x:c r="C782" s="32" t="str">
        <x:v>P11</x:v>
      </x:c>
      <x:c r="D782" s="32" t="str">
        <x:v>B2-W2-V1</x:v>
      </x:c>
      <x:c r="E782" s="32" t="str">
        <x:v>B2</x:v>
      </x:c>
      <x:c r="F782" s="32" t="str">
        <x:v>W2</x:v>
      </x:c>
      <x:c r="G782" s="32" t="str">
        <x:v>V1</x:v>
      </x:c>
      <x:c r="H782" s="32" t="str">
        <x:v>tension_soil</x:v>
      </x:c>
      <x:c r="I782" s="32" t="str">
        <x:v>862323089930711</x:v>
      </x:c>
      <x:c r="J782" s="82"/>
      <x:c r="K782" s="82" t="n">
        <x:v>-35.9</x:v>
      </x:c>
      <x:c r="L782" s="82" t="n">
        <x:v>37.9</x:v>
      </x:c>
      <x:c r="M782" s="82" t="n">
        <x:v>25.3</x:v>
      </x:c>
      <x:c r="N782" s="86" t="n">
        <x:v>928</x:v>
      </x:c>
      <x:c r="O782" s="90" t="n">
        <x:v>6.36</x:v>
      </x:c>
      <x:c r="P782" s="150" t="n">
        <x:v>4.01</x:v>
      </x:c>
      <x:c r="Q782" s="86" t="n">
        <x:v>20</x:v>
      </x:c>
      <x:c r="R782" s="32"/>
      <x:c r="S782" s="32" t="str">
        <x:v>ok</x:v>
      </x:c>
      <x:c r="T782" s="32" t="str">
        <x:v>ok</x:v>
      </x:c>
      <x:c r="U782" s="32" t="str">
        <x:v>ok</x:v>
      </x:c>
      <x:c r="V782" s="32" t="str">
        <x:v>ok</x:v>
      </x:c>
      <x:c r="W782" s="154" t="str">
        <x:v>{"schema_version":1,"imei":"862323089930711","timestamp":1786024553,"report_sequence":33,"task_version":"rice_tension_soil_demo","sensor_mode":"tension_soil","soil_moisture_percent":37.9,"soil_temperature_c":25.3,"soil_ec_us_cm":928,"soil_ph":6.36,"battery_mv":4010,"csq":20,"soil_rs485_status":"ok","cycle_status":"ok","soil_tension_kpa":-35.9,"soil_tension_rs485_status":"ok"}</x:v>
      </x:c>
    </x:row>
    <x:row r="783">
      <x:c r="A783" s="72" t="n">
        <x:v>46240.91380787037</x:v>
      </x:c>
      <x:c r="B783" s="72" t="n">
        <x:v>46240.91382175926</x:v>
      </x:c>
      <x:c r="C783" s="32" t="str">
        <x:v>P12</x:v>
      </x:c>
      <x:c r="D783" s="32" t="str">
        <x:v>B2-W2-V2</x:v>
      </x:c>
      <x:c r="E783" s="32" t="str">
        <x:v>B2</x:v>
      </x:c>
      <x:c r="F783" s="32" t="str">
        <x:v>W2</x:v>
      </x:c>
      <x:c r="G783" s="32" t="str">
        <x:v>V2</x:v>
      </x:c>
      <x:c r="H783" s="32" t="str">
        <x:v>tension_soil</x:v>
      </x:c>
      <x:c r="I783" s="32" t="str">
        <x:v>862323089930712</x:v>
      </x:c>
      <x:c r="J783" s="82"/>
      <x:c r="K783" s="82" t="n">
        <x:v>-37.3</x:v>
      </x:c>
      <x:c r="L783" s="82" t="n">
        <x:v>39.3</x:v>
      </x:c>
      <x:c r="M783" s="82" t="n">
        <x:v>25.4</x:v>
      </x:c>
      <x:c r="N783" s="86" t="n">
        <x:v>947</x:v>
      </x:c>
      <x:c r="O783" s="90" t="n">
        <x:v>6.42</x:v>
      </x:c>
      <x:c r="P783" s="150" t="n">
        <x:v>3.92</x:v>
      </x:c>
      <x:c r="Q783" s="86" t="n">
        <x:v>21</x:v>
      </x:c>
      <x:c r="R783" s="32"/>
      <x:c r="S783" s="32" t="str">
        <x:v>ok</x:v>
      </x:c>
      <x:c r="T783" s="32" t="str">
        <x:v>ok</x:v>
      </x:c>
      <x:c r="U783" s="32" t="str">
        <x:v>ok</x:v>
      </x:c>
      <x:c r="V783" s="32" t="str">
        <x:v>ok</x:v>
      </x:c>
      <x:c r="W783" s="154" t="str">
        <x:v>{"schema_version":1,"imei":"862323089930712","timestamp":1786024553,"report_sequence":33,"task_version":"rice_tension_soil_demo","sensor_mode":"tension_soil","soil_moisture_percent":39.3,"soil_temperature_c":25.4,"soil_ec_us_cm":947,"soil_ph":6.42,"battery_mv":3920,"csq":21,"soil_rs485_status":"ok","cycle_status":"ok","soil_tension_kpa":-37.3,"soil_tension_rs485_status":"ok"}</x:v>
      </x:c>
    </x:row>
    <x:row r="784">
      <x:c r="A784" s="72" t="n">
        <x:v>46240.91380787037</x:v>
      </x:c>
      <x:c r="B784" s="72" t="n">
        <x:v>46240.91382175926</x:v>
      </x:c>
      <x:c r="C784" s="32" t="str">
        <x:v>P13</x:v>
      </x:c>
      <x:c r="D784" s="32" t="str">
        <x:v>B3-W0-V1</x:v>
      </x:c>
      <x:c r="E784" s="32" t="str">
        <x:v>B3</x:v>
      </x:c>
      <x:c r="F784" s="32" t="str">
        <x:v>W0</x:v>
      </x:c>
      <x:c r="G784" s="32" t="str">
        <x:v>V1</x:v>
      </x:c>
      <x:c r="H784" s="32" t="str">
        <x:v>water_soil</x:v>
      </x:c>
      <x:c r="I784" s="32" t="str">
        <x:v>862323089930713</x:v>
      </x:c>
      <x:c r="J784" s="82" t="n">
        <x:v>35.1</x:v>
      </x:c>
      <x:c r="K784" s="82"/>
      <x:c r="L784" s="82" t="n">
        <x:v>40.6</x:v>
      </x:c>
      <x:c r="M784" s="82" t="n">
        <x:v>25.5</x:v>
      </x:c>
      <x:c r="N784" s="86" t="n">
        <x:v>965</x:v>
      </x:c>
      <x:c r="O784" s="90" t="n">
        <x:v>6.47</x:v>
      </x:c>
      <x:c r="P784" s="150" t="n">
        <x:v>3.938</x:v>
      </x:c>
      <x:c r="Q784" s="86" t="n">
        <x:v>22</x:v>
      </x:c>
      <x:c r="R784" s="32" t="str">
        <x:v>ok</x:v>
      </x:c>
      <x:c r="S784" s="32"/>
      <x:c r="T784" s="32" t="str">
        <x:v>ok</x:v>
      </x:c>
      <x:c r="U784" s="32" t="str">
        <x:v>ok</x:v>
      </x:c>
      <x:c r="V784" s="32" t="str">
        <x:v>ok</x:v>
      </x:c>
      <x:c r="W784" s="154" t="str">
        <x:v>{"schema_version":1,"imei":"862323089930713","timestamp":1786024553,"report_sequence":33,"task_version":"rice_w0_water_soil_demo","sensor_mode":"water_soil","soil_moisture_percent":40.6,"soil_temperature_c":25.5,"soil_ec_us_cm":965,"soil_ph":6.47,"battery_mv":3938,"csq":22,"soil_rs485_status":"ok","cycle_status":"ok","water_level_mm":35.1,"water_4_20ma_status":"ok"}</x:v>
      </x:c>
    </x:row>
    <x:row r="785">
      <x:c r="A785" s="72" t="n">
        <x:v>46240.91380787037</x:v>
      </x:c>
      <x:c r="B785" s="72" t="n">
        <x:v>46240.91382175926</x:v>
      </x:c>
      <x:c r="C785" s="32" t="str">
        <x:v>P14</x:v>
      </x:c>
      <x:c r="D785" s="32" t="str">
        <x:v>B3-W0-V2</x:v>
      </x:c>
      <x:c r="E785" s="32" t="str">
        <x:v>B3</x:v>
      </x:c>
      <x:c r="F785" s="32" t="str">
        <x:v>W0</x:v>
      </x:c>
      <x:c r="G785" s="32" t="str">
        <x:v>V2</x:v>
      </x:c>
      <x:c r="H785" s="32" t="str">
        <x:v>water_soil</x:v>
      </x:c>
      <x:c r="I785" s="32" t="str">
        <x:v>862323089930714</x:v>
      </x:c>
      <x:c r="J785" s="82" t="n">
        <x:v>38.7</x:v>
      </x:c>
      <x:c r="K785" s="82"/>
      <x:c r="L785" s="82" t="n">
        <x:v>41.9</x:v>
      </x:c>
      <x:c r="M785" s="82" t="n">
        <x:v>25.6</x:v>
      </x:c>
      <x:c r="N785" s="86" t="n">
        <x:v>981</x:v>
      </x:c>
      <x:c r="O785" s="90" t="n">
        <x:v>6.53</x:v>
      </x:c>
      <x:c r="P785" s="150" t="n">
        <x:v>3.956</x:v>
      </x:c>
      <x:c r="Q785" s="86" t="n">
        <x:v>23</x:v>
      </x:c>
      <x:c r="R785" s="32" t="str">
        <x:v>ok</x:v>
      </x:c>
      <x:c r="S785" s="32"/>
      <x:c r="T785" s="32" t="str">
        <x:v>ok</x:v>
      </x:c>
      <x:c r="U785" s="32" t="str">
        <x:v>ok</x:v>
      </x:c>
      <x:c r="V785" s="32" t="str">
        <x:v>ok</x:v>
      </x:c>
      <x:c r="W785" s="154" t="str">
        <x:v>{"schema_version":1,"imei":"862323089930714","timestamp":1786024553,"report_sequence":33,"task_version":"rice_w0_water_soil_demo","sensor_mode":"water_soil","soil_moisture_percent":41.9,"soil_temperature_c":25.6,"soil_ec_us_cm":981,"soil_ph":6.53,"battery_mv":3956,"csq":23,"soil_rs485_status":"ok","cycle_status":"ok","water_level_mm":38.7,"water_4_20ma_status":"ok"}</x:v>
      </x:c>
    </x:row>
    <x:row r="786">
      <x:c r="A786" s="72" t="n">
        <x:v>46240.91380787037</x:v>
      </x:c>
      <x:c r="B786" s="72" t="n">
        <x:v>46240.91382175926</x:v>
      </x:c>
      <x:c r="C786" s="32" t="str">
        <x:v>P15</x:v>
      </x:c>
      <x:c r="D786" s="32" t="str">
        <x:v>B3-W1-V1</x:v>
      </x:c>
      <x:c r="E786" s="32" t="str">
        <x:v>B3</x:v>
      </x:c>
      <x:c r="F786" s="32" t="str">
        <x:v>W1</x:v>
      </x:c>
      <x:c r="G786" s="32" t="str">
        <x:v>V1</x:v>
      </x:c>
      <x:c r="H786" s="32" t="str">
        <x:v>tension_soil</x:v>
      </x:c>
      <x:c r="I786" s="32" t="str">
        <x:v>862323089930715</x:v>
      </x:c>
      <x:c r="J786" s="82"/>
      <x:c r="K786" s="82" t="n">
        <x:v>-25</x:v>
      </x:c>
      <x:c r="L786" s="82" t="n">
        <x:v>43</x:v>
      </x:c>
      <x:c r="M786" s="82" t="n">
        <x:v>25.6</x:v>
      </x:c>
      <x:c r="N786" s="86" t="n">
        <x:v>995</x:v>
      </x:c>
      <x:c r="O786" s="90" t="n">
        <x:v>6.33</x:v>
      </x:c>
      <x:c r="P786" s="150" t="n">
        <x:v>3.974</x:v>
      </x:c>
      <x:c r="Q786" s="86" t="n">
        <x:v>24</x:v>
      </x:c>
      <x:c r="R786" s="32"/>
      <x:c r="S786" s="32" t="str">
        <x:v>ok</x:v>
      </x:c>
      <x:c r="T786" s="32" t="str">
        <x:v>ok</x:v>
      </x:c>
      <x:c r="U786" s="32" t="str">
        <x:v>ok</x:v>
      </x:c>
      <x:c r="V786" s="32" t="str">
        <x:v>ok</x:v>
      </x:c>
      <x:c r="W786" s="154" t="str">
        <x:v>{"schema_version":1,"imei":"862323089930715","timestamp":1786024553,"report_sequence":33,"task_version":"rice_tension_soil_demo","sensor_mode":"tension_soil","soil_moisture_percent":43,"soil_temperature_c":25.6,"soil_ec_us_cm":995,"soil_ph":6.33,"battery_mv":3974,"csq":24,"soil_rs485_status":"ok","cycle_status":"ok","soil_tension_kpa":-25,"soil_tension_rs485_status":"ok"}</x:v>
      </x:c>
    </x:row>
    <x:row r="787">
      <x:c r="A787" s="72" t="n">
        <x:v>46240.91380787037</x:v>
      </x:c>
      <x:c r="B787" s="72" t="n">
        <x:v>46240.91382175926</x:v>
      </x:c>
      <x:c r="C787" s="32" t="str">
        <x:v>P16</x:v>
      </x:c>
      <x:c r="D787" s="32" t="str">
        <x:v>B3-W1-V2</x:v>
      </x:c>
      <x:c r="E787" s="32" t="str">
        <x:v>B3</x:v>
      </x:c>
      <x:c r="F787" s="32" t="str">
        <x:v>W1</x:v>
      </x:c>
      <x:c r="G787" s="32" t="str">
        <x:v>V2</x:v>
      </x:c>
      <x:c r="H787" s="32" t="str">
        <x:v>tension_soil</x:v>
      </x:c>
      <x:c r="I787" s="32" t="str">
        <x:v>862323089930716</x:v>
      </x:c>
      <x:c r="J787" s="82"/>
      <x:c r="K787" s="82" t="n">
        <x:v>-26</x:v>
      </x:c>
      <x:c r="L787" s="82" t="n">
        <x:v>36</x:v>
      </x:c>
      <x:c r="M787" s="82" t="n">
        <x:v>25.6</x:v>
      </x:c>
      <x:c r="N787" s="86" t="n">
        <x:v>1007</x:v>
      </x:c>
      <x:c r="O787" s="90" t="n">
        <x:v>6.38</x:v>
      </x:c>
      <x:c r="P787" s="150" t="n">
        <x:v>3.992</x:v>
      </x:c>
      <x:c r="Q787" s="86" t="n">
        <x:v>17</x:v>
      </x:c>
      <x:c r="R787" s="32"/>
      <x:c r="S787" s="32" t="str">
        <x:v>ok</x:v>
      </x:c>
      <x:c r="T787" s="32" t="str">
        <x:v>ok</x:v>
      </x:c>
      <x:c r="U787" s="32" t="str">
        <x:v>ok</x:v>
      </x:c>
      <x:c r="V787" s="32" t="str">
        <x:v>ok</x:v>
      </x:c>
      <x:c r="W787" s="154" t="str">
        <x:v>{"schema_version":1,"imei":"862323089930716","timestamp":1786024553,"report_sequence":33,"task_version":"rice_tension_soil_demo","sensor_mode":"tension_soil","soil_moisture_percent":36,"soil_temperature_c":25.6,"soil_ec_us_cm":1007,"soil_ph":6.38,"battery_mv":3992,"csq":17,"soil_rs485_status":"ok","cycle_status":"ok","soil_tension_kpa":-26,"soil_tension_rs485_status":"ok"}</x:v>
      </x:c>
    </x:row>
    <x:row r="788">
      <x:c r="A788" s="72" t="n">
        <x:v>46240.91380787037</x:v>
      </x:c>
      <x:c r="B788" s="72" t="n">
        <x:v>46240.91382175926</x:v>
      </x:c>
      <x:c r="C788" s="32" t="str">
        <x:v>P17</x:v>
      </x:c>
      <x:c r="D788" s="32" t="str">
        <x:v>B3-W2-V1</x:v>
      </x:c>
      <x:c r="E788" s="32" t="str">
        <x:v>B3</x:v>
      </x:c>
      <x:c r="F788" s="32" t="str">
        <x:v>W2</x:v>
      </x:c>
      <x:c r="G788" s="32" t="str">
        <x:v>V1</x:v>
      </x:c>
      <x:c r="H788" s="32" t="str">
        <x:v>tension_soil</x:v>
      </x:c>
      <x:c r="I788" s="32" t="str">
        <x:v>862323089930717</x:v>
      </x:c>
      <x:c r="J788" s="82"/>
      <x:c r="K788" s="82" t="n">
        <x:v>-37.8</x:v>
      </x:c>
      <x:c r="L788" s="82" t="n">
        <x:v>36.8</x:v>
      </x:c>
      <x:c r="M788" s="82" t="n">
        <x:v>25.6</x:v>
      </x:c>
      <x:c r="N788" s="86" t="n">
        <x:v>1016</x:v>
      </x:c>
      <x:c r="O788" s="90" t="n">
        <x:v>6.43</x:v>
      </x:c>
      <x:c r="P788" s="150" t="n">
        <x:v>4.01</x:v>
      </x:c>
      <x:c r="Q788" s="86" t="n">
        <x:v>18</x:v>
      </x:c>
      <x:c r="R788" s="32"/>
      <x:c r="S788" s="32" t="str">
        <x:v>ok</x:v>
      </x:c>
      <x:c r="T788" s="32" t="str">
        <x:v>ok</x:v>
      </x:c>
      <x:c r="U788" s="32" t="str">
        <x:v>ok</x:v>
      </x:c>
      <x:c r="V788" s="32" t="str">
        <x:v>ok</x:v>
      </x:c>
      <x:c r="W788" s="154" t="str">
        <x:v>{"schema_version":1,"imei":"862323089930717","timestamp":1786024553,"report_sequence":33,"task_version":"rice_tension_soil_demo","sensor_mode":"tension_soil","soil_moisture_percent":36.8,"soil_temperature_c":25.6,"soil_ec_us_cm":1016,"soil_ph":6.43,"battery_mv":4010,"csq":18,"soil_rs485_status":"ok","cycle_status":"ok","soil_tension_kpa":-37.8,"soil_tension_rs485_status":"ok"}</x:v>
      </x:c>
    </x:row>
    <x:row r="789">
      <x:c r="A789" s="72" t="n">
        <x:v>46240.91380787037</x:v>
      </x:c>
      <x:c r="B789" s="72" t="n">
        <x:v>46240.91382175926</x:v>
      </x:c>
      <x:c r="C789" s="32" t="str">
        <x:v>P18</x:v>
      </x:c>
      <x:c r="D789" s="32" t="str">
        <x:v>B3-W2-V2</x:v>
      </x:c>
      <x:c r="E789" s="32" t="str">
        <x:v>B3</x:v>
      </x:c>
      <x:c r="F789" s="32" t="str">
        <x:v>W2</x:v>
      </x:c>
      <x:c r="G789" s="32" t="str">
        <x:v>V2</x:v>
      </x:c>
      <x:c r="H789" s="32" t="str">
        <x:v>tension_soil</x:v>
      </x:c>
      <x:c r="I789" s="32" t="str">
        <x:v>862323089930718</x:v>
      </x:c>
      <x:c r="J789" s="82"/>
      <x:c r="K789" s="82" t="n">
        <x:v>-38.6</x:v>
      </x:c>
      <x:c r="L789" s="82" t="n">
        <x:v>37.6</x:v>
      </x:c>
      <x:c r="M789" s="82" t="n">
        <x:v>25.5</x:v>
      </x:c>
      <x:c r="N789" s="86" t="n">
        <x:v>1024</x:v>
      </x:c>
      <x:c r="O789" s="90" t="n">
        <x:v>6.47</x:v>
      </x:c>
      <x:c r="P789" s="150" t="n">
        <x:v>3.92</x:v>
      </x:c>
      <x:c r="Q789" s="86" t="n">
        <x:v>19</x:v>
      </x:c>
      <x:c r="R789" s="32"/>
      <x:c r="S789" s="32" t="str">
        <x:v>ok</x:v>
      </x:c>
      <x:c r="T789" s="32" t="str">
        <x:v>ok</x:v>
      </x:c>
      <x:c r="U789" s="32" t="str">
        <x:v>ok</x:v>
      </x:c>
      <x:c r="V789" s="32" t="str">
        <x:v>ok</x:v>
      </x:c>
      <x:c r="W789" s="154" t="str">
        <x:v>{"schema_version":1,"imei":"862323089930718","timestamp":1786024553,"report_sequence":33,"task_version":"rice_tension_soil_demo","sensor_mode":"tension_soil","soil_moisture_percent":37.6,"soil_temperature_c":25.5,"soil_ec_us_cm":1024,"soil_ph":6.47,"battery_mv":3920,"csq":19,"soil_rs485_status":"ok","cycle_status":"ok","soil_tension_kpa":-38.6,"soil_tension_rs485_status":"ok"}</x:v>
      </x:c>
    </x:row>
    <x:row r="790">
      <x:c r="A790" s="72" t="n">
        <x:v>46240.91380787037</x:v>
      </x:c>
      <x:c r="B790" s="72" t="n">
        <x:v>46240.91382175926</x:v>
      </x:c>
      <x:c r="C790" s="32" t="str">
        <x:v>P19</x:v>
      </x:c>
      <x:c r="D790" s="32" t="str">
        <x:v>B4-W0-V1</x:v>
      </x:c>
      <x:c r="E790" s="32" t="str">
        <x:v>B4</x:v>
      </x:c>
      <x:c r="F790" s="32" t="str">
        <x:v>W0</x:v>
      </x:c>
      <x:c r="G790" s="32" t="str">
        <x:v>V1</x:v>
      </x:c>
      <x:c r="H790" s="32" t="str">
        <x:v>water_soil</x:v>
      </x:c>
      <x:c r="I790" s="32" t="str">
        <x:v>862323089930719</x:v>
      </x:c>
      <x:c r="J790" s="82" t="n">
        <x:v>40.1</x:v>
      </x:c>
      <x:c r="K790" s="82"/>
      <x:c r="L790" s="82" t="n">
        <x:v>38.2</x:v>
      </x:c>
      <x:c r="M790" s="82" t="n">
        <x:v>25.4</x:v>
      </x:c>
      <x:c r="N790" s="86" t="n">
        <x:v>1030</x:v>
      </x:c>
      <x:c r="O790" s="90" t="n">
        <x:v>6.52</x:v>
      </x:c>
      <x:c r="P790" s="150" t="n">
        <x:v>3.938</x:v>
      </x:c>
      <x:c r="Q790" s="86" t="n">
        <x:v>20</x:v>
      </x:c>
      <x:c r="R790" s="32" t="str">
        <x:v>ok</x:v>
      </x:c>
      <x:c r="S790" s="32"/>
      <x:c r="T790" s="32" t="str">
        <x:v>ok</x:v>
      </x:c>
      <x:c r="U790" s="32" t="str">
        <x:v>ok</x:v>
      </x:c>
      <x:c r="V790" s="32" t="str">
        <x:v>ok</x:v>
      </x:c>
      <x:c r="W790" s="154" t="str">
        <x:v>{"schema_version":1,"imei":"862323089930719","timestamp":1786024553,"report_sequence":33,"task_version":"rice_w0_water_soil_demo","sensor_mode":"water_soil","soil_moisture_percent":38.2,"soil_temperature_c":25.4,"soil_ec_us_cm":1030,"soil_ph":6.52,"battery_mv":3938,"csq":20,"soil_rs485_status":"ok","cycle_status":"ok","water_level_mm":40.1,"water_4_20ma_status":"ok"}</x:v>
      </x:c>
    </x:row>
    <x:row r="791">
      <x:c r="A791" s="72" t="n">
        <x:v>46240.91380787037</x:v>
      </x:c>
      <x:c r="B791" s="72" t="n">
        <x:v>46240.91382175926</x:v>
      </x:c>
      <x:c r="C791" s="32" t="str">
        <x:v>P20</x:v>
      </x:c>
      <x:c r="D791" s="32" t="str">
        <x:v>B4-W0-V2</x:v>
      </x:c>
      <x:c r="E791" s="32" t="str">
        <x:v>B4</x:v>
      </x:c>
      <x:c r="F791" s="32" t="str">
        <x:v>W0</x:v>
      </x:c>
      <x:c r="G791" s="32" t="str">
        <x:v>V2</x:v>
      </x:c>
      <x:c r="H791" s="32" t="str">
        <x:v>water_soil</x:v>
      </x:c>
      <x:c r="I791" s="32" t="str">
        <x:v>862323089930720</x:v>
      </x:c>
      <x:c r="J791" s="82" t="n">
        <x:v>30.1</x:v>
      </x:c>
      <x:c r="K791" s="82"/>
      <x:c r="L791" s="82" t="n">
        <x:v>38.8</x:v>
      </x:c>
      <x:c r="M791" s="82" t="n">
        <x:v>25.3</x:v>
      </x:c>
      <x:c r="N791" s="86" t="n">
        <x:v>1034</x:v>
      </x:c>
      <x:c r="O791" s="90" t="n">
        <x:v>6.31</x:v>
      </x:c>
      <x:c r="P791" s="150" t="n">
        <x:v>3.956</x:v>
      </x:c>
      <x:c r="Q791" s="86" t="n">
        <x:v>21</x:v>
      </x:c>
      <x:c r="R791" s="32" t="str">
        <x:v>ok</x:v>
      </x:c>
      <x:c r="S791" s="32"/>
      <x:c r="T791" s="32" t="str">
        <x:v>ok</x:v>
      </x:c>
      <x:c r="U791" s="32" t="str">
        <x:v>ok</x:v>
      </x:c>
      <x:c r="V791" s="32" t="str">
        <x:v>ok</x:v>
      </x:c>
      <x:c r="W791" s="154" t="str">
        <x:v>{"schema_version":1,"imei":"862323089930720","timestamp":1786024553,"report_sequence":33,"task_version":"rice_w0_water_soil_demo","sensor_mode":"water_soil","soil_moisture_percent":38.8,"soil_temperature_c":25.3,"soil_ec_us_cm":1034,"soil_ph":6.31,"battery_mv":3956,"csq":21,"soil_rs485_status":"ok","cycle_status":"ok","water_level_mm":30.1,"water_4_20ma_status":"ok"}</x:v>
      </x:c>
    </x:row>
    <x:row r="792">
      <x:c r="A792" s="72" t="n">
        <x:v>46240.91380787037</x:v>
      </x:c>
      <x:c r="B792" s="72" t="n">
        <x:v>46240.91382175926</x:v>
      </x:c>
      <x:c r="C792" s="32" t="str">
        <x:v>P21</x:v>
      </x:c>
      <x:c r="D792" s="32" t="str">
        <x:v>B4-W1-V1</x:v>
      </x:c>
      <x:c r="E792" s="32" t="str">
        <x:v>B4</x:v>
      </x:c>
      <x:c r="F792" s="32" t="str">
        <x:v>W1</x:v>
      </x:c>
      <x:c r="G792" s="32" t="str">
        <x:v>V1</x:v>
      </x:c>
      <x:c r="H792" s="32" t="str">
        <x:v>tension_soil</x:v>
      </x:c>
      <x:c r="I792" s="32" t="str">
        <x:v>862323089930721</x:v>
      </x:c>
      <x:c r="J792" s="82"/>
      <x:c r="K792" s="82" t="n">
        <x:v>-24.3</x:v>
      </x:c>
      <x:c r="L792" s="82" t="n">
        <x:v>39.3</x:v>
      </x:c>
      <x:c r="M792" s="82" t="n">
        <x:v>25.2</x:v>
      </x:c>
      <x:c r="N792" s="86" t="n">
        <x:v>1038</x:v>
      </x:c>
      <x:c r="O792" s="90" t="n">
        <x:v>6.36</x:v>
      </x:c>
      <x:c r="P792" s="150" t="n">
        <x:v>3.974</x:v>
      </x:c>
      <x:c r="Q792" s="86" t="n">
        <x:v>22</x:v>
      </x:c>
      <x:c r="R792" s="32"/>
      <x:c r="S792" s="32" t="str">
        <x:v>ok</x:v>
      </x:c>
      <x:c r="T792" s="32" t="str">
        <x:v>ok</x:v>
      </x:c>
      <x:c r="U792" s="32" t="str">
        <x:v>ok</x:v>
      </x:c>
      <x:c r="V792" s="32" t="str">
        <x:v>ok</x:v>
      </x:c>
      <x:c r="W792" s="154" t="str">
        <x:v>{"schema_version":1,"imei":"862323089930721","timestamp":1786024553,"report_sequence":33,"task_version":"rice_tension_soil_demo","sensor_mode":"tension_soil","soil_moisture_percent":39.3,"soil_temperature_c":25.2,"soil_ec_us_cm":1038,"soil_ph":6.36,"battery_mv":3974,"csq":22,"soil_rs485_status":"ok","cycle_status":"ok","soil_tension_kpa":-24.3,"soil_tension_rs485_status":"ok"}</x:v>
      </x:c>
    </x:row>
    <x:row r="793">
      <x:c r="A793" s="72" t="n">
        <x:v>46240.91380787037</x:v>
      </x:c>
      <x:c r="B793" s="72" t="n">
        <x:v>46240.91382175926</x:v>
      </x:c>
      <x:c r="C793" s="32" t="str">
        <x:v>P22</x:v>
      </x:c>
      <x:c r="D793" s="32" t="str">
        <x:v>B4-W1-V2</x:v>
      </x:c>
      <x:c r="E793" s="32" t="str">
        <x:v>B4</x:v>
      </x:c>
      <x:c r="F793" s="32" t="str">
        <x:v>W1</x:v>
      </x:c>
      <x:c r="G793" s="32" t="str">
        <x:v>V2</x:v>
      </x:c>
      <x:c r="H793" s="32" t="str">
        <x:v>tension_soil</x:v>
      </x:c>
      <x:c r="I793" s="32" t="str">
        <x:v>862323089930722</x:v>
      </x:c>
      <x:c r="J793" s="82"/>
      <x:c r="K793" s="82" t="n">
        <x:v>-24.8</x:v>
      </x:c>
      <x:c r="L793" s="82" t="n">
        <x:v>39.8</x:v>
      </x:c>
      <x:c r="M793" s="82" t="n">
        <x:v>25.1</x:v>
      </x:c>
      <x:c r="N793" s="86" t="n">
        <x:v>1041</x:v>
      </x:c>
      <x:c r="O793" s="90" t="n">
        <x:v>6.4</x:v>
      </x:c>
      <x:c r="P793" s="150" t="n">
        <x:v>3.992</x:v>
      </x:c>
      <x:c r="Q793" s="86" t="n">
        <x:v>23</x:v>
      </x:c>
      <x:c r="R793" s="32"/>
      <x:c r="S793" s="32" t="str">
        <x:v>ok</x:v>
      </x:c>
      <x:c r="T793" s="32" t="str">
        <x:v>ok</x:v>
      </x:c>
      <x:c r="U793" s="32" t="str">
        <x:v>ok</x:v>
      </x:c>
      <x:c r="V793" s="32" t="str">
        <x:v>ok</x:v>
      </x:c>
      <x:c r="W793" s="154" t="str">
        <x:v>{"schema_version":1,"imei":"862323089930722","timestamp":1786024553,"report_sequence":33,"task_version":"rice_tension_soil_demo","sensor_mode":"tension_soil","soil_moisture_percent":39.8,"soil_temperature_c":25.1,"soil_ec_us_cm":1041,"soil_ph":6.4,"battery_mv":3992,"csq":23,"soil_rs485_status":"ok","cycle_status":"ok","soil_tension_kpa":-24.8,"soil_tension_rs485_status":"ok"}</x:v>
      </x:c>
    </x:row>
    <x:row r="794">
      <x:c r="A794" s="72" t="n">
        <x:v>46240.91380787037</x:v>
      </x:c>
      <x:c r="B794" s="72" t="n">
        <x:v>46240.91382175926</x:v>
      </x:c>
      <x:c r="C794" s="32" t="str">
        <x:v>P23</x:v>
      </x:c>
      <x:c r="D794" s="32" t="str">
        <x:v>B4-W2-V1</x:v>
      </x:c>
      <x:c r="E794" s="32" t="str">
        <x:v>B4</x:v>
      </x:c>
      <x:c r="F794" s="32" t="str">
        <x:v>W2</x:v>
      </x:c>
      <x:c r="G794" s="32" t="str">
        <x:v>V1</x:v>
      </x:c>
      <x:c r="H794" s="32" t="str">
        <x:v>tension_soil</x:v>
      </x:c>
      <x:c r="I794" s="32" t="str">
        <x:v>862323089930723</x:v>
      </x:c>
      <x:c r="J794" s="82"/>
      <x:c r="K794" s="82" t="n">
        <x:v>-36.4</x:v>
      </x:c>
      <x:c r="L794" s="82" t="n">
        <x:v>40.4</x:v>
      </x:c>
      <x:c r="M794" s="82" t="n">
        <x:v>24.9</x:v>
      </x:c>
      <x:c r="N794" s="86" t="n">
        <x:v>1045</x:v>
      </x:c>
      <x:c r="O794" s="90" t="n">
        <x:v>6.44</x:v>
      </x:c>
      <x:c r="P794" s="150" t="n">
        <x:v>4.01</x:v>
      </x:c>
      <x:c r="Q794" s="86" t="n">
        <x:v>24</x:v>
      </x:c>
      <x:c r="R794" s="32"/>
      <x:c r="S794" s="32" t="str">
        <x:v>ok</x:v>
      </x:c>
      <x:c r="T794" s="32" t="str">
        <x:v>ok</x:v>
      </x:c>
      <x:c r="U794" s="32" t="str">
        <x:v>ok</x:v>
      </x:c>
      <x:c r="V794" s="32" t="str">
        <x:v>ok</x:v>
      </x:c>
      <x:c r="W794" s="154" t="str">
        <x:v>{"schema_version":1,"imei":"862323089930723","timestamp":1786024553,"report_sequence":33,"task_version":"rice_tension_soil_demo","sensor_mode":"tension_soil","soil_moisture_percent":40.4,"soil_temperature_c":24.9,"soil_ec_us_cm":1045,"soil_ph":6.44,"battery_mv":4010,"csq":24,"soil_rs485_status":"ok","cycle_status":"ok","soil_tension_kpa":-36.4,"soil_tension_rs485_status":"ok"}</x:v>
      </x:c>
    </x:row>
    <x:row r="795">
      <x:c r="A795" s="72" t="n">
        <x:v>46240.91380787037</x:v>
      </x:c>
      <x:c r="B795" s="72" t="n">
        <x:v>46240.91382175926</x:v>
      </x:c>
      <x:c r="C795" s="32" t="str">
        <x:v>P24</x:v>
      </x:c>
      <x:c r="D795" s="32" t="str">
        <x:v>B4-W2-V2</x:v>
      </x:c>
      <x:c r="E795" s="32" t="str">
        <x:v>B4</x:v>
      </x:c>
      <x:c r="F795" s="32" t="str">
        <x:v>W2</x:v>
      </x:c>
      <x:c r="G795" s="32" t="str">
        <x:v>V2</x:v>
      </x:c>
      <x:c r="H795" s="32" t="str">
        <x:v>tension_soil</x:v>
      </x:c>
      <x:c r="I795" s="32" t="str">
        <x:v>862323089930724</x:v>
      </x:c>
      <x:c r="J795" s="82"/>
      <x:c r="K795" s="82" t="n">
        <x:v>-36.9</x:v>
      </x:c>
      <x:c r="L795" s="82" t="n">
        <x:v>32.9</x:v>
      </x:c>
      <x:c r="M795" s="82" t="n">
        <x:v>24.8</x:v>
      </x:c>
      <x:c r="N795" s="86" t="n">
        <x:v>1049</x:v>
      </x:c>
      <x:c r="O795" s="90" t="n">
        <x:v>6.48</x:v>
      </x:c>
      <x:c r="P795" s="150" t="n">
        <x:v>3.92</x:v>
      </x:c>
      <x:c r="Q795" s="86" t="n">
        <x:v>17</x:v>
      </x:c>
      <x:c r="R795" s="32"/>
      <x:c r="S795" s="32" t="str">
        <x:v>ok</x:v>
      </x:c>
      <x:c r="T795" s="32" t="str">
        <x:v>ok</x:v>
      </x:c>
      <x:c r="U795" s="32" t="str">
        <x:v>ok</x:v>
      </x:c>
      <x:c r="V795" s="32" t="str">
        <x:v>ok</x:v>
      </x:c>
      <x:c r="W795" s="154" t="str">
        <x:v>{"schema_version":1,"imei":"862323089930724","timestamp":1786024553,"report_sequence":33,"task_version":"rice_tension_soil_demo","sensor_mode":"tension_soil","soil_moisture_percent":32.9,"soil_temperature_c":24.8,"soil_ec_us_cm":1049,"soil_ph":6.48,"battery_mv":3920,"csq":17,"soil_rs485_status":"ok","cycle_status":"ok","soil_tension_kpa":-36.9,"soil_tension_rs485_status":"ok"}</x:v>
      </x:c>
    </x:row>
    <x:row r="796">
      <x:c r="A796" s="72" t="n">
        <x:v>46240.917280092595</x:v>
      </x:c>
      <x:c r="B796" s="72" t="n">
        <x:v>46240.91729398148</x:v>
      </x:c>
      <x:c r="C796" s="32" t="str">
        <x:v>P01</x:v>
      </x:c>
      <x:c r="D796" s="32" t="str">
        <x:v>B1-W0-V1</x:v>
      </x:c>
      <x:c r="E796" s="32" t="str">
        <x:v>B1</x:v>
      </x:c>
      <x:c r="F796" s="32" t="str">
        <x:v>W0</x:v>
      </x:c>
      <x:c r="G796" s="32" t="str">
        <x:v>V1</x:v>
      </x:c>
      <x:c r="H796" s="32" t="str">
        <x:v>water_soil</x:v>
      </x:c>
      <x:c r="I796" s="32" t="str">
        <x:v>862323089930701</x:v>
      </x:c>
      <x:c r="J796" s="82" t="n">
        <x:v>27.2</x:v>
      </x:c>
      <x:c r="K796" s="82"/>
      <x:c r="L796" s="82" t="n">
        <x:v>33.5</x:v>
      </x:c>
      <x:c r="M796" s="82" t="n">
        <x:v>24.7</x:v>
      </x:c>
      <x:c r="N796" s="86" t="n">
        <x:v>766</x:v>
      </x:c>
      <x:c r="O796" s="90" t="n">
        <x:v>6.33</x:v>
      </x:c>
      <x:c r="P796" s="150" t="n">
        <x:v>3.938</x:v>
      </x:c>
      <x:c r="Q796" s="86" t="n">
        <x:v>18</x:v>
      </x:c>
      <x:c r="R796" s="32" t="str">
        <x:v>ok</x:v>
      </x:c>
      <x:c r="S796" s="32"/>
      <x:c r="T796" s="32" t="str">
        <x:v>ok</x:v>
      </x:c>
      <x:c r="U796" s="32" t="str">
        <x:v>ok</x:v>
      </x:c>
      <x:c r="V796" s="32" t="str">
        <x:v>ok</x:v>
      </x:c>
      <x:c r="W796" s="154" t="str">
        <x:v>{"schema_version":1,"imei":"862323089930701","timestamp":1786024853,"report_sequence":34,"task_version":"rice_w0_water_soil_demo","sensor_mode":"water_soil","soil_moisture_percent":33.5,"soil_temperature_c":24.7,"soil_ec_us_cm":766,"soil_ph":6.33,"battery_mv":3938,"csq":18,"soil_rs485_status":"ok","cycle_status":"ok","water_level_mm":27.2,"water_4_20ma_status":"ok"}</x:v>
      </x:c>
    </x:row>
    <x:row r="797">
      <x:c r="A797" s="72" t="n">
        <x:v>46240.917280092595</x:v>
      </x:c>
      <x:c r="B797" s="72" t="n">
        <x:v>46240.91729398148</x:v>
      </x:c>
      <x:c r="C797" s="32" t="str">
        <x:v>P02</x:v>
      </x:c>
      <x:c r="D797" s="32" t="str">
        <x:v>B1-W0-V2</x:v>
      </x:c>
      <x:c r="E797" s="32" t="str">
        <x:v>B1</x:v>
      </x:c>
      <x:c r="F797" s="32" t="str">
        <x:v>W0</x:v>
      </x:c>
      <x:c r="G797" s="32" t="str">
        <x:v>V2</x:v>
      </x:c>
      <x:c r="H797" s="32" t="str">
        <x:v>water_soil</x:v>
      </x:c>
      <x:c r="I797" s="32" t="str">
        <x:v>862323089930702</x:v>
      </x:c>
      <x:c r="J797" s="82" t="n">
        <x:v>29.5</x:v>
      </x:c>
      <x:c r="K797" s="82"/>
      <x:c r="L797" s="82" t="n">
        <x:v>34.2</x:v>
      </x:c>
      <x:c r="M797" s="82" t="n">
        <x:v>24.7</x:v>
      </x:c>
      <x:c r="N797" s="86" t="n">
        <x:v>773</x:v>
      </x:c>
      <x:c r="O797" s="90" t="n">
        <x:v>6.37</x:v>
      </x:c>
      <x:c r="P797" s="150" t="n">
        <x:v>3.956</x:v>
      </x:c>
      <x:c r="Q797" s="86" t="n">
        <x:v>19</x:v>
      </x:c>
      <x:c r="R797" s="32" t="str">
        <x:v>ok</x:v>
      </x:c>
      <x:c r="S797" s="32"/>
      <x:c r="T797" s="32" t="str">
        <x:v>ok</x:v>
      </x:c>
      <x:c r="U797" s="32" t="str">
        <x:v>ok</x:v>
      </x:c>
      <x:c r="V797" s="32" t="str">
        <x:v>ok</x:v>
      </x:c>
      <x:c r="W797" s="154" t="str">
        <x:v>{"schema_version":1,"imei":"862323089930702","timestamp":1786024853,"report_sequence":34,"task_version":"rice_w0_water_soil_demo","sensor_mode":"water_soil","soil_moisture_percent":34.2,"soil_temperature_c":24.7,"soil_ec_us_cm":773,"soil_ph":6.37,"battery_mv":3956,"csq":19,"soil_rs485_status":"ok","cycle_status":"ok","water_level_mm":29.5,"water_4_20ma_status":"ok"}</x:v>
      </x:c>
    </x:row>
    <x:row r="798">
      <x:c r="A798" s="72" t="n">
        <x:v>46240.917280092595</x:v>
      </x:c>
      <x:c r="B798" s="72" t="n">
        <x:v>46240.91729398148</x:v>
      </x:c>
      <x:c r="C798" s="32" t="str">
        <x:v>P03</x:v>
      </x:c>
      <x:c r="D798" s="32" t="str">
        <x:v>B1-W1-V1</x:v>
      </x:c>
      <x:c r="E798" s="32" t="str">
        <x:v>B1</x:v>
      </x:c>
      <x:c r="F798" s="32" t="str">
        <x:v>W1</x:v>
      </x:c>
      <x:c r="G798" s="32" t="str">
        <x:v>V1</x:v>
      </x:c>
      <x:c r="H798" s="32" t="str">
        <x:v>tension_soil</x:v>
      </x:c>
      <x:c r="I798" s="32" t="str">
        <x:v>862323089930703</x:v>
      </x:c>
      <x:c r="J798" s="82"/>
      <x:c r="K798" s="82" t="n">
        <x:v>-24</x:v>
      </x:c>
      <x:c r="L798" s="82" t="n">
        <x:v>35</x:v>
      </x:c>
      <x:c r="M798" s="82" t="n">
        <x:v>24.6</x:v>
      </x:c>
      <x:c r="N798" s="86" t="n">
        <x:v>782</x:v>
      </x:c>
      <x:c r="O798" s="90" t="n">
        <x:v>6.42</x:v>
      </x:c>
      <x:c r="P798" s="150" t="n">
        <x:v>3.974</x:v>
      </x:c>
      <x:c r="Q798" s="86" t="n">
        <x:v>20</x:v>
      </x:c>
      <x:c r="R798" s="32"/>
      <x:c r="S798" s="32" t="str">
        <x:v>ok</x:v>
      </x:c>
      <x:c r="T798" s="32" t="str">
        <x:v>ok</x:v>
      </x:c>
      <x:c r="U798" s="32" t="str">
        <x:v>ok</x:v>
      </x:c>
      <x:c r="V798" s="32" t="str">
        <x:v>ok</x:v>
      </x:c>
      <x:c r="W798" s="154" t="str">
        <x:v>{"schema_version":1,"imei":"862323089930703","timestamp":1786024853,"report_sequence":34,"task_version":"rice_tension_soil_demo","sensor_mode":"tension_soil","soil_moisture_percent":35,"soil_temperature_c":24.6,"soil_ec_us_cm":782,"soil_ph":6.42,"battery_mv":3974,"csq":20,"soil_rs485_status":"ok","cycle_status":"ok","soil_tension_kpa":-24,"soil_tension_rs485_status":"ok"}</x:v>
      </x:c>
    </x:row>
    <x:row r="799">
      <x:c r="A799" s="72" t="n">
        <x:v>46240.917280092595</x:v>
      </x:c>
      <x:c r="B799" s="72" t="n">
        <x:v>46240.91729398148</x:v>
      </x:c>
      <x:c r="C799" s="32" t="str">
        <x:v>P04</x:v>
      </x:c>
      <x:c r="D799" s="32" t="str">
        <x:v>B1-W1-V2</x:v>
      </x:c>
      <x:c r="E799" s="32" t="str">
        <x:v>B1</x:v>
      </x:c>
      <x:c r="F799" s="32" t="str">
        <x:v>W1</x:v>
      </x:c>
      <x:c r="G799" s="32" t="str">
        <x:v>V2</x:v>
      </x:c>
      <x:c r="H799" s="32" t="str">
        <x:v>tension_soil</x:v>
      </x:c>
      <x:c r="I799" s="32" t="str">
        <x:v>862323089930704</x:v>
      </x:c>
      <x:c r="J799" s="82"/>
      <x:c r="K799" s="82" t="n">
        <x:v>-25</x:v>
      </x:c>
      <x:c r="L799" s="82" t="n">
        <x:v>36</x:v>
      </x:c>
      <x:c r="M799" s="82" t="n">
        <x:v>24.6</x:v>
      </x:c>
      <x:c r="N799" s="86" t="n">
        <x:v>793</x:v>
      </x:c>
      <x:c r="O799" s="90" t="n">
        <x:v>6.47</x:v>
      </x:c>
      <x:c r="P799" s="150" t="n">
        <x:v>3.992</x:v>
      </x:c>
      <x:c r="Q799" s="86" t="n">
        <x:v>21</x:v>
      </x:c>
      <x:c r="R799" s="32"/>
      <x:c r="S799" s="32" t="str">
        <x:v>ok</x:v>
      </x:c>
      <x:c r="T799" s="32" t="str">
        <x:v>ok</x:v>
      </x:c>
      <x:c r="U799" s="32" t="str">
        <x:v>ok</x:v>
      </x:c>
      <x:c r="V799" s="32" t="str">
        <x:v>ok</x:v>
      </x:c>
      <x:c r="W799" s="154" t="str">
        <x:v>{"schema_version":1,"imei":"862323089930704","timestamp":1786024853,"report_sequence":34,"task_version":"rice_tension_soil_demo","sensor_mode":"tension_soil","soil_moisture_percent":36,"soil_temperature_c":24.6,"soil_ec_us_cm":793,"soil_ph":6.47,"battery_mv":3992,"csq":21,"soil_rs485_status":"ok","cycle_status":"ok","soil_tension_kpa":-25,"soil_tension_rs485_status":"ok"}</x:v>
      </x:c>
    </x:row>
    <x:row r="800">
      <x:c r="A800" s="72" t="n">
        <x:v>46240.917280092595</x:v>
      </x:c>
      <x:c r="B800" s="72" t="n">
        <x:v>46240.91729398148</x:v>
      </x:c>
      <x:c r="C800" s="32" t="str">
        <x:v>P05</x:v>
      </x:c>
      <x:c r="D800" s="32" t="str">
        <x:v>B1-W2-V1</x:v>
      </x:c>
      <x:c r="E800" s="32" t="str">
        <x:v>B1</x:v>
      </x:c>
      <x:c r="F800" s="32" t="str">
        <x:v>W2</x:v>
      </x:c>
      <x:c r="G800" s="32" t="str">
        <x:v>V1</x:v>
      </x:c>
      <x:c r="H800" s="32" t="str">
        <x:v>tension_soil</x:v>
      </x:c>
      <x:c r="I800" s="32" t="str">
        <x:v>862323089930705</x:v>
      </x:c>
      <x:c r="J800" s="82"/>
      <x:c r="K800" s="82" t="n">
        <x:v>-32.1</x:v>
      </x:c>
      <x:c r="L800" s="82" t="n">
        <x:v>37.1</x:v>
      </x:c>
      <x:c r="M800" s="82" t="n">
        <x:v>24.6</x:v>
      </x:c>
      <x:c r="N800" s="86" t="n">
        <x:v>806</x:v>
      </x:c>
      <x:c r="O800" s="90" t="n">
        <x:v>6.27</x:v>
      </x:c>
      <x:c r="P800" s="150" t="n">
        <x:v>4.01</x:v>
      </x:c>
      <x:c r="Q800" s="86" t="n">
        <x:v>22</x:v>
      </x:c>
      <x:c r="R800" s="32"/>
      <x:c r="S800" s="32" t="str">
        <x:v>ok</x:v>
      </x:c>
      <x:c r="T800" s="32" t="str">
        <x:v>ok</x:v>
      </x:c>
      <x:c r="U800" s="32" t="str">
        <x:v>ok</x:v>
      </x:c>
      <x:c r="V800" s="32" t="str">
        <x:v>ok</x:v>
      </x:c>
      <x:c r="W800" s="154" t="str">
        <x:v>{"schema_version":1,"imei":"862323089930705","timestamp":1786024853,"report_sequence":34,"task_version":"rice_tension_soil_demo","sensor_mode":"tension_soil","soil_moisture_percent":37.1,"soil_temperature_c":24.6,"soil_ec_us_cm":806,"soil_ph":6.27,"battery_mv":4010,"csq":22,"soil_rs485_status":"ok","cycle_status":"ok","soil_tension_kpa":-32.1,"soil_tension_rs485_status":"ok"}</x:v>
      </x:c>
    </x:row>
    <x:row r="801">
      <x:c r="A801" s="72" t="n">
        <x:v>46240.917280092595</x:v>
      </x:c>
      <x:c r="B801" s="72" t="n">
        <x:v>46240.91729398148</x:v>
      </x:c>
      <x:c r="C801" s="32" t="str">
        <x:v>P06</x:v>
      </x:c>
      <x:c r="D801" s="32" t="str">
        <x:v>B1-W2-V2</x:v>
      </x:c>
      <x:c r="E801" s="32" t="str">
        <x:v>B1</x:v>
      </x:c>
      <x:c r="F801" s="32" t="str">
        <x:v>W2</x:v>
      </x:c>
      <x:c r="G801" s="32" t="str">
        <x:v>V2</x:v>
      </x:c>
      <x:c r="H801" s="32" t="str">
        <x:v>tension_soil</x:v>
      </x:c>
      <x:c r="I801" s="32" t="str">
        <x:v>862323089930706</x:v>
      </x:c>
      <x:c r="J801" s="82"/>
      <x:c r="K801" s="82" t="n">
        <x:v>-33.3</x:v>
      </x:c>
      <x:c r="L801" s="82" t="n">
        <x:v>38.3</x:v>
      </x:c>
      <x:c r="M801" s="82" t="n">
        <x:v>24.7</x:v>
      </x:c>
      <x:c r="N801" s="86" t="n">
        <x:v>822</x:v>
      </x:c>
      <x:c r="O801" s="90" t="n">
        <x:v>6.32</x:v>
      </x:c>
      <x:c r="P801" s="150" t="n">
        <x:v>3.92</x:v>
      </x:c>
      <x:c r="Q801" s="86" t="n">
        <x:v>23</x:v>
      </x:c>
      <x:c r="R801" s="32"/>
      <x:c r="S801" s="32" t="str">
        <x:v>ok</x:v>
      </x:c>
      <x:c r="T801" s="32" t="str">
        <x:v>ok</x:v>
      </x:c>
      <x:c r="U801" s="32" t="str">
        <x:v>ok</x:v>
      </x:c>
      <x:c r="V801" s="32" t="str">
        <x:v>ok</x:v>
      </x:c>
      <x:c r="W801" s="154" t="str">
        <x:v>{"schema_version":1,"imei":"862323089930706","timestamp":1786024853,"report_sequence":34,"task_version":"rice_tension_soil_demo","sensor_mode":"tension_soil","soil_moisture_percent":38.3,"soil_temperature_c":24.7,"soil_ec_us_cm":822,"soil_ph":6.32,"battery_mv":3920,"csq":23,"soil_rs485_status":"ok","cycle_status":"ok","soil_tension_kpa":-33.3,"soil_tension_rs485_status":"ok"}</x:v>
      </x:c>
    </x:row>
    <x:row r="802">
      <x:c r="A802" s="72" t="n">
        <x:v>46240.917280092595</x:v>
      </x:c>
      <x:c r="B802" s="72" t="n">
        <x:v>46240.91729398148</x:v>
      </x:c>
      <x:c r="C802" s="32" t="str">
        <x:v>P07</x:v>
      </x:c>
      <x:c r="D802" s="32" t="str">
        <x:v>B2-W0-V1</x:v>
      </x:c>
      <x:c r="E802" s="32" t="str">
        <x:v>B2</x:v>
      </x:c>
      <x:c r="F802" s="32" t="str">
        <x:v>W0</x:v>
      </x:c>
      <x:c r="G802" s="32" t="str">
        <x:v>V1</x:v>
      </x:c>
      <x:c r="H802" s="32" t="str">
        <x:v>water_soil</x:v>
      </x:c>
      <x:c r="I802" s="32" t="str">
        <x:v>862323089930707</x:v>
      </x:c>
      <x:c r="J802" s="82" t="n">
        <x:v>33.5</x:v>
      </x:c>
      <x:c r="K802" s="82"/>
      <x:c r="L802" s="82" t="n">
        <x:v>39.6</x:v>
      </x:c>
      <x:c r="M802" s="82" t="n">
        <x:v>24.7</x:v>
      </x:c>
      <x:c r="N802" s="86" t="n">
        <x:v>839</x:v>
      </x:c>
      <x:c r="O802" s="90" t="n">
        <x:v>6.38</x:v>
      </x:c>
      <x:c r="P802" s="150" t="n">
        <x:v>3.938</x:v>
      </x:c>
      <x:c r="Q802" s="86" t="n">
        <x:v>24</x:v>
      </x:c>
      <x:c r="R802" s="32" t="str">
        <x:v>ok</x:v>
      </x:c>
      <x:c r="S802" s="32"/>
      <x:c r="T802" s="32" t="str">
        <x:v>ok</x:v>
      </x:c>
      <x:c r="U802" s="32" t="str">
        <x:v>ok</x:v>
      </x:c>
      <x:c r="V802" s="32" t="str">
        <x:v>ok</x:v>
      </x:c>
      <x:c r="W802" s="154" t="str">
        <x:v>{"schema_version":1,"imei":"862323089930707","timestamp":1786024853,"report_sequence":34,"task_version":"rice_w0_water_soil_demo","sensor_mode":"water_soil","soil_moisture_percent":39.6,"soil_temperature_c":24.7,"soil_ec_us_cm":839,"soil_ph":6.38,"battery_mv":3938,"csq":24,"soil_rs485_status":"ok","cycle_status":"ok","water_level_mm":33.5,"water_4_20ma_status":"ok"}</x:v>
      </x:c>
    </x:row>
    <x:row r="803">
      <x:c r="A803" s="72" t="n">
        <x:v>46240.917280092595</x:v>
      </x:c>
      <x:c r="B803" s="72" t="n">
        <x:v>46240.91729398148</x:v>
      </x:c>
      <x:c r="C803" s="32" t="str">
        <x:v>P08</x:v>
      </x:c>
      <x:c r="D803" s="32" t="str">
        <x:v>B2-W0-V2</x:v>
      </x:c>
      <x:c r="E803" s="32" t="str">
        <x:v>B2</x:v>
      </x:c>
      <x:c r="F803" s="32" t="str">
        <x:v>W0</x:v>
      </x:c>
      <x:c r="G803" s="32" t="str">
        <x:v>V2</x:v>
      </x:c>
      <x:c r="H803" s="32" t="str">
        <x:v>water_soil</x:v>
      </x:c>
      <x:c r="I803" s="32" t="str">
        <x:v>862323089930708</x:v>
      </x:c>
      <x:c r="J803" s="82" t="n">
        <x:v>25.5</x:v>
      </x:c>
      <x:c r="K803" s="82"/>
      <x:c r="L803" s="82" t="n">
        <x:v>33</x:v>
      </x:c>
      <x:c r="M803" s="82" t="n">
        <x:v>24.8</x:v>
      </x:c>
      <x:c r="N803" s="86" t="n">
        <x:v>858</x:v>
      </x:c>
      <x:c r="O803" s="90" t="n">
        <x:v>6.43</x:v>
      </x:c>
      <x:c r="P803" s="150" t="n">
        <x:v>3.956</x:v>
      </x:c>
      <x:c r="Q803" s="86" t="n">
        <x:v>17</x:v>
      </x:c>
      <x:c r="R803" s="32" t="str">
        <x:v>ok</x:v>
      </x:c>
      <x:c r="S803" s="32"/>
      <x:c r="T803" s="32" t="str">
        <x:v>ok</x:v>
      </x:c>
      <x:c r="U803" s="32" t="str">
        <x:v>ok</x:v>
      </x:c>
      <x:c r="V803" s="32" t="str">
        <x:v>ok</x:v>
      </x:c>
      <x:c r="W803" s="154" t="str">
        <x:v>{"schema_version":1,"imei":"862323089930708","timestamp":1786024853,"report_sequence":34,"task_version":"rice_w0_water_soil_demo","sensor_mode":"water_soil","soil_moisture_percent":33,"soil_temperature_c":24.8,"soil_ec_us_cm":858,"soil_ph":6.43,"battery_mv":3956,"csq":17,"soil_rs485_status":"ok","cycle_status":"ok","water_level_mm":25.5,"water_4_20ma_status":"ok"}</x:v>
      </x:c>
    </x:row>
    <x:row r="804">
      <x:c r="A804" s="72" t="n">
        <x:v>46240.917280092595</x:v>
      </x:c>
      <x:c r="B804" s="72" t="n">
        <x:v>46240.91729398148</x:v>
      </x:c>
      <x:c r="C804" s="32" t="str">
        <x:v>P09</x:v>
      </x:c>
      <x:c r="D804" s="32" t="str">
        <x:v>B2-W1-V1</x:v>
      </x:c>
      <x:c r="E804" s="32" t="str">
        <x:v>B2</x:v>
      </x:c>
      <x:c r="F804" s="32" t="str">
        <x:v>W1</x:v>
      </x:c>
      <x:c r="G804" s="32" t="str">
        <x:v>V1</x:v>
      </x:c>
      <x:c r="H804" s="32" t="str">
        <x:v>tension_soil</x:v>
      </x:c>
      <x:c r="I804" s="32" t="str">
        <x:v>862323089930709</x:v>
      </x:c>
      <x:c r="J804" s="82"/>
      <x:c r="K804" s="82" t="n">
        <x:v>-26.4</x:v>
      </x:c>
      <x:c r="L804" s="82" t="n">
        <x:v>34.4</x:v>
      </x:c>
      <x:c r="M804" s="82" t="n">
        <x:v>25</x:v>
      </x:c>
      <x:c r="N804" s="86" t="n">
        <x:v>878</x:v>
      </x:c>
      <x:c r="O804" s="90" t="n">
        <x:v>6.49</x:v>
      </x:c>
      <x:c r="P804" s="150" t="n">
        <x:v>3.974</x:v>
      </x:c>
      <x:c r="Q804" s="86" t="n">
        <x:v>18</x:v>
      </x:c>
      <x:c r="R804" s="32"/>
      <x:c r="S804" s="32" t="str">
        <x:v>ok</x:v>
      </x:c>
      <x:c r="T804" s="32" t="str">
        <x:v>ok</x:v>
      </x:c>
      <x:c r="U804" s="32" t="str">
        <x:v>ok</x:v>
      </x:c>
      <x:c r="V804" s="32" t="str">
        <x:v>ok</x:v>
      </x:c>
      <x:c r="W804" s="154" t="str">
        <x:v>{"schema_version":1,"imei":"862323089930709","timestamp":1786024853,"report_sequence":34,"task_version":"rice_tension_soil_demo","sensor_mode":"tension_soil","soil_moisture_percent":34.4,"soil_temperature_c":25,"soil_ec_us_cm":878,"soil_ph":6.49,"battery_mv":3974,"csq":18,"soil_rs485_status":"ok","cycle_status":"ok","soil_tension_kpa":-26.4,"soil_tension_rs485_status":"ok"}</x:v>
      </x:c>
    </x:row>
    <x:row r="805">
      <x:c r="A805" s="72" t="n">
        <x:v>46240.917280092595</x:v>
      </x:c>
      <x:c r="B805" s="72" t="n">
        <x:v>46240.91729398148</x:v>
      </x:c>
      <x:c r="C805" s="32" t="str">
        <x:v>P10</x:v>
      </x:c>
      <x:c r="D805" s="32" t="str">
        <x:v>B2-W1-V2</x:v>
      </x:c>
      <x:c r="E805" s="32" t="str">
        <x:v>B2</x:v>
      </x:c>
      <x:c r="F805" s="32" t="str">
        <x:v>W1</x:v>
      </x:c>
      <x:c r="G805" s="32" t="str">
        <x:v>V2</x:v>
      </x:c>
      <x:c r="H805" s="32" t="str">
        <x:v>tension_soil</x:v>
      </x:c>
      <x:c r="I805" s="32" t="str">
        <x:v>862323089930710</x:v>
      </x:c>
      <x:c r="J805" s="82"/>
      <x:c r="K805" s="82" t="n">
        <x:v>-22.9</x:v>
      </x:c>
      <x:c r="L805" s="82" t="n">
        <x:v>35.9</x:v>
      </x:c>
      <x:c r="M805" s="82" t="n">
        <x:v>25.1</x:v>
      </x:c>
      <x:c r="N805" s="86" t="n">
        <x:v>899</x:v>
      </x:c>
      <x:c r="O805" s="90" t="n">
        <x:v>6.3</x:v>
      </x:c>
      <x:c r="P805" s="150" t="n">
        <x:v>3.992</x:v>
      </x:c>
      <x:c r="Q805" s="86" t="n">
        <x:v>19</x:v>
      </x:c>
      <x:c r="R805" s="32"/>
      <x:c r="S805" s="32" t="str">
        <x:v>ok</x:v>
      </x:c>
      <x:c r="T805" s="32" t="str">
        <x:v>ok</x:v>
      </x:c>
      <x:c r="U805" s="32" t="str">
        <x:v>ok</x:v>
      </x:c>
      <x:c r="V805" s="32" t="str">
        <x:v>ok</x:v>
      </x:c>
      <x:c r="W805" s="154" t="str">
        <x:v>{"schema_version":1,"imei":"862323089930710","timestamp":1786024853,"report_sequence":34,"task_version":"rice_tension_soil_demo","sensor_mode":"tension_soil","soil_moisture_percent":35.9,"soil_temperature_c":25.1,"soil_ec_us_cm":899,"soil_ph":6.3,"battery_mv":3992,"csq":19,"soil_rs485_status":"ok","cycle_status":"ok","soil_tension_kpa":-22.9,"soil_tension_rs485_status":"ok"}</x:v>
      </x:c>
    </x:row>
    <x:row r="806">
      <x:c r="A806" s="72" t="n">
        <x:v>46240.917280092595</x:v>
      </x:c>
      <x:c r="B806" s="72" t="n">
        <x:v>46240.91729398148</x:v>
      </x:c>
      <x:c r="C806" s="32" t="str">
        <x:v>P11</x:v>
      </x:c>
      <x:c r="D806" s="32" t="str">
        <x:v>B2-W2-V1</x:v>
      </x:c>
      <x:c r="E806" s="32" t="str">
        <x:v>B2</x:v>
      </x:c>
      <x:c r="F806" s="32" t="str">
        <x:v>W2</x:v>
      </x:c>
      <x:c r="G806" s="32" t="str">
        <x:v>V1</x:v>
      </x:c>
      <x:c r="H806" s="32" t="str">
        <x:v>tension_soil</x:v>
      </x:c>
      <x:c r="I806" s="32" t="str">
        <x:v>862323089930711</x:v>
      </x:c>
      <x:c r="J806" s="82"/>
      <x:c r="K806" s="82" t="n">
        <x:v>-35.4</x:v>
      </x:c>
      <x:c r="L806" s="82" t="n">
        <x:v>37.4</x:v>
      </x:c>
      <x:c r="M806" s="82" t="n">
        <x:v>25.2</x:v>
      </x:c>
      <x:c r="N806" s="86" t="n">
        <x:v>920</x:v>
      </x:c>
      <x:c r="O806" s="90" t="n">
        <x:v>6.36</x:v>
      </x:c>
      <x:c r="P806" s="150" t="n">
        <x:v>4.01</x:v>
      </x:c>
      <x:c r="Q806" s="86" t="n">
        <x:v>20</x:v>
      </x:c>
      <x:c r="R806" s="32"/>
      <x:c r="S806" s="32" t="str">
        <x:v>ok</x:v>
      </x:c>
      <x:c r="T806" s="32" t="str">
        <x:v>ok</x:v>
      </x:c>
      <x:c r="U806" s="32" t="str">
        <x:v>ok</x:v>
      </x:c>
      <x:c r="V806" s="32" t="str">
        <x:v>ok</x:v>
      </x:c>
      <x:c r="W806" s="154" t="str">
        <x:v>{"schema_version":1,"imei":"862323089930711","timestamp":1786024853,"report_sequence":34,"task_version":"rice_tension_soil_demo","sensor_mode":"tension_soil","soil_moisture_percent":37.4,"soil_temperature_c":25.2,"soil_ec_us_cm":920,"soil_ph":6.36,"battery_mv":4010,"csq":20,"soil_rs485_status":"ok","cycle_status":"ok","soil_tension_kpa":-35.4,"soil_tension_rs485_status":"ok"}</x:v>
      </x:c>
    </x:row>
    <x:row r="807">
      <x:c r="A807" s="72" t="n">
        <x:v>46240.917280092595</x:v>
      </x:c>
      <x:c r="B807" s="72" t="n">
        <x:v>46240.91729398148</x:v>
      </x:c>
      <x:c r="C807" s="32" t="str">
        <x:v>P12</x:v>
      </x:c>
      <x:c r="D807" s="32" t="str">
        <x:v>B2-W2-V2</x:v>
      </x:c>
      <x:c r="E807" s="32" t="str">
        <x:v>B2</x:v>
      </x:c>
      <x:c r="F807" s="32" t="str">
        <x:v>W2</x:v>
      </x:c>
      <x:c r="G807" s="32" t="str">
        <x:v>V2</x:v>
      </x:c>
      <x:c r="H807" s="32" t="str">
        <x:v>tension_soil</x:v>
      </x:c>
      <x:c r="I807" s="32" t="str">
        <x:v>862323089930712</x:v>
      </x:c>
      <x:c r="J807" s="82"/>
      <x:c r="K807" s="82" t="n">
        <x:v>-36.9</x:v>
      </x:c>
      <x:c r="L807" s="82" t="n">
        <x:v>38.9</x:v>
      </x:c>
      <x:c r="M807" s="82" t="n">
        <x:v>25.3</x:v>
      </x:c>
      <x:c r="N807" s="86" t="n">
        <x:v>940</x:v>
      </x:c>
      <x:c r="O807" s="90" t="n">
        <x:v>6.41</x:v>
      </x:c>
      <x:c r="P807" s="150" t="n">
        <x:v>3.92</x:v>
      </x:c>
      <x:c r="Q807" s="86" t="n">
        <x:v>21</x:v>
      </x:c>
      <x:c r="R807" s="32"/>
      <x:c r="S807" s="32" t="str">
        <x:v>ok</x:v>
      </x:c>
      <x:c r="T807" s="32" t="str">
        <x:v>ok</x:v>
      </x:c>
      <x:c r="U807" s="32" t="str">
        <x:v>ok</x:v>
      </x:c>
      <x:c r="V807" s="32" t="str">
        <x:v>ok</x:v>
      </x:c>
      <x:c r="W807" s="154" t="str">
        <x:v>{"schema_version":1,"imei":"862323089930712","timestamp":1786024853,"report_sequence":34,"task_version":"rice_tension_soil_demo","sensor_mode":"tension_soil","soil_moisture_percent":38.9,"soil_temperature_c":25.3,"soil_ec_us_cm":940,"soil_ph":6.41,"battery_mv":3920,"csq":21,"soil_rs485_status":"ok","cycle_status":"ok","soil_tension_kpa":-36.9,"soil_tension_rs485_status":"ok"}</x:v>
      </x:c>
    </x:row>
    <x:row r="808">
      <x:c r="A808" s="72" t="n">
        <x:v>46240.917280092595</x:v>
      </x:c>
      <x:c r="B808" s="72" t="n">
        <x:v>46240.91729398148</x:v>
      </x:c>
      <x:c r="C808" s="32" t="str">
        <x:v>P13</x:v>
      </x:c>
      <x:c r="D808" s="32" t="str">
        <x:v>B3-W0-V1</x:v>
      </x:c>
      <x:c r="E808" s="32" t="str">
        <x:v>B3</x:v>
      </x:c>
      <x:c r="F808" s="32" t="str">
        <x:v>W0</x:v>
      </x:c>
      <x:c r="G808" s="32" t="str">
        <x:v>V1</x:v>
      </x:c>
      <x:c r="H808" s="32" t="str">
        <x:v>water_soil</x:v>
      </x:c>
      <x:c r="I808" s="32" t="str">
        <x:v>862323089930713</x:v>
      </x:c>
      <x:c r="J808" s="82" t="n">
        <x:v>34.3</x:v>
      </x:c>
      <x:c r="K808" s="82"/>
      <x:c r="L808" s="82" t="n">
        <x:v>40.3</x:v>
      </x:c>
      <x:c r="M808" s="82" t="n">
        <x:v>25.4</x:v>
      </x:c>
      <x:c r="N808" s="86" t="n">
        <x:v>959</x:v>
      </x:c>
      <x:c r="O808" s="90" t="n">
        <x:v>6.47</x:v>
      </x:c>
      <x:c r="P808" s="150" t="n">
        <x:v>3.938</x:v>
      </x:c>
      <x:c r="Q808" s="86" t="n">
        <x:v>22</x:v>
      </x:c>
      <x:c r="R808" s="32" t="str">
        <x:v>ok</x:v>
      </x:c>
      <x:c r="S808" s="32"/>
      <x:c r="T808" s="32" t="str">
        <x:v>ok</x:v>
      </x:c>
      <x:c r="U808" s="32" t="str">
        <x:v>ok</x:v>
      </x:c>
      <x:c r="V808" s="32" t="str">
        <x:v>ok</x:v>
      </x:c>
      <x:c r="W808" s="154" t="str">
        <x:v>{"schema_version":1,"imei":"862323089930713","timestamp":1786024853,"report_sequence":34,"task_version":"rice_w0_water_soil_demo","sensor_mode":"water_soil","soil_moisture_percent":40.3,"soil_temperature_c":25.4,"soil_ec_us_cm":959,"soil_ph":6.47,"battery_mv":3938,"csq":22,"soil_rs485_status":"ok","cycle_status":"ok","water_level_mm":34.3,"water_4_20ma_status":"ok"}</x:v>
      </x:c>
    </x:row>
    <x:row r="809">
      <x:c r="A809" s="72" t="n">
        <x:v>46240.917280092595</x:v>
      </x:c>
      <x:c r="B809" s="72" t="n">
        <x:v>46240.91729398148</x:v>
      </x:c>
      <x:c r="C809" s="32" t="str">
        <x:v>P14</x:v>
      </x:c>
      <x:c r="D809" s="32" t="str">
        <x:v>B3-W0-V2</x:v>
      </x:c>
      <x:c r="E809" s="32" t="str">
        <x:v>B3</x:v>
      </x:c>
      <x:c r="F809" s="32" t="str">
        <x:v>W0</x:v>
      </x:c>
      <x:c r="G809" s="32" t="str">
        <x:v>V2</x:v>
      </x:c>
      <x:c r="H809" s="32" t="str">
        <x:v>water_soil</x:v>
      </x:c>
      <x:c r="I809" s="32" t="str">
        <x:v>862323089930714</x:v>
      </x:c>
      <x:c r="J809" s="82" t="n">
        <x:v>38.1</x:v>
      </x:c>
      <x:c r="K809" s="82"/>
      <x:c r="L809" s="82" t="n">
        <x:v>41.6</x:v>
      </x:c>
      <x:c r="M809" s="82" t="n">
        <x:v>25.5</x:v>
      </x:c>
      <x:c r="N809" s="86" t="n">
        <x:v>977</x:v>
      </x:c>
      <x:c r="O809" s="90" t="n">
        <x:v>6.52</x:v>
      </x:c>
      <x:c r="P809" s="150" t="n">
        <x:v>3.956</x:v>
      </x:c>
      <x:c r="Q809" s="86" t="n">
        <x:v>23</x:v>
      </x:c>
      <x:c r="R809" s="32" t="str">
        <x:v>ok</x:v>
      </x:c>
      <x:c r="S809" s="32"/>
      <x:c r="T809" s="32" t="str">
        <x:v>ok</x:v>
      </x:c>
      <x:c r="U809" s="32" t="str">
        <x:v>ok</x:v>
      </x:c>
      <x:c r="V809" s="32" t="str">
        <x:v>ok</x:v>
      </x:c>
      <x:c r="W809" s="154" t="str">
        <x:v>{"schema_version":1,"imei":"862323089930714","timestamp":1786024853,"report_sequence":34,"task_version":"rice_w0_water_soil_demo","sensor_mode":"water_soil","soil_moisture_percent":41.6,"soil_temperature_c":25.5,"soil_ec_us_cm":977,"soil_ph":6.52,"battery_mv":3956,"csq":23,"soil_rs485_status":"ok","cycle_status":"ok","water_level_mm":38.1,"water_4_20ma_status":"ok"}</x:v>
      </x:c>
    </x:row>
    <x:row r="810">
      <x:c r="A810" s="72" t="n">
        <x:v>46240.917280092595</x:v>
      </x:c>
      <x:c r="B810" s="72" t="n">
        <x:v>46240.91729398148</x:v>
      </x:c>
      <x:c r="C810" s="32" t="str">
        <x:v>P15</x:v>
      </x:c>
      <x:c r="D810" s="32" t="str">
        <x:v>B3-W1-V1</x:v>
      </x:c>
      <x:c r="E810" s="32" t="str">
        <x:v>B3</x:v>
      </x:c>
      <x:c r="F810" s="32" t="str">
        <x:v>W1</x:v>
      </x:c>
      <x:c r="G810" s="32" t="str">
        <x:v>V1</x:v>
      </x:c>
      <x:c r="H810" s="32" t="str">
        <x:v>tension_soil</x:v>
      </x:c>
      <x:c r="I810" s="32" t="str">
        <x:v>862323089930715</x:v>
      </x:c>
      <x:c r="J810" s="82"/>
      <x:c r="K810" s="82" t="n">
        <x:v>-24.9</x:v>
      </x:c>
      <x:c r="L810" s="82" t="n">
        <x:v>42.9</x:v>
      </x:c>
      <x:c r="M810" s="82" t="n">
        <x:v>25.6</x:v>
      </x:c>
      <x:c r="N810" s="86" t="n">
        <x:v>993</x:v>
      </x:c>
      <x:c r="O810" s="90" t="n">
        <x:v>6.33</x:v>
      </x:c>
      <x:c r="P810" s="150" t="n">
        <x:v>3.974</x:v>
      </x:c>
      <x:c r="Q810" s="86" t="n">
        <x:v>24</x:v>
      </x:c>
      <x:c r="R810" s="32"/>
      <x:c r="S810" s="32" t="str">
        <x:v>ok</x:v>
      </x:c>
      <x:c r="T810" s="32" t="str">
        <x:v>ok</x:v>
      </x:c>
      <x:c r="U810" s="32" t="str">
        <x:v>ok</x:v>
      </x:c>
      <x:c r="V810" s="32" t="str">
        <x:v>ok</x:v>
      </x:c>
      <x:c r="W810" s="154" t="str">
        <x:v>{"schema_version":1,"imei":"862323089930715","timestamp":1786024853,"report_sequence":34,"task_version":"rice_tension_soil_demo","sensor_mode":"tension_soil","soil_moisture_percent":42.9,"soil_temperature_c":25.6,"soil_ec_us_cm":993,"soil_ph":6.33,"battery_mv":3974,"csq":24,"soil_rs485_status":"ok","cycle_status":"ok","soil_tension_kpa":-24.9,"soil_tension_rs485_status":"ok"}</x:v>
      </x:c>
    </x:row>
    <x:row r="811">
      <x:c r="A811" s="72" t="n">
        <x:v>46240.917280092595</x:v>
      </x:c>
      <x:c r="B811" s="72" t="n">
        <x:v>46240.91729398148</x:v>
      </x:c>
      <x:c r="C811" s="32" t="str">
        <x:v>P16</x:v>
      </x:c>
      <x:c r="D811" s="32" t="str">
        <x:v>B3-W1-V2</x:v>
      </x:c>
      <x:c r="E811" s="32" t="str">
        <x:v>B3</x:v>
      </x:c>
      <x:c r="F811" s="32" t="str">
        <x:v>W1</x:v>
      </x:c>
      <x:c r="G811" s="32" t="str">
        <x:v>V2</x:v>
      </x:c>
      <x:c r="H811" s="32" t="str">
        <x:v>tension_soil</x:v>
      </x:c>
      <x:c r="I811" s="32" t="str">
        <x:v>862323089930716</x:v>
      </x:c>
      <x:c r="J811" s="82"/>
      <x:c r="K811" s="82" t="n">
        <x:v>-26</x:v>
      </x:c>
      <x:c r="L811" s="82" t="n">
        <x:v>36</x:v>
      </x:c>
      <x:c r="M811" s="82" t="n">
        <x:v>25.6</x:v>
      </x:c>
      <x:c r="N811" s="86" t="n">
        <x:v>1007</x:v>
      </x:c>
      <x:c r="O811" s="90" t="n">
        <x:v>6.38</x:v>
      </x:c>
      <x:c r="P811" s="150" t="n">
        <x:v>3.992</x:v>
      </x:c>
      <x:c r="Q811" s="86" t="n">
        <x:v>17</x:v>
      </x:c>
      <x:c r="R811" s="32"/>
      <x:c r="S811" s="32" t="str">
        <x:v>ok</x:v>
      </x:c>
      <x:c r="T811" s="32" t="str">
        <x:v>ok</x:v>
      </x:c>
      <x:c r="U811" s="32" t="str">
        <x:v>ok</x:v>
      </x:c>
      <x:c r="V811" s="32" t="str">
        <x:v>ok</x:v>
      </x:c>
      <x:c r="W811" s="154" t="str">
        <x:v>{"schema_version":1,"imei":"862323089930716","timestamp":1786024853,"report_sequence":34,"task_version":"rice_tension_soil_demo","sensor_mode":"tension_soil","soil_moisture_percent":36,"soil_temperature_c":25.6,"soil_ec_us_cm":1007,"soil_ph":6.38,"battery_mv":3992,"csq":17,"soil_rs485_status":"ok","cycle_status":"ok","soil_tension_kpa":-26,"soil_tension_rs485_status":"ok"}</x:v>
      </x:c>
    </x:row>
    <x:row r="812">
      <x:c r="A812" s="72" t="n">
        <x:v>46240.917280092595</x:v>
      </x:c>
      <x:c r="B812" s="72" t="n">
        <x:v>46240.91729398148</x:v>
      </x:c>
      <x:c r="C812" s="32" t="str">
        <x:v>P17</x:v>
      </x:c>
      <x:c r="D812" s="32" t="str">
        <x:v>B3-W2-V1</x:v>
      </x:c>
      <x:c r="E812" s="32" t="str">
        <x:v>B3</x:v>
      </x:c>
      <x:c r="F812" s="32" t="str">
        <x:v>W2</x:v>
      </x:c>
      <x:c r="G812" s="32" t="str">
        <x:v>V1</x:v>
      </x:c>
      <x:c r="H812" s="32" t="str">
        <x:v>tension_soil</x:v>
      </x:c>
      <x:c r="I812" s="32" t="str">
        <x:v>862323089930717</x:v>
      </x:c>
      <x:c r="J812" s="82"/>
      <x:c r="K812" s="82" t="n">
        <x:v>-38</x:v>
      </x:c>
      <x:c r="L812" s="82" t="n">
        <x:v>37</x:v>
      </x:c>
      <x:c r="M812" s="82" t="n">
        <x:v>25.6</x:v>
      </x:c>
      <x:c r="N812" s="86" t="n">
        <x:v>1019</x:v>
      </x:c>
      <x:c r="O812" s="90" t="n">
        <x:v>6.43</x:v>
      </x:c>
      <x:c r="P812" s="150" t="n">
        <x:v>4.01</x:v>
      </x:c>
      <x:c r="Q812" s="86" t="n">
        <x:v>18</x:v>
      </x:c>
      <x:c r="R812" s="32"/>
      <x:c r="S812" s="32" t="str">
        <x:v>ok</x:v>
      </x:c>
      <x:c r="T812" s="32" t="str">
        <x:v>ok</x:v>
      </x:c>
      <x:c r="U812" s="32" t="str">
        <x:v>ok</x:v>
      </x:c>
      <x:c r="V812" s="32" t="str">
        <x:v>ok</x:v>
      </x:c>
      <x:c r="W812" s="154" t="str">
        <x:v>{"schema_version":1,"imei":"862323089930717","timestamp":1786024853,"report_sequence":34,"task_version":"rice_tension_soil_demo","sensor_mode":"tension_soil","soil_moisture_percent":37,"soil_temperature_c":25.6,"soil_ec_us_cm":1019,"soil_ph":6.43,"battery_mv":4010,"csq":18,"soil_rs485_status":"ok","cycle_status":"ok","soil_tension_kpa":-38,"soil_tension_rs485_status":"ok"}</x:v>
      </x:c>
    </x:row>
    <x:row r="813">
      <x:c r="A813" s="72" t="n">
        <x:v>46240.917280092595</x:v>
      </x:c>
      <x:c r="B813" s="72" t="n">
        <x:v>46240.91729398148</x:v>
      </x:c>
      <x:c r="C813" s="32" t="str">
        <x:v>P18</x:v>
      </x:c>
      <x:c r="D813" s="32" t="str">
        <x:v>B3-W2-V2</x:v>
      </x:c>
      <x:c r="E813" s="32" t="str">
        <x:v>B3</x:v>
      </x:c>
      <x:c r="F813" s="32" t="str">
        <x:v>W2</x:v>
      </x:c>
      <x:c r="G813" s="32" t="str">
        <x:v>V2</x:v>
      </x:c>
      <x:c r="H813" s="32" t="str">
        <x:v>tension_soil</x:v>
      </x:c>
      <x:c r="I813" s="32" t="str">
        <x:v>862323089930718</x:v>
      </x:c>
      <x:c r="J813" s="82"/>
      <x:c r="K813" s="82" t="n">
        <x:v>-38.8</x:v>
      </x:c>
      <x:c r="L813" s="82" t="n">
        <x:v>37.8</x:v>
      </x:c>
      <x:c r="M813" s="82" t="n">
        <x:v>25.6</x:v>
      </x:c>
      <x:c r="N813" s="86" t="n">
        <x:v>1028</x:v>
      </x:c>
      <x:c r="O813" s="90" t="n">
        <x:v>6.48</x:v>
      </x:c>
      <x:c r="P813" s="150" t="n">
        <x:v>3.92</x:v>
      </x:c>
      <x:c r="Q813" s="86" t="n">
        <x:v>19</x:v>
      </x:c>
      <x:c r="R813" s="32"/>
      <x:c r="S813" s="32" t="str">
        <x:v>ok</x:v>
      </x:c>
      <x:c r="T813" s="32" t="str">
        <x:v>ok</x:v>
      </x:c>
      <x:c r="U813" s="32" t="str">
        <x:v>ok</x:v>
      </x:c>
      <x:c r="V813" s="32" t="str">
        <x:v>ok</x:v>
      </x:c>
      <x:c r="W813" s="154" t="str">
        <x:v>{"schema_version":1,"imei":"862323089930718","timestamp":1786024853,"report_sequence":34,"task_version":"rice_tension_soil_demo","sensor_mode":"tension_soil","soil_moisture_percent":37.8,"soil_temperature_c":25.6,"soil_ec_us_cm":1028,"soil_ph":6.48,"battery_mv":3920,"csq":19,"soil_rs485_status":"ok","cycle_status":"ok","soil_tension_kpa":-38.8,"soil_tension_rs485_status":"ok"}</x:v>
      </x:c>
    </x:row>
    <x:row r="814">
      <x:c r="A814" s="72" t="n">
        <x:v>46240.917280092595</x:v>
      </x:c>
      <x:c r="B814" s="72" t="n">
        <x:v>46240.91729398148</x:v>
      </x:c>
      <x:c r="C814" s="32" t="str">
        <x:v>P19</x:v>
      </x:c>
      <x:c r="D814" s="32" t="str">
        <x:v>B4-W0-V1</x:v>
      </x:c>
      <x:c r="E814" s="32" t="str">
        <x:v>B4</x:v>
      </x:c>
      <x:c r="F814" s="32" t="str">
        <x:v>W0</x:v>
      </x:c>
      <x:c r="G814" s="32" t="str">
        <x:v>V1</x:v>
      </x:c>
      <x:c r="H814" s="32" t="str">
        <x:v>water_soil</x:v>
      </x:c>
      <x:c r="I814" s="32" t="str">
        <x:v>862323089930719</x:v>
      </x:c>
      <x:c r="J814" s="82" t="n">
        <x:v>41</x:v>
      </x:c>
      <x:c r="K814" s="82"/>
      <x:c r="L814" s="82" t="n">
        <x:v>38.6</x:v>
      </x:c>
      <x:c r="M814" s="82" t="n">
        <x:v>25.5</x:v>
      </x:c>
      <x:c r="N814" s="86" t="n">
        <x:v>1036</x:v>
      </x:c>
      <x:c r="O814" s="90" t="n">
        <x:v>6.52</x:v>
      </x:c>
      <x:c r="P814" s="150" t="n">
        <x:v>3.938</x:v>
      </x:c>
      <x:c r="Q814" s="86" t="n">
        <x:v>20</x:v>
      </x:c>
      <x:c r="R814" s="32" t="str">
        <x:v>ok</x:v>
      </x:c>
      <x:c r="S814" s="32"/>
      <x:c r="T814" s="32" t="str">
        <x:v>ok</x:v>
      </x:c>
      <x:c r="U814" s="32" t="str">
        <x:v>ok</x:v>
      </x:c>
      <x:c r="V814" s="32" t="str">
        <x:v>ok</x:v>
      </x:c>
      <x:c r="W814" s="154" t="str">
        <x:v>{"schema_version":1,"imei":"862323089930719","timestamp":1786024853,"report_sequence":34,"task_version":"rice_w0_water_soil_demo","sensor_mode":"water_soil","soil_moisture_percent":38.6,"soil_temperature_c":25.5,"soil_ec_us_cm":1036,"soil_ph":6.52,"battery_mv":3938,"csq":20,"soil_rs485_status":"ok","cycle_status":"ok","water_level_mm":41,"water_4_20ma_status":"ok"}</x:v>
      </x:c>
    </x:row>
    <x:row r="815">
      <x:c r="A815" s="72" t="n">
        <x:v>46240.917280092595</x:v>
      </x:c>
      <x:c r="B815" s="72" t="n">
        <x:v>46240.91729398148</x:v>
      </x:c>
      <x:c r="C815" s="32" t="str">
        <x:v>P20</x:v>
      </x:c>
      <x:c r="D815" s="32" t="str">
        <x:v>B4-W0-V2</x:v>
      </x:c>
      <x:c r="E815" s="32" t="str">
        <x:v>B4</x:v>
      </x:c>
      <x:c r="F815" s="32" t="str">
        <x:v>W0</x:v>
      </x:c>
      <x:c r="G815" s="32" t="str">
        <x:v>V2</x:v>
      </x:c>
      <x:c r="H815" s="32" t="str">
        <x:v>water_soil</x:v>
      </x:c>
      <x:c r="I815" s="32" t="str">
        <x:v>862323089930720</x:v>
      </x:c>
      <x:c r="J815" s="82" t="n">
        <x:v>31.1</x:v>
      </x:c>
      <x:c r="K815" s="82"/>
      <x:c r="L815" s="82" t="n">
        <x:v>39.2</x:v>
      </x:c>
      <x:c r="M815" s="82" t="n">
        <x:v>25.4</x:v>
      </x:c>
      <x:c r="N815" s="86" t="n">
        <x:v>1042</x:v>
      </x:c>
      <x:c r="O815" s="90" t="n">
        <x:v>6.32</x:v>
      </x:c>
      <x:c r="P815" s="150" t="n">
        <x:v>3.956</x:v>
      </x:c>
      <x:c r="Q815" s="86" t="n">
        <x:v>21</x:v>
      </x:c>
      <x:c r="R815" s="32" t="str">
        <x:v>ok</x:v>
      </x:c>
      <x:c r="S815" s="32"/>
      <x:c r="T815" s="32" t="str">
        <x:v>ok</x:v>
      </x:c>
      <x:c r="U815" s="32" t="str">
        <x:v>ok</x:v>
      </x:c>
      <x:c r="V815" s="32" t="str">
        <x:v>ok</x:v>
      </x:c>
      <x:c r="W815" s="154" t="str">
        <x:v>{"schema_version":1,"imei":"862323089930720","timestamp":1786024853,"report_sequence":34,"task_version":"rice_w0_water_soil_demo","sensor_mode":"water_soil","soil_moisture_percent":39.2,"soil_temperature_c":25.4,"soil_ec_us_cm":1042,"soil_ph":6.32,"battery_mv":3956,"csq":21,"soil_rs485_status":"ok","cycle_status":"ok","water_level_mm":31.1,"water_4_20ma_status":"ok"}</x:v>
      </x:c>
    </x:row>
    <x:row r="816">
      <x:c r="A816" s="72" t="n">
        <x:v>46240.917280092595</x:v>
      </x:c>
      <x:c r="B816" s="72" t="n">
        <x:v>46240.91729398148</x:v>
      </x:c>
      <x:c r="C816" s="32" t="str">
        <x:v>P21</x:v>
      </x:c>
      <x:c r="D816" s="32" t="str">
        <x:v>B4-W1-V1</x:v>
      </x:c>
      <x:c r="E816" s="32" t="str">
        <x:v>B4</x:v>
      </x:c>
      <x:c r="F816" s="32" t="str">
        <x:v>W1</x:v>
      </x:c>
      <x:c r="G816" s="32" t="str">
        <x:v>V1</x:v>
      </x:c>
      <x:c r="H816" s="32" t="str">
        <x:v>tension_soil</x:v>
      </x:c>
      <x:c r="I816" s="32" t="str">
        <x:v>862323089930721</x:v>
      </x:c>
      <x:c r="J816" s="82"/>
      <x:c r="K816" s="82" t="n">
        <x:v>-24.8</x:v>
      </x:c>
      <x:c r="L816" s="82" t="n">
        <x:v>39.8</x:v>
      </x:c>
      <x:c r="M816" s="82" t="n">
        <x:v>25.3</x:v>
      </x:c>
      <x:c r="N816" s="86" t="n">
        <x:v>1046</x:v>
      </x:c>
      <x:c r="O816" s="90" t="n">
        <x:v>6.36</x:v>
      </x:c>
      <x:c r="P816" s="150" t="n">
        <x:v>3.974</x:v>
      </x:c>
      <x:c r="Q816" s="86" t="n">
        <x:v>22</x:v>
      </x:c>
      <x:c r="R816" s="32"/>
      <x:c r="S816" s="32" t="str">
        <x:v>ok</x:v>
      </x:c>
      <x:c r="T816" s="32" t="str">
        <x:v>ok</x:v>
      </x:c>
      <x:c r="U816" s="32" t="str">
        <x:v>ok</x:v>
      </x:c>
      <x:c r="V816" s="32" t="str">
        <x:v>ok</x:v>
      </x:c>
      <x:c r="W816" s="154" t="str">
        <x:v>{"schema_version":1,"imei":"862323089930721","timestamp":1786024853,"report_sequence":34,"task_version":"rice_tension_soil_demo","sensor_mode":"tension_soil","soil_moisture_percent":39.8,"soil_temperature_c":25.3,"soil_ec_us_cm":1046,"soil_ph":6.36,"battery_mv":3974,"csq":22,"soil_rs485_status":"ok","cycle_status":"ok","soil_tension_kpa":-24.8,"soil_tension_rs485_status":"ok"}</x:v>
      </x:c>
    </x:row>
    <x:row r="817">
      <x:c r="A817" s="72" t="n">
        <x:v>46240.917280092595</x:v>
      </x:c>
      <x:c r="B817" s="72" t="n">
        <x:v>46240.91729398148</x:v>
      </x:c>
      <x:c r="C817" s="32" t="str">
        <x:v>P22</x:v>
      </x:c>
      <x:c r="D817" s="32" t="str">
        <x:v>B4-W1-V2</x:v>
      </x:c>
      <x:c r="E817" s="32" t="str">
        <x:v>B4</x:v>
      </x:c>
      <x:c r="F817" s="32" t="str">
        <x:v>W1</x:v>
      </x:c>
      <x:c r="G817" s="32" t="str">
        <x:v>V2</x:v>
      </x:c>
      <x:c r="H817" s="32" t="str">
        <x:v>tension_soil</x:v>
      </x:c>
      <x:c r="I817" s="32" t="str">
        <x:v>862323089930722</x:v>
      </x:c>
      <x:c r="J817" s="82"/>
      <x:c r="K817" s="82" t="n">
        <x:v>-25.3</x:v>
      </x:c>
      <x:c r="L817" s="82" t="n">
        <x:v>40.3</x:v>
      </x:c>
      <x:c r="M817" s="82" t="n">
        <x:v>25.2</x:v>
      </x:c>
      <x:c r="N817" s="86" t="n">
        <x:v>1050</x:v>
      </x:c>
      <x:c r="O817" s="90" t="n">
        <x:v>6.41</x:v>
      </x:c>
      <x:c r="P817" s="150" t="n">
        <x:v>3.992</x:v>
      </x:c>
      <x:c r="Q817" s="86" t="n">
        <x:v>23</x:v>
      </x:c>
      <x:c r="R817" s="32"/>
      <x:c r="S817" s="32" t="str">
        <x:v>ok</x:v>
      </x:c>
      <x:c r="T817" s="32" t="str">
        <x:v>ok</x:v>
      </x:c>
      <x:c r="U817" s="32" t="str">
        <x:v>ok</x:v>
      </x:c>
      <x:c r="V817" s="32" t="str">
        <x:v>ok</x:v>
      </x:c>
      <x:c r="W817" s="154" t="str">
        <x:v>{"schema_version":1,"imei":"862323089930722","timestamp":1786024853,"report_sequence":34,"task_version":"rice_tension_soil_demo","sensor_mode":"tension_soil","soil_moisture_percent":40.3,"soil_temperature_c":25.2,"soil_ec_us_cm":1050,"soil_ph":6.41,"battery_mv":3992,"csq":23,"soil_rs485_status":"ok","cycle_status":"ok","soil_tension_kpa":-25.3,"soil_tension_rs485_status":"ok"}</x:v>
      </x:c>
    </x:row>
    <x:row r="818">
      <x:c r="A818" s="72" t="n">
        <x:v>46240.917280092595</x:v>
      </x:c>
      <x:c r="B818" s="72" t="n">
        <x:v>46240.91729398148</x:v>
      </x:c>
      <x:c r="C818" s="32" t="str">
        <x:v>P23</x:v>
      </x:c>
      <x:c r="D818" s="32" t="str">
        <x:v>B4-W2-V1</x:v>
      </x:c>
      <x:c r="E818" s="32" t="str">
        <x:v>B4</x:v>
      </x:c>
      <x:c r="F818" s="32" t="str">
        <x:v>W2</x:v>
      </x:c>
      <x:c r="G818" s="32" t="str">
        <x:v>V1</x:v>
      </x:c>
      <x:c r="H818" s="32" t="str">
        <x:v>tension_soil</x:v>
      </x:c>
      <x:c r="I818" s="32" t="str">
        <x:v>862323089930723</x:v>
      </x:c>
      <x:c r="J818" s="82"/>
      <x:c r="K818" s="82" t="n">
        <x:v>-36.8</x:v>
      </x:c>
      <x:c r="L818" s="82" t="n">
        <x:v>40.8</x:v>
      </x:c>
      <x:c r="M818" s="82" t="n">
        <x:v>25.1</x:v>
      </x:c>
      <x:c r="N818" s="86" t="n">
        <x:v>1053</x:v>
      </x:c>
      <x:c r="O818" s="90" t="n">
        <x:v>6.45</x:v>
      </x:c>
      <x:c r="P818" s="150" t="n">
        <x:v>4.01</x:v>
      </x:c>
      <x:c r="Q818" s="86" t="n">
        <x:v>24</x:v>
      </x:c>
      <x:c r="R818" s="32"/>
      <x:c r="S818" s="32" t="str">
        <x:v>ok</x:v>
      </x:c>
      <x:c r="T818" s="32" t="str">
        <x:v>ok</x:v>
      </x:c>
      <x:c r="U818" s="32" t="str">
        <x:v>ok</x:v>
      </x:c>
      <x:c r="V818" s="32" t="str">
        <x:v>ok</x:v>
      </x:c>
      <x:c r="W818" s="154" t="str">
        <x:v>{"schema_version":1,"imei":"862323089930723","timestamp":1786024853,"report_sequence":34,"task_version":"rice_tension_soil_demo","sensor_mode":"tension_soil","soil_moisture_percent":40.8,"soil_temperature_c":25.1,"soil_ec_us_cm":1053,"soil_ph":6.45,"battery_mv":4010,"csq":24,"soil_rs485_status":"ok","cycle_status":"ok","soil_tension_kpa":-36.8,"soil_tension_rs485_status":"ok"}</x:v>
      </x:c>
    </x:row>
    <x:row r="819">
      <x:c r="A819" s="72" t="n">
        <x:v>46240.917280092595</x:v>
      </x:c>
      <x:c r="B819" s="72" t="n">
        <x:v>46240.91729398148</x:v>
      </x:c>
      <x:c r="C819" s="32" t="str">
        <x:v>P24</x:v>
      </x:c>
      <x:c r="D819" s="32" t="str">
        <x:v>B4-W2-V2</x:v>
      </x:c>
      <x:c r="E819" s="32" t="str">
        <x:v>B4</x:v>
      </x:c>
      <x:c r="F819" s="32" t="str">
        <x:v>W2</x:v>
      </x:c>
      <x:c r="G819" s="32" t="str">
        <x:v>V2</x:v>
      </x:c>
      <x:c r="H819" s="32" t="str">
        <x:v>tension_soil</x:v>
      </x:c>
      <x:c r="I819" s="32" t="str">
        <x:v>862323089930724</x:v>
      </x:c>
      <x:c r="J819" s="82"/>
      <x:c r="K819" s="82" t="n">
        <x:v>-37.4</x:v>
      </x:c>
      <x:c r="L819" s="82" t="n">
        <x:v>33.4</x:v>
      </x:c>
      <x:c r="M819" s="82" t="n">
        <x:v>24.9</x:v>
      </x:c>
      <x:c r="N819" s="86" t="n">
        <x:v>1057</x:v>
      </x:c>
      <x:c r="O819" s="90" t="n">
        <x:v>6.49</x:v>
      </x:c>
      <x:c r="P819" s="150" t="n">
        <x:v>3.92</x:v>
      </x:c>
      <x:c r="Q819" s="86" t="n">
        <x:v>17</x:v>
      </x:c>
      <x:c r="R819" s="32"/>
      <x:c r="S819" s="32" t="str">
        <x:v>ok</x:v>
      </x:c>
      <x:c r="T819" s="32" t="str">
        <x:v>ok</x:v>
      </x:c>
      <x:c r="U819" s="32" t="str">
        <x:v>ok</x:v>
      </x:c>
      <x:c r="V819" s="32" t="str">
        <x:v>ok</x:v>
      </x:c>
      <x:c r="W819" s="154" t="str">
        <x:v>{"schema_version":1,"imei":"862323089930724","timestamp":1786024853,"report_sequence":34,"task_version":"rice_tension_soil_demo","sensor_mode":"tension_soil","soil_moisture_percent":33.4,"soil_temperature_c":24.9,"soil_ec_us_cm":1057,"soil_ph":6.49,"battery_mv":3920,"csq":17,"soil_rs485_status":"ok","cycle_status":"ok","soil_tension_kpa":-37.4,"soil_tension_rs485_status":"ok"}</x:v>
      </x:c>
    </x:row>
    <x:row r="820">
      <x:c r="A820" s="72" t="n">
        <x:v>46240.920752314814</x:v>
      </x:c>
      <x:c r="B820" s="72" t="n">
        <x:v>46240.9207662037</x:v>
      </x:c>
      <x:c r="C820" s="32" t="str">
        <x:v>P01</x:v>
      </x:c>
      <x:c r="D820" s="32" t="str">
        <x:v>B1-W0-V1</x:v>
      </x:c>
      <x:c r="E820" s="32" t="str">
        <x:v>B1</x:v>
      </x:c>
      <x:c r="F820" s="32" t="str">
        <x:v>W0</x:v>
      </x:c>
      <x:c r="G820" s="32" t="str">
        <x:v>V1</x:v>
      </x:c>
      <x:c r="H820" s="32" t="str">
        <x:v>water_soil</x:v>
      </x:c>
      <x:c r="I820" s="32" t="str">
        <x:v>862323089930701</x:v>
      </x:c>
      <x:c r="J820" s="82" t="n">
        <x:v>28.1</x:v>
      </x:c>
      <x:c r="K820" s="82"/>
      <x:c r="L820" s="82" t="n">
        <x:v>33.9</x:v>
      </x:c>
      <x:c r="M820" s="82" t="n">
        <x:v>24.8</x:v>
      </x:c>
      <x:c r="N820" s="86" t="n">
        <x:v>772</x:v>
      </x:c>
      <x:c r="O820" s="90" t="n">
        <x:v>6.33</x:v>
      </x:c>
      <x:c r="P820" s="150" t="n">
        <x:v>3.938</x:v>
      </x:c>
      <x:c r="Q820" s="86" t="n">
        <x:v>18</x:v>
      </x:c>
      <x:c r="R820" s="32" t="str">
        <x:v>ok</x:v>
      </x:c>
      <x:c r="S820" s="32"/>
      <x:c r="T820" s="32" t="str">
        <x:v>ok</x:v>
      </x:c>
      <x:c r="U820" s="32" t="str">
        <x:v>ok</x:v>
      </x:c>
      <x:c r="V820" s="32" t="str">
        <x:v>ok</x:v>
      </x:c>
      <x:c r="W820" s="154" t="str">
        <x:v>{"schema_version":1,"imei":"862323089930701","timestamp":1786025153,"report_sequence":35,"task_version":"rice_w0_water_soil_demo","sensor_mode":"water_soil","soil_moisture_percent":33.9,"soil_temperature_c":24.8,"soil_ec_us_cm":772,"soil_ph":6.33,"battery_mv":3938,"csq":18,"soil_rs485_status":"ok","cycle_status":"ok","water_level_mm":28.1,"water_4_20ma_status":"ok"}</x:v>
      </x:c>
    </x:row>
    <x:row r="821">
      <x:c r="A821" s="72" t="n">
        <x:v>46240.920752314814</x:v>
      </x:c>
      <x:c r="B821" s="72" t="n">
        <x:v>46240.9207662037</x:v>
      </x:c>
      <x:c r="C821" s="32" t="str">
        <x:v>P02</x:v>
      </x:c>
      <x:c r="D821" s="32" t="str">
        <x:v>B1-W0-V2</x:v>
      </x:c>
      <x:c r="E821" s="32" t="str">
        <x:v>B1</x:v>
      </x:c>
      <x:c r="F821" s="32" t="str">
        <x:v>W0</x:v>
      </x:c>
      <x:c r="G821" s="32" t="str">
        <x:v>V2</x:v>
      </x:c>
      <x:c r="H821" s="32" t="str">
        <x:v>water_soil</x:v>
      </x:c>
      <x:c r="I821" s="32" t="str">
        <x:v>862323089930702</x:v>
      </x:c>
      <x:c r="J821" s="82" t="n">
        <x:v>30.2</x:v>
      </x:c>
      <x:c r="K821" s="82"/>
      <x:c r="L821" s="82" t="n">
        <x:v>34.5</x:v>
      </x:c>
      <x:c r="M821" s="82" t="n">
        <x:v>24.7</x:v>
      </x:c>
      <x:c r="N821" s="86" t="n">
        <x:v>778</x:v>
      </x:c>
      <x:c r="O821" s="90" t="n">
        <x:v>6.38</x:v>
      </x:c>
      <x:c r="P821" s="150" t="n">
        <x:v>3.956</x:v>
      </x:c>
      <x:c r="Q821" s="86" t="n">
        <x:v>19</x:v>
      </x:c>
      <x:c r="R821" s="32" t="str">
        <x:v>ok</x:v>
      </x:c>
      <x:c r="S821" s="32"/>
      <x:c r="T821" s="32" t="str">
        <x:v>ok</x:v>
      </x:c>
      <x:c r="U821" s="32" t="str">
        <x:v>ok</x:v>
      </x:c>
      <x:c r="V821" s="32" t="str">
        <x:v>ok</x:v>
      </x:c>
      <x:c r="W821" s="154" t="str">
        <x:v>{"schema_version":1,"imei":"862323089930702","timestamp":1786025153,"report_sequence":35,"task_version":"rice_w0_water_soil_demo","sensor_mode":"water_soil","soil_moisture_percent":34.5,"soil_temperature_c":24.7,"soil_ec_us_cm":778,"soil_ph":6.38,"battery_mv":3956,"csq":19,"soil_rs485_status":"ok","cycle_status":"ok","water_level_mm":30.2,"water_4_20ma_status":"ok"}</x:v>
      </x:c>
    </x:row>
    <x:row r="822">
      <x:c r="A822" s="72" t="n">
        <x:v>46240.920752314814</x:v>
      </x:c>
      <x:c r="B822" s="72" t="n">
        <x:v>46240.9207662037</x:v>
      </x:c>
      <x:c r="C822" s="32" t="str">
        <x:v>P03</x:v>
      </x:c>
      <x:c r="D822" s="32" t="str">
        <x:v>B1-W1-V1</x:v>
      </x:c>
      <x:c r="E822" s="32" t="str">
        <x:v>B1</x:v>
      </x:c>
      <x:c r="F822" s="32" t="str">
        <x:v>W1</x:v>
      </x:c>
      <x:c r="G822" s="32" t="str">
        <x:v>V1</x:v>
      </x:c>
      <x:c r="H822" s="32" t="str">
        <x:v>tension_soil</x:v>
      </x:c>
      <x:c r="I822" s="32" t="str">
        <x:v>862323089930703</x:v>
      </x:c>
      <x:c r="J822" s="82"/>
      <x:c r="K822" s="82" t="n">
        <x:v>-24.2</x:v>
      </x:c>
      <x:c r="L822" s="82" t="n">
        <x:v>35.2</x:v>
      </x:c>
      <x:c r="M822" s="82" t="n">
        <x:v>24.7</x:v>
      </x:c>
      <x:c r="N822" s="86" t="n">
        <x:v>785</x:v>
      </x:c>
      <x:c r="O822" s="90" t="n">
        <x:v>6.42</x:v>
      </x:c>
      <x:c r="P822" s="150" t="n">
        <x:v>3.974</x:v>
      </x:c>
      <x:c r="Q822" s="86" t="n">
        <x:v>20</x:v>
      </x:c>
      <x:c r="R822" s="32"/>
      <x:c r="S822" s="32" t="str">
        <x:v>ok</x:v>
      </x:c>
      <x:c r="T822" s="32" t="str">
        <x:v>ok</x:v>
      </x:c>
      <x:c r="U822" s="32" t="str">
        <x:v>ok</x:v>
      </x:c>
      <x:c r="V822" s="32" t="str">
        <x:v>ok</x:v>
      </x:c>
      <x:c r="W822" s="154" t="str">
        <x:v>{"schema_version":1,"imei":"862323089930703","timestamp":1786025153,"report_sequence":35,"task_version":"rice_tension_soil_demo","sensor_mode":"tension_soil","soil_moisture_percent":35.2,"soil_temperature_c":24.7,"soil_ec_us_cm":785,"soil_ph":6.42,"battery_mv":3974,"csq":20,"soil_rs485_status":"ok","cycle_status":"ok","soil_tension_kpa":-24.2,"soil_tension_rs485_status":"ok"}</x:v>
      </x:c>
    </x:row>
    <x:row r="823">
      <x:c r="A823" s="72" t="n">
        <x:v>46240.920752314814</x:v>
      </x:c>
      <x:c r="B823" s="72" t="n">
        <x:v>46240.9207662037</x:v>
      </x:c>
      <x:c r="C823" s="32" t="str">
        <x:v>P04</x:v>
      </x:c>
      <x:c r="D823" s="32" t="str">
        <x:v>B1-W1-V2</x:v>
      </x:c>
      <x:c r="E823" s="32" t="str">
        <x:v>B1</x:v>
      </x:c>
      <x:c r="F823" s="32" t="str">
        <x:v>W1</x:v>
      </x:c>
      <x:c r="G823" s="32" t="str">
        <x:v>V2</x:v>
      </x:c>
      <x:c r="H823" s="32" t="str">
        <x:v>tension_soil</x:v>
      </x:c>
      <x:c r="I823" s="32" t="str">
        <x:v>862323089930704</x:v>
      </x:c>
      <x:c r="J823" s="82"/>
      <x:c r="K823" s="82" t="n">
        <x:v>-25</x:v>
      </x:c>
      <x:c r="L823" s="82" t="n">
        <x:v>36</x:v>
      </x:c>
      <x:c r="M823" s="82" t="n">
        <x:v>24.6</x:v>
      </x:c>
      <x:c r="N823" s="86" t="n">
        <x:v>794</x:v>
      </x:c>
      <x:c r="O823" s="90" t="n">
        <x:v>6.47</x:v>
      </x:c>
      <x:c r="P823" s="150" t="n">
        <x:v>3.992</x:v>
      </x:c>
      <x:c r="Q823" s="86" t="n">
        <x:v>21</x:v>
      </x:c>
      <x:c r="R823" s="32"/>
      <x:c r="S823" s="32" t="str">
        <x:v>ok</x:v>
      </x:c>
      <x:c r="T823" s="32" t="str">
        <x:v>ok</x:v>
      </x:c>
      <x:c r="U823" s="32" t="str">
        <x:v>ok</x:v>
      </x:c>
      <x:c r="V823" s="32" t="str">
        <x:v>ok</x:v>
      </x:c>
      <x:c r="W823" s="154" t="str">
        <x:v>{"schema_version":1,"imei":"862323089930704","timestamp":1786025153,"report_sequence":35,"task_version":"rice_tension_soil_demo","sensor_mode":"tension_soil","soil_moisture_percent":36,"soil_temperature_c":24.6,"soil_ec_us_cm":794,"soil_ph":6.47,"battery_mv":3992,"csq":21,"soil_rs485_status":"ok","cycle_status":"ok","soil_tension_kpa":-25,"soil_tension_rs485_status":"ok"}</x:v>
      </x:c>
    </x:row>
    <x:row r="824">
      <x:c r="A824" s="72" t="n">
        <x:v>46240.920752314814</x:v>
      </x:c>
      <x:c r="B824" s="72" t="n">
        <x:v>46240.9207662037</x:v>
      </x:c>
      <x:c r="C824" s="32" t="str">
        <x:v>P05</x:v>
      </x:c>
      <x:c r="D824" s="32" t="str">
        <x:v>B1-W2-V1</x:v>
      </x:c>
      <x:c r="E824" s="32" t="str">
        <x:v>B1</x:v>
      </x:c>
      <x:c r="F824" s="32" t="str">
        <x:v>W2</x:v>
      </x:c>
      <x:c r="G824" s="32" t="str">
        <x:v>V1</x:v>
      </x:c>
      <x:c r="H824" s="32" t="str">
        <x:v>tension_soil</x:v>
      </x:c>
      <x:c r="I824" s="32" t="str">
        <x:v>862323089930705</x:v>
      </x:c>
      <x:c r="J824" s="82"/>
      <x:c r="K824" s="82" t="n">
        <x:v>-32</x:v>
      </x:c>
      <x:c r="L824" s="82" t="n">
        <x:v>37</x:v>
      </x:c>
      <x:c r="M824" s="82" t="n">
        <x:v>24.6</x:v>
      </x:c>
      <x:c r="N824" s="86" t="n">
        <x:v>805</x:v>
      </x:c>
      <x:c r="O824" s="90" t="n">
        <x:v>6.27</x:v>
      </x:c>
      <x:c r="P824" s="150" t="n">
        <x:v>4.01</x:v>
      </x:c>
      <x:c r="Q824" s="86" t="n">
        <x:v>22</x:v>
      </x:c>
      <x:c r="R824" s="32"/>
      <x:c r="S824" s="32" t="str">
        <x:v>ok</x:v>
      </x:c>
      <x:c r="T824" s="32" t="str">
        <x:v>ok</x:v>
      </x:c>
      <x:c r="U824" s="32" t="str">
        <x:v>ok</x:v>
      </x:c>
      <x:c r="V824" s="32" t="str">
        <x:v>ok</x:v>
      </x:c>
      <x:c r="W824" s="154" t="str">
        <x:v>{"schema_version":1,"imei":"862323089930705","timestamp":1786025153,"report_sequence":35,"task_version":"rice_tension_soil_demo","sensor_mode":"tension_soil","soil_moisture_percent":37,"soil_temperature_c":24.6,"soil_ec_us_cm":805,"soil_ph":6.27,"battery_mv":4010,"csq":22,"soil_rs485_status":"ok","cycle_status":"ok","soil_tension_kpa":-32,"soil_tension_rs485_status":"ok"}</x:v>
      </x:c>
    </x:row>
    <x:row r="825">
      <x:c r="A825" s="72" t="n">
        <x:v>46240.920752314814</x:v>
      </x:c>
      <x:c r="B825" s="72" t="n">
        <x:v>46240.9207662037</x:v>
      </x:c>
      <x:c r="C825" s="32" t="str">
        <x:v>P06</x:v>
      </x:c>
      <x:c r="D825" s="32" t="str">
        <x:v>B1-W2-V2</x:v>
      </x:c>
      <x:c r="E825" s="32" t="str">
        <x:v>B1</x:v>
      </x:c>
      <x:c r="F825" s="32" t="str">
        <x:v>W2</x:v>
      </x:c>
      <x:c r="G825" s="32" t="str">
        <x:v>V2</x:v>
      </x:c>
      <x:c r="H825" s="32" t="str">
        <x:v>tension_soil</x:v>
      </x:c>
      <x:c r="I825" s="32" t="str">
        <x:v>862323089930706</x:v>
      </x:c>
      <x:c r="J825" s="82"/>
      <x:c r="K825" s="82" t="n">
        <x:v>-33.1</x:v>
      </x:c>
      <x:c r="L825" s="82" t="n">
        <x:v>38.1</x:v>
      </x:c>
      <x:c r="M825" s="82" t="n">
        <x:v>24.6</x:v>
      </x:c>
      <x:c r="N825" s="86" t="n">
        <x:v>818</x:v>
      </x:c>
      <x:c r="O825" s="90" t="n">
        <x:v>6.32</x:v>
      </x:c>
      <x:c r="P825" s="150" t="n">
        <x:v>3.92</x:v>
      </x:c>
      <x:c r="Q825" s="86" t="n">
        <x:v>23</x:v>
      </x:c>
      <x:c r="R825" s="32"/>
      <x:c r="S825" s="32" t="str">
        <x:v>ok</x:v>
      </x:c>
      <x:c r="T825" s="32" t="str">
        <x:v>ok</x:v>
      </x:c>
      <x:c r="U825" s="32" t="str">
        <x:v>ok</x:v>
      </x:c>
      <x:c r="V825" s="32" t="str">
        <x:v>ok</x:v>
      </x:c>
      <x:c r="W825" s="154" t="str">
        <x:v>{"schema_version":1,"imei":"862323089930706","timestamp":1786025153,"report_sequence":35,"task_version":"rice_tension_soil_demo","sensor_mode":"tension_soil","soil_moisture_percent":38.1,"soil_temperature_c":24.6,"soil_ec_us_cm":818,"soil_ph":6.32,"battery_mv":3920,"csq":23,"soil_rs485_status":"ok","cycle_status":"ok","soil_tension_kpa":-33.1,"soil_tension_rs485_status":"ok"}</x:v>
      </x:c>
    </x:row>
    <x:row r="826">
      <x:c r="A826" s="72" t="n">
        <x:v>46240.920752314814</x:v>
      </x:c>
      <x:c r="B826" s="72" t="n">
        <x:v>46240.9207662037</x:v>
      </x:c>
      <x:c r="C826" s="32" t="str">
        <x:v>P07</x:v>
      </x:c>
      <x:c r="D826" s="32" t="str">
        <x:v>B2-W0-V1</x:v>
      </x:c>
      <x:c r="E826" s="32" t="str">
        <x:v>B2</x:v>
      </x:c>
      <x:c r="F826" s="32" t="str">
        <x:v>W0</x:v>
      </x:c>
      <x:c r="G826" s="32" t="str">
        <x:v>V1</x:v>
      </x:c>
      <x:c r="H826" s="32" t="str">
        <x:v>water_soil</x:v>
      </x:c>
      <x:c r="I826" s="32" t="str">
        <x:v>862323089930707</x:v>
      </x:c>
      <x:c r="J826" s="82" t="n">
        <x:v>32.7</x:v>
      </x:c>
      <x:c r="K826" s="82"/>
      <x:c r="L826" s="82" t="n">
        <x:v>39.3</x:v>
      </x:c>
      <x:c r="M826" s="82" t="n">
        <x:v>24.7</x:v>
      </x:c>
      <x:c r="N826" s="86" t="n">
        <x:v>834</x:v>
      </x:c>
      <x:c r="O826" s="90" t="n">
        <x:v>6.37</x:v>
      </x:c>
      <x:c r="P826" s="150" t="n">
        <x:v>3.938</x:v>
      </x:c>
      <x:c r="Q826" s="86" t="n">
        <x:v>24</x:v>
      </x:c>
      <x:c r="R826" s="32" t="str">
        <x:v>ok</x:v>
      </x:c>
      <x:c r="S826" s="32"/>
      <x:c r="T826" s="32" t="str">
        <x:v>ok</x:v>
      </x:c>
      <x:c r="U826" s="32" t="str">
        <x:v>ok</x:v>
      </x:c>
      <x:c r="V826" s="32" t="str">
        <x:v>ok</x:v>
      </x:c>
      <x:c r="W826" s="154" t="str">
        <x:v>{"schema_version":1,"imei":"862323089930707","timestamp":1786025153,"report_sequence":35,"task_version":"rice_w0_water_soil_demo","sensor_mode":"water_soil","soil_moisture_percent":39.3,"soil_temperature_c":24.7,"soil_ec_us_cm":834,"soil_ph":6.37,"battery_mv":3938,"csq":24,"soil_rs485_status":"ok","cycle_status":"ok","water_level_mm":32.7,"water_4_20ma_status":"ok"}</x:v>
      </x:c>
    </x:row>
    <x:row r="827">
      <x:c r="A827" s="72" t="n">
        <x:v>46240.920752314814</x:v>
      </x:c>
      <x:c r="B827" s="72" t="n">
        <x:v>46240.9207662037</x:v>
      </x:c>
      <x:c r="C827" s="32" t="str">
        <x:v>P08</x:v>
      </x:c>
      <x:c r="D827" s="32" t="str">
        <x:v>B2-W0-V2</x:v>
      </x:c>
      <x:c r="E827" s="32" t="str">
        <x:v>B2</x:v>
      </x:c>
      <x:c r="F827" s="32" t="str">
        <x:v>W0</x:v>
      </x:c>
      <x:c r="G827" s="32" t="str">
        <x:v>V2</x:v>
      </x:c>
      <x:c r="H827" s="32" t="str">
        <x:v>water_soil</x:v>
      </x:c>
      <x:c r="I827" s="32" t="str">
        <x:v>862323089930708</x:v>
      </x:c>
      <x:c r="J827" s="82" t="n">
        <x:v>24.5</x:v>
      </x:c>
      <x:c r="K827" s="82"/>
      <x:c r="L827" s="82" t="n">
        <x:v>32.6</x:v>
      </x:c>
      <x:c r="M827" s="82" t="n">
        <x:v>24.7</x:v>
      </x:c>
      <x:c r="N827" s="86" t="n">
        <x:v>851</x:v>
      </x:c>
      <x:c r="O827" s="90" t="n">
        <x:v>6.43</x:v>
      </x:c>
      <x:c r="P827" s="150" t="n">
        <x:v>3.956</x:v>
      </x:c>
      <x:c r="Q827" s="86" t="n">
        <x:v>17</x:v>
      </x:c>
      <x:c r="R827" s="32" t="str">
        <x:v>ok</x:v>
      </x:c>
      <x:c r="S827" s="32"/>
      <x:c r="T827" s="32" t="str">
        <x:v>ok</x:v>
      </x:c>
      <x:c r="U827" s="32" t="str">
        <x:v>ok</x:v>
      </x:c>
      <x:c r="V827" s="32" t="str">
        <x:v>ok</x:v>
      </x:c>
      <x:c r="W827" s="154" t="str">
        <x:v>{"schema_version":1,"imei":"862323089930708","timestamp":1786025153,"report_sequence":35,"task_version":"rice_w0_water_soil_demo","sensor_mode":"water_soil","soil_moisture_percent":32.6,"soil_temperature_c":24.7,"soil_ec_us_cm":851,"soil_ph":6.43,"battery_mv":3956,"csq":17,"soil_rs485_status":"ok","cycle_status":"ok","water_level_mm":24.5,"water_4_20ma_status":"ok"}</x:v>
      </x:c>
    </x:row>
    <x:row r="828">
      <x:c r="A828" s="72" t="n">
        <x:v>46240.920752314814</x:v>
      </x:c>
      <x:c r="B828" s="72" t="n">
        <x:v>46240.9207662037</x:v>
      </x:c>
      <x:c r="C828" s="32" t="str">
        <x:v>P09</x:v>
      </x:c>
      <x:c r="D828" s="32" t="str">
        <x:v>B2-W1-V1</x:v>
      </x:c>
      <x:c r="E828" s="32" t="str">
        <x:v>B2</x:v>
      </x:c>
      <x:c r="F828" s="32" t="str">
        <x:v>W1</x:v>
      </x:c>
      <x:c r="G828" s="32" t="str">
        <x:v>V1</x:v>
      </x:c>
      <x:c r="H828" s="32" t="str">
        <x:v>tension_soil</x:v>
      </x:c>
      <x:c r="I828" s="32" t="str">
        <x:v>862323089930709</x:v>
      </x:c>
      <x:c r="J828" s="82"/>
      <x:c r="K828" s="82" t="n">
        <x:v>-26</x:v>
      </x:c>
      <x:c r="L828" s="82" t="n">
        <x:v>34</x:v>
      </x:c>
      <x:c r="M828" s="82" t="n">
        <x:v>24.8</x:v>
      </x:c>
      <x:c r="N828" s="86" t="n">
        <x:v>870</x:v>
      </x:c>
      <x:c r="O828" s="90" t="n">
        <x:v>6.48</x:v>
      </x:c>
      <x:c r="P828" s="150" t="n">
        <x:v>3.974</x:v>
      </x:c>
      <x:c r="Q828" s="86" t="n">
        <x:v>18</x:v>
      </x:c>
      <x:c r="R828" s="32"/>
      <x:c r="S828" s="32" t="str">
        <x:v>ok</x:v>
      </x:c>
      <x:c r="T828" s="32" t="str">
        <x:v>ok</x:v>
      </x:c>
      <x:c r="U828" s="32" t="str">
        <x:v>ok</x:v>
      </x:c>
      <x:c r="V828" s="32" t="str">
        <x:v>ok</x:v>
      </x:c>
      <x:c r="W828" s="154" t="str">
        <x:v>{"schema_version":1,"imei":"862323089930709","timestamp":1786025153,"report_sequence":35,"task_version":"rice_tension_soil_demo","sensor_mode":"tension_soil","soil_moisture_percent":34,"soil_temperature_c":24.8,"soil_ec_us_cm":870,"soil_ph":6.48,"battery_mv":3974,"csq":18,"soil_rs485_status":"ok","cycle_status":"ok","soil_tension_kpa":-26,"soil_tension_rs485_status":"ok"}</x:v>
      </x:c>
    </x:row>
    <x:row r="829">
      <x:c r="A829" s="72" t="n">
        <x:v>46240.920752314814</x:v>
      </x:c>
      <x:c r="B829" s="72" t="n">
        <x:v>46240.9207662037</x:v>
      </x:c>
      <x:c r="C829" s="32" t="str">
        <x:v>P10</x:v>
      </x:c>
      <x:c r="D829" s="32" t="str">
        <x:v>B2-W1-V2</x:v>
      </x:c>
      <x:c r="E829" s="32" t="str">
        <x:v>B2</x:v>
      </x:c>
      <x:c r="F829" s="32" t="str">
        <x:v>W1</x:v>
      </x:c>
      <x:c r="G829" s="32" t="str">
        <x:v>V2</x:v>
      </x:c>
      <x:c r="H829" s="32" t="str">
        <x:v>tension_soil</x:v>
      </x:c>
      <x:c r="I829" s="32" t="str">
        <x:v>862323089930710</x:v>
      </x:c>
      <x:c r="J829" s="82"/>
      <x:c r="K829" s="82" t="n">
        <x:v>-22.4</x:v>
      </x:c>
      <x:c r="L829" s="82" t="n">
        <x:v>35.4</x:v>
      </x:c>
      <x:c r="M829" s="82" t="n">
        <x:v>25</x:v>
      </x:c>
      <x:c r="N829" s="86" t="n">
        <x:v>890</x:v>
      </x:c>
      <x:c r="O829" s="90" t="n">
        <x:v>6.29</x:v>
      </x:c>
      <x:c r="P829" s="150" t="n">
        <x:v>3.992</x:v>
      </x:c>
      <x:c r="Q829" s="86" t="n">
        <x:v>19</x:v>
      </x:c>
      <x:c r="R829" s="32"/>
      <x:c r="S829" s="32" t="str">
        <x:v>ok</x:v>
      </x:c>
      <x:c r="T829" s="32" t="str">
        <x:v>ok</x:v>
      </x:c>
      <x:c r="U829" s="32" t="str">
        <x:v>ok</x:v>
      </x:c>
      <x:c r="V829" s="32" t="str">
        <x:v>ok</x:v>
      </x:c>
      <x:c r="W829" s="154" t="str">
        <x:v>{"schema_version":1,"imei":"862323089930710","timestamp":1786025153,"report_sequence":35,"task_version":"rice_tension_soil_demo","sensor_mode":"tension_soil","soil_moisture_percent":35.4,"soil_temperature_c":25,"soil_ec_us_cm":890,"soil_ph":6.29,"battery_mv":3992,"csq":19,"soil_rs485_status":"ok","cycle_status":"ok","soil_tension_kpa":-22.4,"soil_tension_rs485_status":"ok"}</x:v>
      </x:c>
    </x:row>
    <x:row r="830">
      <x:c r="A830" s="72" t="n">
        <x:v>46240.920752314814</x:v>
      </x:c>
      <x:c r="B830" s="72" t="n">
        <x:v>46240.9207662037</x:v>
      </x:c>
      <x:c r="C830" s="32" t="str">
        <x:v>P11</x:v>
      </x:c>
      <x:c r="D830" s="32" t="str">
        <x:v>B2-W2-V1</x:v>
      </x:c>
      <x:c r="E830" s="32" t="str">
        <x:v>B2</x:v>
      </x:c>
      <x:c r="F830" s="32" t="str">
        <x:v>W2</x:v>
      </x:c>
      <x:c r="G830" s="32" t="str">
        <x:v>V1</x:v>
      </x:c>
      <x:c r="H830" s="32" t="str">
        <x:v>tension_soil</x:v>
      </x:c>
      <x:c r="I830" s="32" t="str">
        <x:v>862323089930711</x:v>
      </x:c>
      <x:c r="J830" s="82"/>
      <x:c r="K830" s="82" t="n">
        <x:v>-34.9</x:v>
      </x:c>
      <x:c r="L830" s="82" t="n">
        <x:v>36.9</x:v>
      </x:c>
      <x:c r="M830" s="82" t="n">
        <x:v>25.1</x:v>
      </x:c>
      <x:c r="N830" s="86" t="n">
        <x:v>911</x:v>
      </x:c>
      <x:c r="O830" s="90" t="n">
        <x:v>6.35</x:v>
      </x:c>
      <x:c r="P830" s="150" t="n">
        <x:v>4.01</x:v>
      </x:c>
      <x:c r="Q830" s="86" t="n">
        <x:v>20</x:v>
      </x:c>
      <x:c r="R830" s="32"/>
      <x:c r="S830" s="32" t="str">
        <x:v>ok</x:v>
      </x:c>
      <x:c r="T830" s="32" t="str">
        <x:v>ok</x:v>
      </x:c>
      <x:c r="U830" s="32" t="str">
        <x:v>ok</x:v>
      </x:c>
      <x:c r="V830" s="32" t="str">
        <x:v>ok</x:v>
      </x:c>
      <x:c r="W830" s="154" t="str">
        <x:v>{"schema_version":1,"imei":"862323089930711","timestamp":1786025153,"report_sequence":35,"task_version":"rice_tension_soil_demo","sensor_mode":"tension_soil","soil_moisture_percent":36.9,"soil_temperature_c":25.1,"soil_ec_us_cm":911,"soil_ph":6.35,"battery_mv":4010,"csq":20,"soil_rs485_status":"ok","cycle_status":"ok","soil_tension_kpa":-34.9,"soil_tension_rs485_status":"ok"}</x:v>
      </x:c>
    </x:row>
    <x:row r="831">
      <x:c r="A831" s="72" t="n">
        <x:v>46240.920752314814</x:v>
      </x:c>
      <x:c r="B831" s="72" t="n">
        <x:v>46240.9207662037</x:v>
      </x:c>
      <x:c r="C831" s="32" t="str">
        <x:v>P12</x:v>
      </x:c>
      <x:c r="D831" s="32" t="str">
        <x:v>B2-W2-V2</x:v>
      </x:c>
      <x:c r="E831" s="32" t="str">
        <x:v>B2</x:v>
      </x:c>
      <x:c r="F831" s="32" t="str">
        <x:v>W2</x:v>
      </x:c>
      <x:c r="G831" s="32" t="str">
        <x:v>V2</x:v>
      </x:c>
      <x:c r="H831" s="32" t="str">
        <x:v>tension_soil</x:v>
      </x:c>
      <x:c r="I831" s="32" t="str">
        <x:v>862323089930712</x:v>
      </x:c>
      <x:c r="J831" s="82"/>
      <x:c r="K831" s="82" t="n">
        <x:v>-36.4</x:v>
      </x:c>
      <x:c r="L831" s="82" t="n">
        <x:v>38.4</x:v>
      </x:c>
      <x:c r="M831" s="82" t="n">
        <x:v>25.2</x:v>
      </x:c>
      <x:c r="N831" s="86" t="n">
        <x:v>932</x:v>
      </x:c>
      <x:c r="O831" s="90" t="n">
        <x:v>6.41</x:v>
      </x:c>
      <x:c r="P831" s="150" t="n">
        <x:v>3.92</x:v>
      </x:c>
      <x:c r="Q831" s="86" t="n">
        <x:v>21</x:v>
      </x:c>
      <x:c r="R831" s="32"/>
      <x:c r="S831" s="32" t="str">
        <x:v>ok</x:v>
      </x:c>
      <x:c r="T831" s="32" t="str">
        <x:v>ok</x:v>
      </x:c>
      <x:c r="U831" s="32" t="str">
        <x:v>ok</x:v>
      </x:c>
      <x:c r="V831" s="32" t="str">
        <x:v>ok</x:v>
      </x:c>
      <x:c r="W831" s="154" t="str">
        <x:v>{"schema_version":1,"imei":"862323089930712","timestamp":1786025153,"report_sequence":35,"task_version":"rice_tension_soil_demo","sensor_mode":"tension_soil","soil_moisture_percent":38.4,"soil_temperature_c":25.2,"soil_ec_us_cm":932,"soil_ph":6.41,"battery_mv":3920,"csq":21,"soil_rs485_status":"ok","cycle_status":"ok","soil_tension_kpa":-36.4,"soil_tension_rs485_status":"ok"}</x:v>
      </x:c>
    </x:row>
    <x:row r="832">
      <x:c r="A832" s="72" t="n">
        <x:v>46240.920752314814</x:v>
      </x:c>
      <x:c r="B832" s="72" t="n">
        <x:v>46240.9207662037</x:v>
      </x:c>
      <x:c r="C832" s="32" t="str">
        <x:v>P13</x:v>
      </x:c>
      <x:c r="D832" s="32" t="str">
        <x:v>B3-W0-V1</x:v>
      </x:c>
      <x:c r="E832" s="32" t="str">
        <x:v>B3</x:v>
      </x:c>
      <x:c r="F832" s="32" t="str">
        <x:v>W0</x:v>
      </x:c>
      <x:c r="G832" s="32" t="str">
        <x:v>V1</x:v>
      </x:c>
      <x:c r="H832" s="32" t="str">
        <x:v>water_soil</x:v>
      </x:c>
      <x:c r="I832" s="32" t="str">
        <x:v>862323089930713</x:v>
      </x:c>
      <x:c r="J832" s="82" t="n">
        <x:v>33.3</x:v>
      </x:c>
      <x:c r="K832" s="82"/>
      <x:c r="L832" s="82" t="n">
        <x:v>39.9</x:v>
      </x:c>
      <x:c r="M832" s="82" t="n">
        <x:v>25.3</x:v>
      </x:c>
      <x:c r="N832" s="86" t="n">
        <x:v>952</x:v>
      </x:c>
      <x:c r="O832" s="90" t="n">
        <x:v>6.46</x:v>
      </x:c>
      <x:c r="P832" s="150" t="n">
        <x:v>3.938</x:v>
      </x:c>
      <x:c r="Q832" s="86" t="n">
        <x:v>22</x:v>
      </x:c>
      <x:c r="R832" s="32" t="str">
        <x:v>ok</x:v>
      </x:c>
      <x:c r="S832" s="32"/>
      <x:c r="T832" s="32" t="str">
        <x:v>ok</x:v>
      </x:c>
      <x:c r="U832" s="32" t="str">
        <x:v>ok</x:v>
      </x:c>
      <x:c r="V832" s="32" t="str">
        <x:v>ok</x:v>
      </x:c>
      <x:c r="W832" s="154" t="str">
        <x:v>{"schema_version":1,"imei":"862323089930713","timestamp":1786025153,"report_sequence":35,"task_version":"rice_w0_water_soil_demo","sensor_mode":"water_soil","soil_moisture_percent":39.9,"soil_temperature_c":25.3,"soil_ec_us_cm":952,"soil_ph":6.46,"battery_mv":3938,"csq":22,"soil_rs485_status":"ok","cycle_status":"ok","water_level_mm":33.3,"water_4_20ma_status":"ok"}</x:v>
      </x:c>
    </x:row>
    <x:row r="833">
      <x:c r="A833" s="72" t="n">
        <x:v>46240.920752314814</x:v>
      </x:c>
      <x:c r="B833" s="72" t="n">
        <x:v>46240.9207662037</x:v>
      </x:c>
      <x:c r="C833" s="32" t="str">
        <x:v>P14</x:v>
      </x:c>
      <x:c r="D833" s="32" t="str">
        <x:v>B3-W0-V2</x:v>
      </x:c>
      <x:c r="E833" s="32" t="str">
        <x:v>B3</x:v>
      </x:c>
      <x:c r="F833" s="32" t="str">
        <x:v>W0</x:v>
      </x:c>
      <x:c r="G833" s="32" t="str">
        <x:v>V2</x:v>
      </x:c>
      <x:c r="H833" s="32" t="str">
        <x:v>water_soil</x:v>
      </x:c>
      <x:c r="I833" s="32" t="str">
        <x:v>862323089930714</x:v>
      </x:c>
      <x:c r="J833" s="82" t="n">
        <x:v>37.3</x:v>
      </x:c>
      <x:c r="K833" s="82"/>
      <x:c r="L833" s="82" t="n">
        <x:v>41.3</x:v>
      </x:c>
      <x:c r="M833" s="82" t="n">
        <x:v>25.4</x:v>
      </x:c>
      <x:c r="N833" s="86" t="n">
        <x:v>971</x:v>
      </x:c>
      <x:c r="O833" s="90" t="n">
        <x:v>6.52</x:v>
      </x:c>
      <x:c r="P833" s="150" t="n">
        <x:v>3.956</x:v>
      </x:c>
      <x:c r="Q833" s="86" t="n">
        <x:v>23</x:v>
      </x:c>
      <x:c r="R833" s="32" t="str">
        <x:v>ok</x:v>
      </x:c>
      <x:c r="S833" s="32"/>
      <x:c r="T833" s="32" t="str">
        <x:v>ok</x:v>
      </x:c>
      <x:c r="U833" s="32" t="str">
        <x:v>ok</x:v>
      </x:c>
      <x:c r="V833" s="32" t="str">
        <x:v>ok</x:v>
      </x:c>
      <x:c r="W833" s="154" t="str">
        <x:v>{"schema_version":1,"imei":"862323089930714","timestamp":1786025153,"report_sequence":35,"task_version":"rice_w0_water_soil_demo","sensor_mode":"water_soil","soil_moisture_percent":41.3,"soil_temperature_c":25.4,"soil_ec_us_cm":971,"soil_ph":6.52,"battery_mv":3956,"csq":23,"soil_rs485_status":"ok","cycle_status":"ok","water_level_mm":37.3,"water_4_20ma_status":"ok"}</x:v>
      </x:c>
    </x:row>
    <x:row r="834">
      <x:c r="A834" s="72" t="n">
        <x:v>46240.920752314814</x:v>
      </x:c>
      <x:c r="B834" s="72" t="n">
        <x:v>46240.9207662037</x:v>
      </x:c>
      <x:c r="C834" s="32" t="str">
        <x:v>P15</x:v>
      </x:c>
      <x:c r="D834" s="32" t="str">
        <x:v>B3-W1-V1</x:v>
      </x:c>
      <x:c r="E834" s="32" t="str">
        <x:v>B3</x:v>
      </x:c>
      <x:c r="F834" s="32" t="str">
        <x:v>W1</x:v>
      </x:c>
      <x:c r="G834" s="32" t="str">
        <x:v>V1</x:v>
      </x:c>
      <x:c r="H834" s="32" t="str">
        <x:v>tension_soil</x:v>
      </x:c>
      <x:c r="I834" s="32" t="str">
        <x:v>862323089930715</x:v>
      </x:c>
      <x:c r="J834" s="82"/>
      <x:c r="K834" s="82" t="n">
        <x:v>-24.6</x:v>
      </x:c>
      <x:c r="L834" s="82" t="n">
        <x:v>42.6</x:v>
      </x:c>
      <x:c r="M834" s="82" t="n">
        <x:v>25.5</x:v>
      </x:c>
      <x:c r="N834" s="86" t="n">
        <x:v>989</x:v>
      </x:c>
      <x:c r="O834" s="90" t="n">
        <x:v>6.32</x:v>
      </x:c>
      <x:c r="P834" s="150" t="n">
        <x:v>3.974</x:v>
      </x:c>
      <x:c r="Q834" s="86" t="n">
        <x:v>24</x:v>
      </x:c>
      <x:c r="R834" s="32"/>
      <x:c r="S834" s="32" t="str">
        <x:v>ok</x:v>
      </x:c>
      <x:c r="T834" s="32" t="str">
        <x:v>ok</x:v>
      </x:c>
      <x:c r="U834" s="32" t="str">
        <x:v>ok</x:v>
      </x:c>
      <x:c r="V834" s="32" t="str">
        <x:v>ok</x:v>
      </x:c>
      <x:c r="W834" s="154" t="str">
        <x:v>{"schema_version":1,"imei":"862323089930715","timestamp":1786025153,"report_sequence":35,"task_version":"rice_tension_soil_demo","sensor_mode":"tension_soil","soil_moisture_percent":42.6,"soil_temperature_c":25.5,"soil_ec_us_cm":989,"soil_ph":6.32,"battery_mv":3974,"csq":24,"soil_rs485_status":"ok","cycle_status":"ok","soil_tension_kpa":-24.6,"soil_tension_rs485_status":"ok"}</x:v>
      </x:c>
    </x:row>
    <x:row r="835">
      <x:c r="A835" s="72" t="n">
        <x:v>46240.920752314814</x:v>
      </x:c>
      <x:c r="B835" s="72" t="n">
        <x:v>46240.9207662037</x:v>
      </x:c>
      <x:c r="C835" s="32" t="str">
        <x:v>P16</x:v>
      </x:c>
      <x:c r="D835" s="32" t="str">
        <x:v>B3-W1-V2</x:v>
      </x:c>
      <x:c r="E835" s="32" t="str">
        <x:v>B3</x:v>
      </x:c>
      <x:c r="F835" s="32" t="str">
        <x:v>W1</x:v>
      </x:c>
      <x:c r="G835" s="32" t="str">
        <x:v>V2</x:v>
      </x:c>
      <x:c r="H835" s="32" t="str">
        <x:v>tension_soil</x:v>
      </x:c>
      <x:c r="I835" s="32" t="str">
        <x:v>862323089930716</x:v>
      </x:c>
      <x:c r="J835" s="82"/>
      <x:c r="K835" s="82" t="n">
        <x:v>-25.9</x:v>
      </x:c>
      <x:c r="L835" s="82" t="n">
        <x:v>35.9</x:v>
      </x:c>
      <x:c r="M835" s="82" t="n">
        <x:v>25.6</x:v>
      </x:c>
      <x:c r="N835" s="86" t="n">
        <x:v>1005</x:v>
      </x:c>
      <x:c r="O835" s="90" t="n">
        <x:v>6.38</x:v>
      </x:c>
      <x:c r="P835" s="150" t="n">
        <x:v>3.992</x:v>
      </x:c>
      <x:c r="Q835" s="86" t="n">
        <x:v>17</x:v>
      </x:c>
      <x:c r="R835" s="32"/>
      <x:c r="S835" s="32" t="str">
        <x:v>ok</x:v>
      </x:c>
      <x:c r="T835" s="32" t="str">
        <x:v>ok</x:v>
      </x:c>
      <x:c r="U835" s="32" t="str">
        <x:v>ok</x:v>
      </x:c>
      <x:c r="V835" s="32" t="str">
        <x:v>ok</x:v>
      </x:c>
      <x:c r="W835" s="154" t="str">
        <x:v>{"schema_version":1,"imei":"862323089930716","timestamp":1786025153,"report_sequence":35,"task_version":"rice_tension_soil_demo","sensor_mode":"tension_soil","soil_moisture_percent":35.9,"soil_temperature_c":25.6,"soil_ec_us_cm":1005,"soil_ph":6.38,"battery_mv":3992,"csq":17,"soil_rs485_status":"ok","cycle_status":"ok","soil_tension_kpa":-25.9,"soil_tension_rs485_status":"ok"}</x:v>
      </x:c>
    </x:row>
    <x:row r="836">
      <x:c r="A836" s="72" t="n">
        <x:v>46240.920752314814</x:v>
      </x:c>
      <x:c r="B836" s="72" t="n">
        <x:v>46240.9207662037</x:v>
      </x:c>
      <x:c r="C836" s="32" t="str">
        <x:v>P17</x:v>
      </x:c>
      <x:c r="D836" s="32" t="str">
        <x:v>B3-W2-V1</x:v>
      </x:c>
      <x:c r="E836" s="32" t="str">
        <x:v>B3</x:v>
      </x:c>
      <x:c r="F836" s="32" t="str">
        <x:v>W2</x:v>
      </x:c>
      <x:c r="G836" s="32" t="str">
        <x:v>V1</x:v>
      </x:c>
      <x:c r="H836" s="32" t="str">
        <x:v>tension_soil</x:v>
      </x:c>
      <x:c r="I836" s="32" t="str">
        <x:v>862323089930717</x:v>
      </x:c>
      <x:c r="J836" s="82"/>
      <x:c r="K836" s="82" t="n">
        <x:v>-38</x:v>
      </x:c>
      <x:c r="L836" s="82" t="n">
        <x:v>37</x:v>
      </x:c>
      <x:c r="M836" s="82" t="n">
        <x:v>25.6</x:v>
      </x:c>
      <x:c r="N836" s="86" t="n">
        <x:v>1019</x:v>
      </x:c>
      <x:c r="O836" s="90" t="n">
        <x:v>6.43</x:v>
      </x:c>
      <x:c r="P836" s="150" t="n">
        <x:v>4.01</x:v>
      </x:c>
      <x:c r="Q836" s="86" t="n">
        <x:v>18</x:v>
      </x:c>
      <x:c r="R836" s="32"/>
      <x:c r="S836" s="32" t="str">
        <x:v>ok</x:v>
      </x:c>
      <x:c r="T836" s="32" t="str">
        <x:v>ok</x:v>
      </x:c>
      <x:c r="U836" s="32" t="str">
        <x:v>ok</x:v>
      </x:c>
      <x:c r="V836" s="32" t="str">
        <x:v>ok</x:v>
      </x:c>
      <x:c r="W836" s="154" t="str">
        <x:v>{"schema_version":1,"imei":"862323089930717","timestamp":1786025153,"report_sequence":35,"task_version":"rice_tension_soil_demo","sensor_mode":"tension_soil","soil_moisture_percent":37,"soil_temperature_c":25.6,"soil_ec_us_cm":1019,"soil_ph":6.43,"battery_mv":4010,"csq":18,"soil_rs485_status":"ok","cycle_status":"ok","soil_tension_kpa":-38,"soil_tension_rs485_status":"ok"}</x:v>
      </x:c>
    </x:row>
    <x:row r="837">
      <x:c r="A837" s="72" t="n">
        <x:v>46240.920752314814</x:v>
      </x:c>
      <x:c r="B837" s="72" t="n">
        <x:v>46240.9207662037</x:v>
      </x:c>
      <x:c r="C837" s="32" t="str">
        <x:v>P18</x:v>
      </x:c>
      <x:c r="D837" s="32" t="str">
        <x:v>B3-W2-V2</x:v>
      </x:c>
      <x:c r="E837" s="32" t="str">
        <x:v>B3</x:v>
      </x:c>
      <x:c r="F837" s="32" t="str">
        <x:v>W2</x:v>
      </x:c>
      <x:c r="G837" s="32" t="str">
        <x:v>V2</x:v>
      </x:c>
      <x:c r="H837" s="32" t="str">
        <x:v>tension_soil</x:v>
      </x:c>
      <x:c r="I837" s="32" t="str">
        <x:v>862323089930718</x:v>
      </x:c>
      <x:c r="J837" s="82"/>
      <x:c r="K837" s="82" t="n">
        <x:v>-39</x:v>
      </x:c>
      <x:c r="L837" s="82" t="n">
        <x:v>38</x:v>
      </x:c>
      <x:c r="M837" s="82" t="n">
        <x:v>25.6</x:v>
      </x:c>
      <x:c r="N837" s="86" t="n">
        <x:v>1031</x:v>
      </x:c>
      <x:c r="O837" s="90" t="n">
        <x:v>6.48</x:v>
      </x:c>
      <x:c r="P837" s="150" t="n">
        <x:v>3.92</x:v>
      </x:c>
      <x:c r="Q837" s="86" t="n">
        <x:v>19</x:v>
      </x:c>
      <x:c r="R837" s="32"/>
      <x:c r="S837" s="32" t="str">
        <x:v>ok</x:v>
      </x:c>
      <x:c r="T837" s="32" t="str">
        <x:v>ok</x:v>
      </x:c>
      <x:c r="U837" s="32" t="str">
        <x:v>ok</x:v>
      </x:c>
      <x:c r="V837" s="32" t="str">
        <x:v>ok</x:v>
      </x:c>
      <x:c r="W837" s="154" t="str">
        <x:v>{"schema_version":1,"imei":"862323089930718","timestamp":1786025153,"report_sequence":35,"task_version":"rice_tension_soil_demo","sensor_mode":"tension_soil","soil_moisture_percent":38,"soil_temperature_c":25.6,"soil_ec_us_cm":1031,"soil_ph":6.48,"battery_mv":3920,"csq":19,"soil_rs485_status":"ok","cycle_status":"ok","soil_tension_kpa":-39,"soil_tension_rs485_status":"ok"}</x:v>
      </x:c>
    </x:row>
    <x:row r="838">
      <x:c r="A838" s="72" t="n">
        <x:v>46240.920752314814</x:v>
      </x:c>
      <x:c r="B838" s="72" t="n">
        <x:v>46240.9207662037</x:v>
      </x:c>
      <x:c r="C838" s="32" t="str">
        <x:v>P19</x:v>
      </x:c>
      <x:c r="D838" s="32" t="str">
        <x:v>B4-W0-V1</x:v>
      </x:c>
      <x:c r="E838" s="32" t="str">
        <x:v>B4</x:v>
      </x:c>
      <x:c r="F838" s="32" t="str">
        <x:v>W0</x:v>
      </x:c>
      <x:c r="G838" s="32" t="str">
        <x:v>V1</x:v>
      </x:c>
      <x:c r="H838" s="32" t="str">
        <x:v>water_soil</x:v>
      </x:c>
      <x:c r="I838" s="32" t="str">
        <x:v>862323089930719</x:v>
      </x:c>
      <x:c r="J838" s="82" t="n">
        <x:v>41.6</x:v>
      </x:c>
      <x:c r="K838" s="82"/>
      <x:c r="L838" s="82" t="n">
        <x:v>38.8</x:v>
      </x:c>
      <x:c r="M838" s="82" t="n">
        <x:v>25.6</x:v>
      </x:c>
      <x:c r="N838" s="86" t="n">
        <x:v>1040</x:v>
      </x:c>
      <x:c r="O838" s="90" t="n">
        <x:v>6.53</x:v>
      </x:c>
      <x:c r="P838" s="150" t="n">
        <x:v>3.938</x:v>
      </x:c>
      <x:c r="Q838" s="86" t="n">
        <x:v>20</x:v>
      </x:c>
      <x:c r="R838" s="32" t="str">
        <x:v>ok</x:v>
      </x:c>
      <x:c r="S838" s="32"/>
      <x:c r="T838" s="32" t="str">
        <x:v>ok</x:v>
      </x:c>
      <x:c r="U838" s="32" t="str">
        <x:v>ok</x:v>
      </x:c>
      <x:c r="V838" s="32" t="str">
        <x:v>ok</x:v>
      </x:c>
      <x:c r="W838" s="154" t="str">
        <x:v>{"schema_version":1,"imei":"862323089930719","timestamp":1786025153,"report_sequence":35,"task_version":"rice_w0_water_soil_demo","sensor_mode":"water_soil","soil_moisture_percent":38.8,"soil_temperature_c":25.6,"soil_ec_us_cm":1040,"soil_ph":6.53,"battery_mv":3938,"csq":20,"soil_rs485_status":"ok","cycle_status":"ok","water_level_mm":41.6,"water_4_20ma_status":"ok"}</x:v>
      </x:c>
    </x:row>
    <x:row r="839">
      <x:c r="A839" s="72" t="n">
        <x:v>46240.920752314814</x:v>
      </x:c>
      <x:c r="B839" s="72" t="n">
        <x:v>46240.9207662037</x:v>
      </x:c>
      <x:c r="C839" s="32" t="str">
        <x:v>P20</x:v>
      </x:c>
      <x:c r="D839" s="32" t="str">
        <x:v>B4-W0-V2</x:v>
      </x:c>
      <x:c r="E839" s="32" t="str">
        <x:v>B4</x:v>
      </x:c>
      <x:c r="F839" s="32" t="str">
        <x:v>W0</x:v>
      </x:c>
      <x:c r="G839" s="32" t="str">
        <x:v>V2</x:v>
      </x:c>
      <x:c r="H839" s="32" t="str">
        <x:v>water_soil</x:v>
      </x:c>
      <x:c r="I839" s="32" t="str">
        <x:v>862323089930720</x:v>
      </x:c>
      <x:c r="J839" s="82" t="n">
        <x:v>32</x:v>
      </x:c>
      <x:c r="K839" s="82"/>
      <x:c r="L839" s="82" t="n">
        <x:v>39.6</x:v>
      </x:c>
      <x:c r="M839" s="82" t="n">
        <x:v>25.5</x:v>
      </x:c>
      <x:c r="N839" s="86" t="n">
        <x:v>1048</x:v>
      </x:c>
      <x:c r="O839" s="90" t="n">
        <x:v>6.32</x:v>
      </x:c>
      <x:c r="P839" s="150" t="n">
        <x:v>3.956</x:v>
      </x:c>
      <x:c r="Q839" s="86" t="n">
        <x:v>21</x:v>
      </x:c>
      <x:c r="R839" s="32" t="str">
        <x:v>ok</x:v>
      </x:c>
      <x:c r="S839" s="32"/>
      <x:c r="T839" s="32" t="str">
        <x:v>ok</x:v>
      </x:c>
      <x:c r="U839" s="32" t="str">
        <x:v>ok</x:v>
      </x:c>
      <x:c r="V839" s="32" t="str">
        <x:v>ok</x:v>
      </x:c>
      <x:c r="W839" s="154" t="str">
        <x:v>{"schema_version":1,"imei":"862323089930720","timestamp":1786025153,"report_sequence":35,"task_version":"rice_w0_water_soil_demo","sensor_mode":"water_soil","soil_moisture_percent":39.6,"soil_temperature_c":25.5,"soil_ec_us_cm":1048,"soil_ph":6.32,"battery_mv":3956,"csq":21,"soil_rs485_status":"ok","cycle_status":"ok","water_level_mm":32,"water_4_20ma_status":"ok"}</x:v>
      </x:c>
    </x:row>
    <x:row r="840">
      <x:c r="A840" s="72" t="n">
        <x:v>46240.920752314814</x:v>
      </x:c>
      <x:c r="B840" s="72" t="n">
        <x:v>46240.9207662037</x:v>
      </x:c>
      <x:c r="C840" s="32" t="str">
        <x:v>P21</x:v>
      </x:c>
      <x:c r="D840" s="32" t="str">
        <x:v>B4-W1-V1</x:v>
      </x:c>
      <x:c r="E840" s="32" t="str">
        <x:v>B4</x:v>
      </x:c>
      <x:c r="F840" s="32" t="str">
        <x:v>W1</x:v>
      </x:c>
      <x:c r="G840" s="32" t="str">
        <x:v>V1</x:v>
      </x:c>
      <x:c r="H840" s="32" t="str">
        <x:v>tension_soil</x:v>
      </x:c>
      <x:c r="I840" s="32" t="str">
        <x:v>862323089930721</x:v>
      </x:c>
      <x:c r="J840" s="82"/>
      <x:c r="K840" s="82" t="n">
        <x:v>-25.2</x:v>
      </x:c>
      <x:c r="L840" s="82" t="n">
        <x:v>40.2</x:v>
      </x:c>
      <x:c r="M840" s="82" t="n">
        <x:v>25.4</x:v>
      </x:c>
      <x:c r="N840" s="86" t="n">
        <x:v>1054</x:v>
      </x:c>
      <x:c r="O840" s="90" t="n">
        <x:v>6.37</x:v>
      </x:c>
      <x:c r="P840" s="150" t="n">
        <x:v>3.974</x:v>
      </x:c>
      <x:c r="Q840" s="86" t="n">
        <x:v>22</x:v>
      </x:c>
      <x:c r="R840" s="32"/>
      <x:c r="S840" s="32" t="str">
        <x:v>ok</x:v>
      </x:c>
      <x:c r="T840" s="32" t="str">
        <x:v>ok</x:v>
      </x:c>
      <x:c r="U840" s="32" t="str">
        <x:v>ok</x:v>
      </x:c>
      <x:c r="V840" s="32" t="str">
        <x:v>ok</x:v>
      </x:c>
      <x:c r="W840" s="154" t="str">
        <x:v>{"schema_version":1,"imei":"862323089930721","timestamp":1786025153,"report_sequence":35,"task_version":"rice_tension_soil_demo","sensor_mode":"tension_soil","soil_moisture_percent":40.2,"soil_temperature_c":25.4,"soil_ec_us_cm":1054,"soil_ph":6.37,"battery_mv":3974,"csq":22,"soil_rs485_status":"ok","cycle_status":"ok","soil_tension_kpa":-25.2,"soil_tension_rs485_status":"ok"}</x:v>
      </x:c>
    </x:row>
    <x:row r="841">
      <x:c r="A841" s="72" t="n">
        <x:v>46240.920752314814</x:v>
      </x:c>
      <x:c r="B841" s="72" t="n">
        <x:v>46240.9207662037</x:v>
      </x:c>
      <x:c r="C841" s="32" t="str">
        <x:v>P22</x:v>
      </x:c>
      <x:c r="D841" s="32" t="str">
        <x:v>B4-W1-V2</x:v>
      </x:c>
      <x:c r="E841" s="32" t="str">
        <x:v>B4</x:v>
      </x:c>
      <x:c r="F841" s="32" t="str">
        <x:v>W1</x:v>
      </x:c>
      <x:c r="G841" s="32" t="str">
        <x:v>V2</x:v>
      </x:c>
      <x:c r="H841" s="32" t="str">
        <x:v>tension_soil</x:v>
      </x:c>
      <x:c r="I841" s="32" t="str">
        <x:v>862323089930722</x:v>
      </x:c>
      <x:c r="J841" s="82"/>
      <x:c r="K841" s="82" t="n">
        <x:v>-25.8</x:v>
      </x:c>
      <x:c r="L841" s="82" t="n">
        <x:v>40.8</x:v>
      </x:c>
      <x:c r="M841" s="82" t="n">
        <x:v>25.3</x:v>
      </x:c>
      <x:c r="N841" s="86" t="n">
        <x:v>1058</x:v>
      </x:c>
      <x:c r="O841" s="90" t="n">
        <x:v>6.41</x:v>
      </x:c>
      <x:c r="P841" s="150" t="n">
        <x:v>3.992</x:v>
      </x:c>
      <x:c r="Q841" s="86" t="n">
        <x:v>23</x:v>
      </x:c>
      <x:c r="R841" s="32"/>
      <x:c r="S841" s="32" t="str">
        <x:v>ok</x:v>
      </x:c>
      <x:c r="T841" s="32" t="str">
        <x:v>ok</x:v>
      </x:c>
      <x:c r="U841" s="32" t="str">
        <x:v>ok</x:v>
      </x:c>
      <x:c r="V841" s="32" t="str">
        <x:v>ok</x:v>
      </x:c>
      <x:c r="W841" s="154" t="str">
        <x:v>{"schema_version":1,"imei":"862323089930722","timestamp":1786025153,"report_sequence":35,"task_version":"rice_tension_soil_demo","sensor_mode":"tension_soil","soil_moisture_percent":40.8,"soil_temperature_c":25.3,"soil_ec_us_cm":1058,"soil_ph":6.41,"battery_mv":3992,"csq":23,"soil_rs485_status":"ok","cycle_status":"ok","soil_tension_kpa":-25.8,"soil_tension_rs485_status":"ok"}</x:v>
      </x:c>
    </x:row>
    <x:row r="842">
      <x:c r="A842" s="72" t="n">
        <x:v>46240.920752314814</x:v>
      </x:c>
      <x:c r="B842" s="72" t="n">
        <x:v>46240.9207662037</x:v>
      </x:c>
      <x:c r="C842" s="32" t="str">
        <x:v>P23</x:v>
      </x:c>
      <x:c r="D842" s="32" t="str">
        <x:v>B4-W2-V1</x:v>
      </x:c>
      <x:c r="E842" s="32" t="str">
        <x:v>B4</x:v>
      </x:c>
      <x:c r="F842" s="32" t="str">
        <x:v>W2</x:v>
      </x:c>
      <x:c r="G842" s="32" t="str">
        <x:v>V1</x:v>
      </x:c>
      <x:c r="H842" s="32" t="str">
        <x:v>tension_soil</x:v>
      </x:c>
      <x:c r="I842" s="32" t="str">
        <x:v>862323089930723</x:v>
      </x:c>
      <x:c r="J842" s="82"/>
      <x:c r="K842" s="82" t="n">
        <x:v>-37.3</x:v>
      </x:c>
      <x:c r="L842" s="82" t="n">
        <x:v>41.3</x:v>
      </x:c>
      <x:c r="M842" s="82" t="n">
        <x:v>25.2</x:v>
      </x:c>
      <x:c r="N842" s="86" t="n">
        <x:v>1062</x:v>
      </x:c>
      <x:c r="O842" s="90" t="n">
        <x:v>6.46</x:v>
      </x:c>
      <x:c r="P842" s="150" t="n">
        <x:v>4.01</x:v>
      </x:c>
      <x:c r="Q842" s="86" t="n">
        <x:v>24</x:v>
      </x:c>
      <x:c r="R842" s="32"/>
      <x:c r="S842" s="32" t="str">
        <x:v>ok</x:v>
      </x:c>
      <x:c r="T842" s="32" t="str">
        <x:v>ok</x:v>
      </x:c>
      <x:c r="U842" s="32" t="str">
        <x:v>ok</x:v>
      </x:c>
      <x:c r="V842" s="32" t="str">
        <x:v>ok</x:v>
      </x:c>
      <x:c r="W842" s="154" t="str">
        <x:v>{"schema_version":1,"imei":"862323089930723","timestamp":1786025153,"report_sequence":35,"task_version":"rice_tension_soil_demo","sensor_mode":"tension_soil","soil_moisture_percent":41.3,"soil_temperature_c":25.2,"soil_ec_us_cm":1062,"soil_ph":6.46,"battery_mv":4010,"csq":24,"soil_rs485_status":"ok","cycle_status":"ok","soil_tension_kpa":-37.3,"soil_tension_rs485_status":"ok"}</x:v>
      </x:c>
    </x:row>
    <x:row r="843">
      <x:c r="A843" s="72" t="n">
        <x:v>46240.920752314814</x:v>
      </x:c>
      <x:c r="B843" s="72" t="n">
        <x:v>46240.9207662037</x:v>
      </x:c>
      <x:c r="C843" s="32" t="str">
        <x:v>P24</x:v>
      </x:c>
      <x:c r="D843" s="32" t="str">
        <x:v>B4-W2-V2</x:v>
      </x:c>
      <x:c r="E843" s="32" t="str">
        <x:v>B4</x:v>
      </x:c>
      <x:c r="F843" s="32" t="str">
        <x:v>W2</x:v>
      </x:c>
      <x:c r="G843" s="32" t="str">
        <x:v>V2</x:v>
      </x:c>
      <x:c r="H843" s="32" t="str">
        <x:v>tension_soil</x:v>
      </x:c>
      <x:c r="I843" s="32" t="str">
        <x:v>862323089930724</x:v>
      </x:c>
      <x:c r="J843" s="82"/>
      <x:c r="K843" s="82" t="n">
        <x:v>-37.8</x:v>
      </x:c>
      <x:c r="L843" s="82" t="n">
        <x:v>33.8</x:v>
      </x:c>
      <x:c r="M843" s="82" t="n">
        <x:v>25.1</x:v>
      </x:c>
      <x:c r="N843" s="86" t="n">
        <x:v>1065</x:v>
      </x:c>
      <x:c r="O843" s="90" t="n">
        <x:v>6.5</x:v>
      </x:c>
      <x:c r="P843" s="150" t="n">
        <x:v>3.92</x:v>
      </x:c>
      <x:c r="Q843" s="86" t="n">
        <x:v>17</x:v>
      </x:c>
      <x:c r="R843" s="32"/>
      <x:c r="S843" s="32" t="str">
        <x:v>ok</x:v>
      </x:c>
      <x:c r="T843" s="32" t="str">
        <x:v>ok</x:v>
      </x:c>
      <x:c r="U843" s="32" t="str">
        <x:v>ok</x:v>
      </x:c>
      <x:c r="V843" s="32" t="str">
        <x:v>ok</x:v>
      </x:c>
      <x:c r="W843" s="154" t="str">
        <x:v>{"schema_version":1,"imei":"862323089930724","timestamp":1786025153,"report_sequence":35,"task_version":"rice_tension_soil_demo","sensor_mode":"tension_soil","soil_moisture_percent":33.8,"soil_temperature_c":25.1,"soil_ec_us_cm":1065,"soil_ph":6.5,"battery_mv":3920,"csq":17,"soil_rs485_status":"ok","cycle_status":"ok","soil_tension_kpa":-37.8,"soil_tension_rs485_status":"ok"}</x:v>
      </x:c>
    </x:row>
    <x:row r="844">
      <x:c r="A844" s="72" t="n">
        <x:v>46240.92422453704</x:v>
      </x:c>
      <x:c r="B844" s="72" t="n">
        <x:v>46240.92423842593</x:v>
      </x:c>
      <x:c r="C844" s="32" t="str">
        <x:v>P01</x:v>
      </x:c>
      <x:c r="D844" s="32" t="str">
        <x:v>B1-W0-V1</x:v>
      </x:c>
      <x:c r="E844" s="32" t="str">
        <x:v>B1</x:v>
      </x:c>
      <x:c r="F844" s="32" t="str">
        <x:v>W0</x:v>
      </x:c>
      <x:c r="G844" s="32" t="str">
        <x:v>V1</x:v>
      </x:c>
      <x:c r="H844" s="32" t="str">
        <x:v>water_soil</x:v>
      </x:c>
      <x:c r="I844" s="32" t="str">
        <x:v>862323089930701</x:v>
      </x:c>
      <x:c r="J844" s="82" t="n">
        <x:v>29.2</x:v>
      </x:c>
      <x:c r="K844" s="82"/>
      <x:c r="L844" s="82" t="n">
        <x:v>34.3</x:v>
      </x:c>
      <x:c r="M844" s="82" t="n">
        <x:v>24.9</x:v>
      </x:c>
      <x:c r="N844" s="86" t="n">
        <x:v>780</x:v>
      </x:c>
      <x:c r="O844" s="90" t="n">
        <x:v>6.34</x:v>
      </x:c>
      <x:c r="P844" s="150" t="n">
        <x:v>3.938</x:v>
      </x:c>
      <x:c r="Q844" s="86" t="n">
        <x:v>18</x:v>
      </x:c>
      <x:c r="R844" s="32" t="str">
        <x:v>ok</x:v>
      </x:c>
      <x:c r="S844" s="32"/>
      <x:c r="T844" s="32" t="str">
        <x:v>ok</x:v>
      </x:c>
      <x:c r="U844" s="32" t="str">
        <x:v>ok</x:v>
      </x:c>
      <x:c r="V844" s="32" t="str">
        <x:v>ok</x:v>
      </x:c>
      <x:c r="W844" s="154" t="str">
        <x:v>{"schema_version":1,"imei":"862323089930701","timestamp":1786025453,"report_sequence":36,"task_version":"rice_w0_water_soil_demo","sensor_mode":"water_soil","soil_moisture_percent":34.3,"soil_temperature_c":24.9,"soil_ec_us_cm":780,"soil_ph":6.34,"battery_mv":3938,"csq":18,"soil_rs485_status":"ok","cycle_status":"ok","water_level_mm":29.2,"water_4_20ma_status":"ok"}</x:v>
      </x:c>
    </x:row>
    <x:row r="845">
      <x:c r="A845" s="72" t="n">
        <x:v>46240.92422453704</x:v>
      </x:c>
      <x:c r="B845" s="72" t="n">
        <x:v>46240.92423842593</x:v>
      </x:c>
      <x:c r="C845" s="32" t="str">
        <x:v>P02</x:v>
      </x:c>
      <x:c r="D845" s="32" t="str">
        <x:v>B1-W0-V2</x:v>
      </x:c>
      <x:c r="E845" s="32" t="str">
        <x:v>B1</x:v>
      </x:c>
      <x:c r="F845" s="32" t="str">
        <x:v>W0</x:v>
      </x:c>
      <x:c r="G845" s="32" t="str">
        <x:v>V2</x:v>
      </x:c>
      <x:c r="H845" s="32" t="str">
        <x:v>water_soil</x:v>
      </x:c>
      <x:c r="I845" s="32" t="str">
        <x:v>862323089930702</x:v>
      </x:c>
      <x:c r="J845" s="82" t="n">
        <x:v>31.1</x:v>
      </x:c>
      <x:c r="K845" s="82"/>
      <x:c r="L845" s="82" t="n">
        <x:v>34.9</x:v>
      </x:c>
      <x:c r="M845" s="82" t="n">
        <x:v>24.8</x:v>
      </x:c>
      <x:c r="N845" s="86" t="n">
        <x:v>784</x:v>
      </x:c>
      <x:c r="O845" s="90" t="n">
        <x:v>6.38</x:v>
      </x:c>
      <x:c r="P845" s="150" t="n">
        <x:v>3.956</x:v>
      </x:c>
      <x:c r="Q845" s="86" t="n">
        <x:v>19</x:v>
      </x:c>
      <x:c r="R845" s="32" t="str">
        <x:v>ok</x:v>
      </x:c>
      <x:c r="S845" s="32"/>
      <x:c r="T845" s="32" t="str">
        <x:v>ok</x:v>
      </x:c>
      <x:c r="U845" s="32" t="str">
        <x:v>ok</x:v>
      </x:c>
      <x:c r="V845" s="32" t="str">
        <x:v>ok</x:v>
      </x:c>
      <x:c r="W845" s="154" t="str">
        <x:v>{"schema_version":1,"imei":"862323089930702","timestamp":1786025453,"report_sequence":36,"task_version":"rice_w0_water_soil_demo","sensor_mode":"water_soil","soil_moisture_percent":34.9,"soil_temperature_c":24.8,"soil_ec_us_cm":784,"soil_ph":6.38,"battery_mv":3956,"csq":19,"soil_rs485_status":"ok","cycle_status":"ok","water_level_mm":31.1,"water_4_20ma_status":"ok"}</x:v>
      </x:c>
    </x:row>
    <x:row r="846">
      <x:c r="A846" s="72" t="n">
        <x:v>46240.92422453704</x:v>
      </x:c>
      <x:c r="B846" s="72" t="n">
        <x:v>46240.92423842593</x:v>
      </x:c>
      <x:c r="C846" s="32" t="str">
        <x:v>P03</x:v>
      </x:c>
      <x:c r="D846" s="32" t="str">
        <x:v>B1-W1-V1</x:v>
      </x:c>
      <x:c r="E846" s="32" t="str">
        <x:v>B1</x:v>
      </x:c>
      <x:c r="F846" s="32" t="str">
        <x:v>W1</x:v>
      </x:c>
      <x:c r="G846" s="32" t="str">
        <x:v>V1</x:v>
      </x:c>
      <x:c r="H846" s="32" t="str">
        <x:v>tension_soil</x:v>
      </x:c>
      <x:c r="I846" s="32" t="str">
        <x:v>862323089930703</x:v>
      </x:c>
      <x:c r="J846" s="82"/>
      <x:c r="K846" s="82" t="n">
        <x:v>-24.5</x:v>
      </x:c>
      <x:c r="L846" s="82" t="n">
        <x:v>35.5</x:v>
      </x:c>
      <x:c r="M846" s="82" t="n">
        <x:v>24.7</x:v>
      </x:c>
      <x:c r="N846" s="86" t="n">
        <x:v>790</x:v>
      </x:c>
      <x:c r="O846" s="90" t="n">
        <x:v>6.43</x:v>
      </x:c>
      <x:c r="P846" s="150" t="n">
        <x:v>3.974</x:v>
      </x:c>
      <x:c r="Q846" s="86" t="n">
        <x:v>20</x:v>
      </x:c>
      <x:c r="R846" s="32"/>
      <x:c r="S846" s="32" t="str">
        <x:v>ok</x:v>
      </x:c>
      <x:c r="T846" s="32" t="str">
        <x:v>ok</x:v>
      </x:c>
      <x:c r="U846" s="32" t="str">
        <x:v>ok</x:v>
      </x:c>
      <x:c r="V846" s="32" t="str">
        <x:v>ok</x:v>
      </x:c>
      <x:c r="W846" s="154" t="str">
        <x:v>{"schema_version":1,"imei":"862323089930703","timestamp":1786025453,"report_sequence":36,"task_version":"rice_tension_soil_demo","sensor_mode":"tension_soil","soil_moisture_percent":35.5,"soil_temperature_c":24.7,"soil_ec_us_cm":790,"soil_ph":6.43,"battery_mv":3974,"csq":20,"soil_rs485_status":"ok","cycle_status":"ok","soil_tension_kpa":-24.5,"soil_tension_rs485_status":"ok"}</x:v>
      </x:c>
    </x:row>
    <x:row r="847">
      <x:c r="A847" s="72" t="n">
        <x:v>46240.92422453704</x:v>
      </x:c>
      <x:c r="B847" s="72" t="n">
        <x:v>46240.92423842593</x:v>
      </x:c>
      <x:c r="C847" s="32" t="str">
        <x:v>P04</x:v>
      </x:c>
      <x:c r="D847" s="32" t="str">
        <x:v>B1-W1-V2</x:v>
      </x:c>
      <x:c r="E847" s="32" t="str">
        <x:v>B1</x:v>
      </x:c>
      <x:c r="F847" s="32" t="str">
        <x:v>W1</x:v>
      </x:c>
      <x:c r="G847" s="32" t="str">
        <x:v>V2</x:v>
      </x:c>
      <x:c r="H847" s="32" t="str">
        <x:v>tension_soil</x:v>
      </x:c>
      <x:c r="I847" s="32" t="str">
        <x:v>862323089930704</x:v>
      </x:c>
      <x:c r="J847" s="82"/>
      <x:c r="K847" s="82" t="n">
        <x:v>-25.2</x:v>
      </x:c>
      <x:c r="L847" s="82" t="n">
        <x:v>36.2</x:v>
      </x:c>
      <x:c r="M847" s="82" t="n">
        <x:v>24.7</x:v>
      </x:c>
      <x:c r="N847" s="86" t="n">
        <x:v>797</x:v>
      </x:c>
      <x:c r="O847" s="90" t="n">
        <x:v>6.47</x:v>
      </x:c>
      <x:c r="P847" s="150" t="n">
        <x:v>3.992</x:v>
      </x:c>
      <x:c r="Q847" s="86" t="n">
        <x:v>21</x:v>
      </x:c>
      <x:c r="R847" s="32"/>
      <x:c r="S847" s="32" t="str">
        <x:v>ok</x:v>
      </x:c>
      <x:c r="T847" s="32" t="str">
        <x:v>ok</x:v>
      </x:c>
      <x:c r="U847" s="32" t="str">
        <x:v>ok</x:v>
      </x:c>
      <x:c r="V847" s="32" t="str">
        <x:v>ok</x:v>
      </x:c>
      <x:c r="W847" s="154" t="str">
        <x:v>{"schema_version":1,"imei":"862323089930704","timestamp":1786025453,"report_sequence":36,"task_version":"rice_tension_soil_demo","sensor_mode":"tension_soil","soil_moisture_percent":36.2,"soil_temperature_c":24.7,"soil_ec_us_cm":797,"soil_ph":6.47,"battery_mv":3992,"csq":21,"soil_rs485_status":"ok","cycle_status":"ok","soil_tension_kpa":-25.2,"soil_tension_rs485_status":"ok"}</x:v>
      </x:c>
    </x:row>
    <x:row r="848">
      <x:c r="A848" s="72" t="n">
        <x:v>46240.92422453704</x:v>
      </x:c>
      <x:c r="B848" s="72" t="n">
        <x:v>46240.92423842593</x:v>
      </x:c>
      <x:c r="C848" s="32" t="str">
        <x:v>P05</x:v>
      </x:c>
      <x:c r="D848" s="32" t="str">
        <x:v>B1-W2-V1</x:v>
      </x:c>
      <x:c r="E848" s="32" t="str">
        <x:v>B1</x:v>
      </x:c>
      <x:c r="F848" s="32" t="str">
        <x:v>W2</x:v>
      </x:c>
      <x:c r="G848" s="32" t="str">
        <x:v>V1</x:v>
      </x:c>
      <x:c r="H848" s="32" t="str">
        <x:v>tension_soil</x:v>
      </x:c>
      <x:c r="I848" s="32" t="str">
        <x:v>862323089930705</x:v>
      </x:c>
      <x:c r="J848" s="82"/>
      <x:c r="K848" s="82" t="n">
        <x:v>-32</x:v>
      </x:c>
      <x:c r="L848" s="82" t="n">
        <x:v>37</x:v>
      </x:c>
      <x:c r="M848" s="82" t="n">
        <x:v>24.6</x:v>
      </x:c>
      <x:c r="N848" s="86" t="n">
        <x:v>806</x:v>
      </x:c>
      <x:c r="O848" s="90" t="n">
        <x:v>6.27</x:v>
      </x:c>
      <x:c r="P848" s="150" t="n">
        <x:v>4.01</x:v>
      </x:c>
      <x:c r="Q848" s="86" t="n">
        <x:v>22</x:v>
      </x:c>
      <x:c r="R848" s="32"/>
      <x:c r="S848" s="32" t="str">
        <x:v>ok</x:v>
      </x:c>
      <x:c r="T848" s="32" t="str">
        <x:v>ok</x:v>
      </x:c>
      <x:c r="U848" s="32" t="str">
        <x:v>ok</x:v>
      </x:c>
      <x:c r="V848" s="32" t="str">
        <x:v>ok</x:v>
      </x:c>
      <x:c r="W848" s="154" t="str">
        <x:v>{"schema_version":1,"imei":"862323089930705","timestamp":1786025453,"report_sequence":36,"task_version":"rice_tension_soil_demo","sensor_mode":"tension_soil","soil_moisture_percent":37,"soil_temperature_c":24.6,"soil_ec_us_cm":806,"soil_ph":6.27,"battery_mv":4010,"csq":22,"soil_rs485_status":"ok","cycle_status":"ok","soil_tension_kpa":-32,"soil_tension_rs485_status":"ok"}</x:v>
      </x:c>
    </x:row>
    <x:row r="849">
      <x:c r="A849" s="72" t="n">
        <x:v>46240.92422453704</x:v>
      </x:c>
      <x:c r="B849" s="72" t="n">
        <x:v>46240.92423842593</x:v>
      </x:c>
      <x:c r="C849" s="32" t="str">
        <x:v>P06</x:v>
      </x:c>
      <x:c r="D849" s="32" t="str">
        <x:v>B1-W2-V2</x:v>
      </x:c>
      <x:c r="E849" s="32" t="str">
        <x:v>B1</x:v>
      </x:c>
      <x:c r="F849" s="32" t="str">
        <x:v>W2</x:v>
      </x:c>
      <x:c r="G849" s="32" t="str">
        <x:v>V2</x:v>
      </x:c>
      <x:c r="H849" s="32" t="str">
        <x:v>tension_soil</x:v>
      </x:c>
      <x:c r="I849" s="32" t="str">
        <x:v>862323089930706</x:v>
      </x:c>
      <x:c r="J849" s="82"/>
      <x:c r="K849" s="82" t="n">
        <x:v>-33</x:v>
      </x:c>
      <x:c r="L849" s="82" t="n">
        <x:v>38</x:v>
      </x:c>
      <x:c r="M849" s="82" t="n">
        <x:v>24.6</x:v>
      </x:c>
      <x:c r="N849" s="86" t="n">
        <x:v>817</x:v>
      </x:c>
      <x:c r="O849" s="90" t="n">
        <x:v>6.32</x:v>
      </x:c>
      <x:c r="P849" s="150" t="n">
        <x:v>3.92</x:v>
      </x:c>
      <x:c r="Q849" s="86" t="n">
        <x:v>23</x:v>
      </x:c>
      <x:c r="R849" s="32"/>
      <x:c r="S849" s="32" t="str">
        <x:v>ok</x:v>
      </x:c>
      <x:c r="T849" s="32" t="str">
        <x:v>ok</x:v>
      </x:c>
      <x:c r="U849" s="32" t="str">
        <x:v>ok</x:v>
      </x:c>
      <x:c r="V849" s="32" t="str">
        <x:v>ok</x:v>
      </x:c>
      <x:c r="W849" s="154" t="str">
        <x:v>{"schema_version":1,"imei":"862323089930706","timestamp":1786025453,"report_sequence":36,"task_version":"rice_tension_soil_demo","sensor_mode":"tension_soil","soil_moisture_percent":38,"soil_temperature_c":24.6,"soil_ec_us_cm":817,"soil_ph":6.32,"battery_mv":3920,"csq":23,"soil_rs485_status":"ok","cycle_status":"ok","soil_tension_kpa":-33,"soil_tension_rs485_status":"ok"}</x:v>
      </x:c>
    </x:row>
    <x:row r="850">
      <x:c r="A850" s="72" t="n">
        <x:v>46240.92422453704</x:v>
      </x:c>
      <x:c r="B850" s="72" t="n">
        <x:v>46240.92423842593</x:v>
      </x:c>
      <x:c r="C850" s="32" t="str">
        <x:v>P07</x:v>
      </x:c>
      <x:c r="D850" s="32" t="str">
        <x:v>B2-W0-V1</x:v>
      </x:c>
      <x:c r="E850" s="32" t="str">
        <x:v>B2</x:v>
      </x:c>
      <x:c r="F850" s="32" t="str">
        <x:v>W0</x:v>
      </x:c>
      <x:c r="G850" s="32" t="str">
        <x:v>V1</x:v>
      </x:c>
      <x:c r="H850" s="32" t="str">
        <x:v>water_soil</x:v>
      </x:c>
      <x:c r="I850" s="32" t="str">
        <x:v>862323089930707</x:v>
      </x:c>
      <x:c r="J850" s="82" t="n">
        <x:v>32.2</x:v>
      </x:c>
      <x:c r="K850" s="82"/>
      <x:c r="L850" s="82" t="n">
        <x:v>39.1</x:v>
      </x:c>
      <x:c r="M850" s="82" t="n">
        <x:v>24.6</x:v>
      </x:c>
      <x:c r="N850" s="86" t="n">
        <x:v>830</x:v>
      </x:c>
      <x:c r="O850" s="90" t="n">
        <x:v>6.37</x:v>
      </x:c>
      <x:c r="P850" s="150" t="n">
        <x:v>3.938</x:v>
      </x:c>
      <x:c r="Q850" s="86" t="n">
        <x:v>24</x:v>
      </x:c>
      <x:c r="R850" s="32" t="str">
        <x:v>ok</x:v>
      </x:c>
      <x:c r="S850" s="32"/>
      <x:c r="T850" s="32" t="str">
        <x:v>ok</x:v>
      </x:c>
      <x:c r="U850" s="32" t="str">
        <x:v>ok</x:v>
      </x:c>
      <x:c r="V850" s="32" t="str">
        <x:v>ok</x:v>
      </x:c>
      <x:c r="W850" s="154" t="str">
        <x:v>{"schema_version":1,"imei":"862323089930707","timestamp":1786025453,"report_sequence":36,"task_version":"rice_w0_water_soil_demo","sensor_mode":"water_soil","soil_moisture_percent":39.1,"soil_temperature_c":24.6,"soil_ec_us_cm":830,"soil_ph":6.37,"battery_mv":3938,"csq":24,"soil_rs485_status":"ok","cycle_status":"ok","water_level_mm":32.2,"water_4_20ma_status":"ok"}</x:v>
      </x:c>
    </x:row>
    <x:row r="851">
      <x:c r="A851" s="72" t="n">
        <x:v>46240.92422453704</x:v>
      </x:c>
      <x:c r="B851" s="72" t="n">
        <x:v>46240.92423842593</x:v>
      </x:c>
      <x:c r="C851" s="32" t="str">
        <x:v>P08</x:v>
      </x:c>
      <x:c r="D851" s="32" t="str">
        <x:v>B2-W0-V2</x:v>
      </x:c>
      <x:c r="E851" s="32" t="str">
        <x:v>B2</x:v>
      </x:c>
      <x:c r="F851" s="32" t="str">
        <x:v>W0</x:v>
      </x:c>
      <x:c r="G851" s="32" t="str">
        <x:v>V2</x:v>
      </x:c>
      <x:c r="H851" s="32" t="str">
        <x:v>water_soil</x:v>
      </x:c>
      <x:c r="I851" s="32" t="str">
        <x:v>862323089930708</x:v>
      </x:c>
      <x:c r="J851" s="82" t="n">
        <x:v>23.7</x:v>
      </x:c>
      <x:c r="K851" s="82"/>
      <x:c r="L851" s="82" t="n">
        <x:v>32.3</x:v>
      </x:c>
      <x:c r="M851" s="82" t="n">
        <x:v>24.7</x:v>
      </x:c>
      <x:c r="N851" s="86" t="n">
        <x:v>846</x:v>
      </x:c>
      <x:c r="O851" s="90" t="n">
        <x:v>6.42</x:v>
      </x:c>
      <x:c r="P851" s="150" t="n">
        <x:v>3.956</x:v>
      </x:c>
      <x:c r="Q851" s="86" t="n">
        <x:v>17</x:v>
      </x:c>
      <x:c r="R851" s="32" t="str">
        <x:v>ok</x:v>
      </x:c>
      <x:c r="S851" s="32"/>
      <x:c r="T851" s="32" t="str">
        <x:v>ok</x:v>
      </x:c>
      <x:c r="U851" s="32" t="str">
        <x:v>ok</x:v>
      </x:c>
      <x:c r="V851" s="32" t="str">
        <x:v>ok</x:v>
      </x:c>
      <x:c r="W851" s="154" t="str">
        <x:v>{"schema_version":1,"imei":"862323089930708","timestamp":1786025453,"report_sequence":36,"task_version":"rice_w0_water_soil_demo","sensor_mode":"water_soil","soil_moisture_percent":32.3,"soil_temperature_c":24.7,"soil_ec_us_cm":846,"soil_ph":6.42,"battery_mv":3956,"csq":17,"soil_rs485_status":"ok","cycle_status":"ok","water_level_mm":23.7,"water_4_20ma_status":"ok"}</x:v>
      </x:c>
    </x:row>
    <x:row r="852">
      <x:c r="A852" s="72" t="n">
        <x:v>46240.92422453704</x:v>
      </x:c>
      <x:c r="B852" s="72" t="n">
        <x:v>46240.92423842593</x:v>
      </x:c>
      <x:c r="C852" s="32" t="str">
        <x:v>P09</x:v>
      </x:c>
      <x:c r="D852" s="32" t="str">
        <x:v>B2-W1-V1</x:v>
      </x:c>
      <x:c r="E852" s="32" t="str">
        <x:v>B2</x:v>
      </x:c>
      <x:c r="F852" s="32" t="str">
        <x:v>W1</x:v>
      </x:c>
      <x:c r="G852" s="32" t="str">
        <x:v>V1</x:v>
      </x:c>
      <x:c r="H852" s="32" t="str">
        <x:v>tension_soil</x:v>
      </x:c>
      <x:c r="I852" s="32" t="str">
        <x:v>862323089930709</x:v>
      </x:c>
      <x:c r="J852" s="82"/>
      <x:c r="K852" s="82" t="n">
        <x:v>-25.6</x:v>
      </x:c>
      <x:c r="L852" s="82" t="n">
        <x:v>33.6</x:v>
      </x:c>
      <x:c r="M852" s="82" t="n">
        <x:v>24.7</x:v>
      </x:c>
      <x:c r="N852" s="86" t="n">
        <x:v>863</x:v>
      </x:c>
      <x:c r="O852" s="90" t="n">
        <x:v>6.48</x:v>
      </x:c>
      <x:c r="P852" s="150" t="n">
        <x:v>3.974</x:v>
      </x:c>
      <x:c r="Q852" s="86" t="n">
        <x:v>18</x:v>
      </x:c>
      <x:c r="R852" s="32"/>
      <x:c r="S852" s="32" t="str">
        <x:v>ok</x:v>
      </x:c>
      <x:c r="T852" s="32" t="str">
        <x:v>ok</x:v>
      </x:c>
      <x:c r="U852" s="32" t="str">
        <x:v>ok</x:v>
      </x:c>
      <x:c r="V852" s="32" t="str">
        <x:v>ok</x:v>
      </x:c>
      <x:c r="W852" s="154" t="str">
        <x:v>{"schema_version":1,"imei":"862323089930709","timestamp":1786025453,"report_sequence":36,"task_version":"rice_tension_soil_demo","sensor_mode":"tension_soil","soil_moisture_percent":33.6,"soil_temperature_c":24.7,"soil_ec_us_cm":863,"soil_ph":6.48,"battery_mv":3974,"csq":18,"soil_rs485_status":"ok","cycle_status":"ok","soil_tension_kpa":-25.6,"soil_tension_rs485_status":"ok"}</x:v>
      </x:c>
    </x:row>
    <x:row r="853">
      <x:c r="A853" s="72" t="n">
        <x:v>46240.92422453704</x:v>
      </x:c>
      <x:c r="B853" s="72" t="n">
        <x:v>46240.92423842593</x:v>
      </x:c>
      <x:c r="C853" s="32" t="str">
        <x:v>P10</x:v>
      </x:c>
      <x:c r="D853" s="32" t="str">
        <x:v>B2-W1-V2</x:v>
      </x:c>
      <x:c r="E853" s="32" t="str">
        <x:v>B2</x:v>
      </x:c>
      <x:c r="F853" s="32" t="str">
        <x:v>W1</x:v>
      </x:c>
      <x:c r="G853" s="32" t="str">
        <x:v>V2</x:v>
      </x:c>
      <x:c r="H853" s="32" t="str">
        <x:v>tension_soil</x:v>
      </x:c>
      <x:c r="I853" s="32" t="str">
        <x:v>862323089930710</x:v>
      </x:c>
      <x:c r="J853" s="82"/>
      <x:c r="K853" s="82" t="n">
        <x:v>-22</x:v>
      </x:c>
      <x:c r="L853" s="82" t="n">
        <x:v>35</x:v>
      </x:c>
      <x:c r="M853" s="82" t="n">
        <x:v>24.8</x:v>
      </x:c>
      <x:c r="N853" s="86" t="n">
        <x:v>882</x:v>
      </x:c>
      <x:c r="O853" s="90" t="n">
        <x:v>6.28</x:v>
      </x:c>
      <x:c r="P853" s="150" t="n">
        <x:v>3.992</x:v>
      </x:c>
      <x:c r="Q853" s="86" t="n">
        <x:v>19</x:v>
      </x:c>
      <x:c r="R853" s="32"/>
      <x:c r="S853" s="32" t="str">
        <x:v>ok</x:v>
      </x:c>
      <x:c r="T853" s="32" t="str">
        <x:v>ok</x:v>
      </x:c>
      <x:c r="U853" s="32" t="str">
        <x:v>ok</x:v>
      </x:c>
      <x:c r="V853" s="32" t="str">
        <x:v>ok</x:v>
      </x:c>
      <x:c r="W853" s="154" t="str">
        <x:v>{"schema_version":1,"imei":"862323089930710","timestamp":1786025453,"report_sequence":36,"task_version":"rice_tension_soil_demo","sensor_mode":"tension_soil","soil_moisture_percent":35,"soil_temperature_c":24.8,"soil_ec_us_cm":882,"soil_ph":6.28,"battery_mv":3992,"csq":19,"soil_rs485_status":"ok","cycle_status":"ok","soil_tension_kpa":-22,"soil_tension_rs485_status":"ok"}</x:v>
      </x:c>
    </x:row>
    <x:row r="854">
      <x:c r="A854" s="72" t="n">
        <x:v>46240.92422453704</x:v>
      </x:c>
      <x:c r="B854" s="72" t="n">
        <x:v>46240.92423842593</x:v>
      </x:c>
      <x:c r="C854" s="32" t="str">
        <x:v>P11</x:v>
      </x:c>
      <x:c r="D854" s="32" t="str">
        <x:v>B2-W2-V1</x:v>
      </x:c>
      <x:c r="E854" s="32" t="str">
        <x:v>B2</x:v>
      </x:c>
      <x:c r="F854" s="32" t="str">
        <x:v>W2</x:v>
      </x:c>
      <x:c r="G854" s="32" t="str">
        <x:v>V1</x:v>
      </x:c>
      <x:c r="H854" s="32" t="str">
        <x:v>tension_soil</x:v>
      </x:c>
      <x:c r="I854" s="32" t="str">
        <x:v>862323089930711</x:v>
      </x:c>
      <x:c r="J854" s="82"/>
      <x:c r="K854" s="82" t="n">
        <x:v>-34.4</x:v>
      </x:c>
      <x:c r="L854" s="82" t="n">
        <x:v>36.4</x:v>
      </x:c>
      <x:c r="M854" s="82" t="n">
        <x:v>25</x:v>
      </x:c>
      <x:c r="N854" s="86" t="n">
        <x:v>902</x:v>
      </x:c>
      <x:c r="O854" s="90" t="n">
        <x:v>6.34</x:v>
      </x:c>
      <x:c r="P854" s="150" t="n">
        <x:v>4.01</x:v>
      </x:c>
      <x:c r="Q854" s="86" t="n">
        <x:v>20</x:v>
      </x:c>
      <x:c r="R854" s="32"/>
      <x:c r="S854" s="32" t="str">
        <x:v>ok</x:v>
      </x:c>
      <x:c r="T854" s="32" t="str">
        <x:v>ok</x:v>
      </x:c>
      <x:c r="U854" s="32" t="str">
        <x:v>ok</x:v>
      </x:c>
      <x:c r="V854" s="32" t="str">
        <x:v>ok</x:v>
      </x:c>
      <x:c r="W854" s="154" t="str">
        <x:v>{"schema_version":1,"imei":"862323089930711","timestamp":1786025453,"report_sequence":36,"task_version":"rice_tension_soil_demo","sensor_mode":"tension_soil","soil_moisture_percent":36.4,"soil_temperature_c":25,"soil_ec_us_cm":902,"soil_ph":6.34,"battery_mv":4010,"csq":20,"soil_rs485_status":"ok","cycle_status":"ok","soil_tension_kpa":-34.4,"soil_tension_rs485_status":"ok"}</x:v>
      </x:c>
    </x:row>
    <x:row r="855">
      <x:c r="A855" s="72" t="n">
        <x:v>46240.92422453704</x:v>
      </x:c>
      <x:c r="B855" s="72" t="n">
        <x:v>46240.92423842593</x:v>
      </x:c>
      <x:c r="C855" s="32" t="str">
        <x:v>P12</x:v>
      </x:c>
      <x:c r="D855" s="32" t="str">
        <x:v>B2-W2-V2</x:v>
      </x:c>
      <x:c r="E855" s="32" t="str">
        <x:v>B2</x:v>
      </x:c>
      <x:c r="F855" s="32" t="str">
        <x:v>W2</x:v>
      </x:c>
      <x:c r="G855" s="32" t="str">
        <x:v>V2</x:v>
      </x:c>
      <x:c r="H855" s="32" t="str">
        <x:v>tension_soil</x:v>
      </x:c>
      <x:c r="I855" s="32" t="str">
        <x:v>862323089930712</x:v>
      </x:c>
      <x:c r="J855" s="82"/>
      <x:c r="K855" s="82" t="n">
        <x:v>-35.9</x:v>
      </x:c>
      <x:c r="L855" s="82" t="n">
        <x:v>37.9</x:v>
      </x:c>
      <x:c r="M855" s="82" t="n">
        <x:v>25.1</x:v>
      </x:c>
      <x:c r="N855" s="86" t="n">
        <x:v>923</x:v>
      </x:c>
      <x:c r="O855" s="90" t="n">
        <x:v>6.4</x:v>
      </x:c>
      <x:c r="P855" s="150" t="n">
        <x:v>3.92</x:v>
      </x:c>
      <x:c r="Q855" s="86" t="n">
        <x:v>21</x:v>
      </x:c>
      <x:c r="R855" s="32"/>
      <x:c r="S855" s="32" t="str">
        <x:v>ok</x:v>
      </x:c>
      <x:c r="T855" s="32" t="str">
        <x:v>ok</x:v>
      </x:c>
      <x:c r="U855" s="32" t="str">
        <x:v>ok</x:v>
      </x:c>
      <x:c r="V855" s="32" t="str">
        <x:v>ok</x:v>
      </x:c>
      <x:c r="W855" s="154" t="str">
        <x:v>{"schema_version":1,"imei":"862323089930712","timestamp":1786025453,"report_sequence":36,"task_version":"rice_tension_soil_demo","sensor_mode":"tension_soil","soil_moisture_percent":37.9,"soil_temperature_c":25.1,"soil_ec_us_cm":923,"soil_ph":6.4,"battery_mv":3920,"csq":21,"soil_rs485_status":"ok","cycle_status":"ok","soil_tension_kpa":-35.9,"soil_tension_rs485_status":"ok"}</x:v>
      </x:c>
    </x:row>
    <x:row r="856">
      <x:c r="A856" s="72" t="n">
        <x:v>46240.92422453704</x:v>
      </x:c>
      <x:c r="B856" s="72" t="n">
        <x:v>46240.92423842593</x:v>
      </x:c>
      <x:c r="C856" s="32" t="str">
        <x:v>P13</x:v>
      </x:c>
      <x:c r="D856" s="32" t="str">
        <x:v>B3-W0-V1</x:v>
      </x:c>
      <x:c r="E856" s="32" t="str">
        <x:v>B3</x:v>
      </x:c>
      <x:c r="F856" s="32" t="str">
        <x:v>W0</x:v>
      </x:c>
      <x:c r="G856" s="32" t="str">
        <x:v>V1</x:v>
      </x:c>
      <x:c r="H856" s="32" t="str">
        <x:v>water_soil</x:v>
      </x:c>
      <x:c r="I856" s="32" t="str">
        <x:v>862323089930713</x:v>
      </x:c>
      <x:c r="J856" s="82" t="n">
        <x:v>32.1</x:v>
      </x:c>
      <x:c r="K856" s="82"/>
      <x:c r="L856" s="82" t="n">
        <x:v>39.4</x:v>
      </x:c>
      <x:c r="M856" s="82" t="n">
        <x:v>25.2</x:v>
      </x:c>
      <x:c r="N856" s="86" t="n">
        <x:v>944</x:v>
      </x:c>
      <x:c r="O856" s="90" t="n">
        <x:v>6.46</x:v>
      </x:c>
      <x:c r="P856" s="150" t="n">
        <x:v>3.938</x:v>
      </x:c>
      <x:c r="Q856" s="86" t="n">
        <x:v>22</x:v>
      </x:c>
      <x:c r="R856" s="32" t="str">
        <x:v>ok</x:v>
      </x:c>
      <x:c r="S856" s="32"/>
      <x:c r="T856" s="32" t="str">
        <x:v>ok</x:v>
      </x:c>
      <x:c r="U856" s="32" t="str">
        <x:v>ok</x:v>
      </x:c>
      <x:c r="V856" s="32" t="str">
        <x:v>ok</x:v>
      </x:c>
      <x:c r="W856" s="154" t="str">
        <x:v>{"schema_version":1,"imei":"862323089930713","timestamp":1786025453,"report_sequence":36,"task_version":"rice_w0_water_soil_demo","sensor_mode":"water_soil","soil_moisture_percent":39.4,"soil_temperature_c":25.2,"soil_ec_us_cm":944,"soil_ph":6.46,"battery_mv":3938,"csq":22,"soil_rs485_status":"ok","cycle_status":"ok","water_level_mm":32.1,"water_4_20ma_status":"ok"}</x:v>
      </x:c>
    </x:row>
    <x:row r="857">
      <x:c r="A857" s="72" t="n">
        <x:v>46240.92422453704</x:v>
      </x:c>
      <x:c r="B857" s="72" t="n">
        <x:v>46240.92423842593</x:v>
      </x:c>
      <x:c r="C857" s="32" t="str">
        <x:v>P14</x:v>
      </x:c>
      <x:c r="D857" s="32" t="str">
        <x:v>B3-W0-V2</x:v>
      </x:c>
      <x:c r="E857" s="32" t="str">
        <x:v>B3</x:v>
      </x:c>
      <x:c r="F857" s="32" t="str">
        <x:v>W0</x:v>
      </x:c>
      <x:c r="G857" s="32" t="str">
        <x:v>V2</x:v>
      </x:c>
      <x:c r="H857" s="32" t="str">
        <x:v>water_soil</x:v>
      </x:c>
      <x:c r="I857" s="32" t="str">
        <x:v>862323089930714</x:v>
      </x:c>
      <x:c r="J857" s="82" t="n">
        <x:v>36.3</x:v>
      </x:c>
      <x:c r="K857" s="82"/>
      <x:c r="L857" s="82" t="n">
        <x:v>40.9</x:v>
      </x:c>
      <x:c r="M857" s="82" t="n">
        <x:v>25.3</x:v>
      </x:c>
      <x:c r="N857" s="86" t="n">
        <x:v>964</x:v>
      </x:c>
      <x:c r="O857" s="90" t="n">
        <x:v>6.51</x:v>
      </x:c>
      <x:c r="P857" s="150" t="n">
        <x:v>3.956</x:v>
      </x:c>
      <x:c r="Q857" s="86" t="n">
        <x:v>23</x:v>
      </x:c>
      <x:c r="R857" s="32" t="str">
        <x:v>ok</x:v>
      </x:c>
      <x:c r="S857" s="32"/>
      <x:c r="T857" s="32" t="str">
        <x:v>ok</x:v>
      </x:c>
      <x:c r="U857" s="32" t="str">
        <x:v>ok</x:v>
      </x:c>
      <x:c r="V857" s="32" t="str">
        <x:v>ok</x:v>
      </x:c>
      <x:c r="W857" s="154" t="str">
        <x:v>{"schema_version":1,"imei":"862323089930714","timestamp":1786025453,"report_sequence":36,"task_version":"rice_w0_water_soil_demo","sensor_mode":"water_soil","soil_moisture_percent":40.9,"soil_temperature_c":25.3,"soil_ec_us_cm":964,"soil_ph":6.51,"battery_mv":3956,"csq":23,"soil_rs485_status":"ok","cycle_status":"ok","water_level_mm":36.3,"water_4_20ma_status":"ok"}</x:v>
      </x:c>
    </x:row>
    <x:row r="858">
      <x:c r="A858" s="72" t="n">
        <x:v>46240.92422453704</x:v>
      </x:c>
      <x:c r="B858" s="72" t="n">
        <x:v>46240.92423842593</x:v>
      </x:c>
      <x:c r="C858" s="32" t="str">
        <x:v>P15</x:v>
      </x:c>
      <x:c r="D858" s="32" t="str">
        <x:v>B3-W1-V1</x:v>
      </x:c>
      <x:c r="E858" s="32" t="str">
        <x:v>B3</x:v>
      </x:c>
      <x:c r="F858" s="32" t="str">
        <x:v>W1</x:v>
      </x:c>
      <x:c r="G858" s="32" t="str">
        <x:v>V1</x:v>
      </x:c>
      <x:c r="H858" s="32" t="str">
        <x:v>tension_soil</x:v>
      </x:c>
      <x:c r="I858" s="32" t="str">
        <x:v>862323089930715</x:v>
      </x:c>
      <x:c r="J858" s="82"/>
      <x:c r="K858" s="82" t="n">
        <x:v>-24.3</x:v>
      </x:c>
      <x:c r="L858" s="82" t="n">
        <x:v>42.3</x:v>
      </x:c>
      <x:c r="M858" s="82" t="n">
        <x:v>25.4</x:v>
      </x:c>
      <x:c r="N858" s="86" t="n">
        <x:v>983</x:v>
      </x:c>
      <x:c r="O858" s="90" t="n">
        <x:v>6.32</x:v>
      </x:c>
      <x:c r="P858" s="150" t="n">
        <x:v>3.974</x:v>
      </x:c>
      <x:c r="Q858" s="86" t="n">
        <x:v>24</x:v>
      </x:c>
      <x:c r="R858" s="32"/>
      <x:c r="S858" s="32" t="str">
        <x:v>ok</x:v>
      </x:c>
      <x:c r="T858" s="32" t="str">
        <x:v>ok</x:v>
      </x:c>
      <x:c r="U858" s="32" t="str">
        <x:v>ok</x:v>
      </x:c>
      <x:c r="V858" s="32" t="str">
        <x:v>ok</x:v>
      </x:c>
      <x:c r="W858" s="154" t="str">
        <x:v>{"schema_version":1,"imei":"862323089930715","timestamp":1786025453,"report_sequence":36,"task_version":"rice_tension_soil_demo","sensor_mode":"tension_soil","soil_moisture_percent":42.3,"soil_temperature_c":25.4,"soil_ec_us_cm":983,"soil_ph":6.32,"battery_mv":3974,"csq":24,"soil_rs485_status":"ok","cycle_status":"ok","soil_tension_kpa":-24.3,"soil_tension_rs485_status":"ok"}</x:v>
      </x:c>
    </x:row>
    <x:row r="859">
      <x:c r="A859" s="72" t="n">
        <x:v>46240.92422453704</x:v>
      </x:c>
      <x:c r="B859" s="72" t="n">
        <x:v>46240.92423842593</x:v>
      </x:c>
      <x:c r="C859" s="32" t="str">
        <x:v>P16</x:v>
      </x:c>
      <x:c r="D859" s="32" t="str">
        <x:v>B3-W1-V2</x:v>
      </x:c>
      <x:c r="E859" s="32" t="str">
        <x:v>B3</x:v>
      </x:c>
      <x:c r="F859" s="32" t="str">
        <x:v>W1</x:v>
      </x:c>
      <x:c r="G859" s="32" t="str">
        <x:v>V2</x:v>
      </x:c>
      <x:c r="H859" s="32" t="str">
        <x:v>tension_soil</x:v>
      </x:c>
      <x:c r="I859" s="32" t="str">
        <x:v>862323089930716</x:v>
      </x:c>
      <x:c r="J859" s="82"/>
      <x:c r="K859" s="82" t="n">
        <x:v>-25.6</x:v>
      </x:c>
      <x:c r="L859" s="82" t="n">
        <x:v>35.6</x:v>
      </x:c>
      <x:c r="M859" s="82" t="n">
        <x:v>25.5</x:v>
      </x:c>
      <x:c r="N859" s="86" t="n">
        <x:v>1001</x:v>
      </x:c>
      <x:c r="O859" s="90" t="n">
        <x:v>6.37</x:v>
      </x:c>
      <x:c r="P859" s="150" t="n">
        <x:v>3.992</x:v>
      </x:c>
      <x:c r="Q859" s="86" t="n">
        <x:v>17</x:v>
      </x:c>
      <x:c r="R859" s="32"/>
      <x:c r="S859" s="32" t="str">
        <x:v>ok</x:v>
      </x:c>
      <x:c r="T859" s="32" t="str">
        <x:v>ok</x:v>
      </x:c>
      <x:c r="U859" s="32" t="str">
        <x:v>ok</x:v>
      </x:c>
      <x:c r="V859" s="32" t="str">
        <x:v>ok</x:v>
      </x:c>
      <x:c r="W859" s="154" t="str">
        <x:v>{"schema_version":1,"imei":"862323089930716","timestamp":1786025453,"report_sequence":36,"task_version":"rice_tension_soil_demo","sensor_mode":"tension_soil","soil_moisture_percent":35.6,"soil_temperature_c":25.5,"soil_ec_us_cm":1001,"soil_ph":6.37,"battery_mv":3992,"csq":17,"soil_rs485_status":"ok","cycle_status":"ok","soil_tension_kpa":-25.6,"soil_tension_rs485_status":"ok"}</x:v>
      </x:c>
    </x:row>
    <x:row r="860">
      <x:c r="A860" s="72" t="n">
        <x:v>46240.92422453704</x:v>
      </x:c>
      <x:c r="B860" s="72" t="n">
        <x:v>46240.92423842593</x:v>
      </x:c>
      <x:c r="C860" s="32" t="str">
        <x:v>P17</x:v>
      </x:c>
      <x:c r="D860" s="32" t="str">
        <x:v>B3-W2-V1</x:v>
      </x:c>
      <x:c r="E860" s="32" t="str">
        <x:v>B3</x:v>
      </x:c>
      <x:c r="F860" s="32" t="str">
        <x:v>W2</x:v>
      </x:c>
      <x:c r="G860" s="32" t="str">
        <x:v>V1</x:v>
      </x:c>
      <x:c r="H860" s="32" t="str">
        <x:v>tension_soil</x:v>
      </x:c>
      <x:c r="I860" s="32" t="str">
        <x:v>862323089930717</x:v>
      </x:c>
      <x:c r="J860" s="82"/>
      <x:c r="K860" s="82" t="n">
        <x:v>-37.9</x:v>
      </x:c>
      <x:c r="L860" s="82" t="n">
        <x:v>36.9</x:v>
      </x:c>
      <x:c r="M860" s="82" t="n">
        <x:v>25.6</x:v>
      </x:c>
      <x:c r="N860" s="86" t="n">
        <x:v>1017</x:v>
      </x:c>
      <x:c r="O860" s="90" t="n">
        <x:v>6.43</x:v>
      </x:c>
      <x:c r="P860" s="150" t="n">
        <x:v>4.01</x:v>
      </x:c>
      <x:c r="Q860" s="86" t="n">
        <x:v>18</x:v>
      </x:c>
      <x:c r="R860" s="32"/>
      <x:c r="S860" s="32" t="str">
        <x:v>ok</x:v>
      </x:c>
      <x:c r="T860" s="32" t="str">
        <x:v>ok</x:v>
      </x:c>
      <x:c r="U860" s="32" t="str">
        <x:v>ok</x:v>
      </x:c>
      <x:c r="V860" s="32" t="str">
        <x:v>ok</x:v>
      </x:c>
      <x:c r="W860" s="154" t="str">
        <x:v>{"schema_version":1,"imei":"862323089930717","timestamp":1786025453,"report_sequence":36,"task_version":"rice_tension_soil_demo","sensor_mode":"tension_soil","soil_moisture_percent":36.9,"soil_temperature_c":25.6,"soil_ec_us_cm":1017,"soil_ph":6.43,"battery_mv":4010,"csq":18,"soil_rs485_status":"ok","cycle_status":"ok","soil_tension_kpa":-37.9,"soil_tension_rs485_status":"ok"}</x:v>
      </x:c>
    </x:row>
    <x:row r="861">
      <x:c r="A861" s="72" t="n">
        <x:v>46240.92422453704</x:v>
      </x:c>
      <x:c r="B861" s="72" t="n">
        <x:v>46240.92423842593</x:v>
      </x:c>
      <x:c r="C861" s="32" t="str">
        <x:v>P18</x:v>
      </x:c>
      <x:c r="D861" s="32" t="str">
        <x:v>B3-W2-V2</x:v>
      </x:c>
      <x:c r="E861" s="32" t="str">
        <x:v>B3</x:v>
      </x:c>
      <x:c r="F861" s="32" t="str">
        <x:v>W2</x:v>
      </x:c>
      <x:c r="G861" s="32" t="str">
        <x:v>V2</x:v>
      </x:c>
      <x:c r="H861" s="32" t="str">
        <x:v>tension_soil</x:v>
      </x:c>
      <x:c r="I861" s="32" t="str">
        <x:v>862323089930718</x:v>
      </x:c>
      <x:c r="J861" s="82"/>
      <x:c r="K861" s="82" t="n">
        <x:v>-39</x:v>
      </x:c>
      <x:c r="L861" s="82" t="n">
        <x:v>38</x:v>
      </x:c>
      <x:c r="M861" s="82" t="n">
        <x:v>25.6</x:v>
      </x:c>
      <x:c r="N861" s="86" t="n">
        <x:v>1031</x:v>
      </x:c>
      <x:c r="O861" s="90" t="n">
        <x:v>6.48</x:v>
      </x:c>
      <x:c r="P861" s="150" t="n">
        <x:v>3.92</x:v>
      </x:c>
      <x:c r="Q861" s="86" t="n">
        <x:v>19</x:v>
      </x:c>
      <x:c r="R861" s="32"/>
      <x:c r="S861" s="32" t="str">
        <x:v>ok</x:v>
      </x:c>
      <x:c r="T861" s="32" t="str">
        <x:v>ok</x:v>
      </x:c>
      <x:c r="U861" s="32" t="str">
        <x:v>ok</x:v>
      </x:c>
      <x:c r="V861" s="32" t="str">
        <x:v>ok</x:v>
      </x:c>
      <x:c r="W861" s="154" t="str">
        <x:v>{"schema_version":1,"imei":"862323089930718","timestamp":1786025453,"report_sequence":36,"task_version":"rice_tension_soil_demo","sensor_mode":"tension_soil","soil_moisture_percent":38,"soil_temperature_c":25.6,"soil_ec_us_cm":1031,"soil_ph":6.48,"battery_mv":3920,"csq":19,"soil_rs485_status":"ok","cycle_status":"ok","soil_tension_kpa":-39,"soil_tension_rs485_status":"ok"}</x:v>
      </x:c>
    </x:row>
    <x:row r="862">
      <x:c r="A862" s="72" t="n">
        <x:v>46240.92422453704</x:v>
      </x:c>
      <x:c r="B862" s="72" t="n">
        <x:v>46240.92423842593</x:v>
      </x:c>
      <x:c r="C862" s="32" t="str">
        <x:v>P19</x:v>
      </x:c>
      <x:c r="D862" s="32" t="str">
        <x:v>B4-W0-V1</x:v>
      </x:c>
      <x:c r="E862" s="32" t="str">
        <x:v>B4</x:v>
      </x:c>
      <x:c r="F862" s="32" t="str">
        <x:v>W0</x:v>
      </x:c>
      <x:c r="G862" s="32" t="str">
        <x:v>V1</x:v>
      </x:c>
      <x:c r="H862" s="32" t="str">
        <x:v>water_soil</x:v>
      </x:c>
      <x:c r="I862" s="32" t="str">
        <x:v>862323089930719</x:v>
      </x:c>
      <x:c r="J862" s="82" t="n">
        <x:v>41.9</x:v>
      </x:c>
      <x:c r="K862" s="82"/>
      <x:c r="L862" s="82" t="n">
        <x:v>39</x:v>
      </x:c>
      <x:c r="M862" s="82" t="n">
        <x:v>25.6</x:v>
      </x:c>
      <x:c r="N862" s="86" t="n">
        <x:v>1043</x:v>
      </x:c>
      <x:c r="O862" s="90" t="n">
        <x:v>6.53</x:v>
      </x:c>
      <x:c r="P862" s="150" t="n">
        <x:v>3.938</x:v>
      </x:c>
      <x:c r="Q862" s="86" t="n">
        <x:v>20</x:v>
      </x:c>
      <x:c r="R862" s="32" t="str">
        <x:v>ok</x:v>
      </x:c>
      <x:c r="S862" s="32"/>
      <x:c r="T862" s="32" t="str">
        <x:v>ok</x:v>
      </x:c>
      <x:c r="U862" s="32" t="str">
        <x:v>ok</x:v>
      </x:c>
      <x:c r="V862" s="32" t="str">
        <x:v>ok</x:v>
      </x:c>
      <x:c r="W862" s="154" t="str">
        <x:v>{"schema_version":1,"imei":"862323089930719","timestamp":1786025453,"report_sequence":36,"task_version":"rice_w0_water_soil_demo","sensor_mode":"water_soil","soil_moisture_percent":39,"soil_temperature_c":25.6,"soil_ec_us_cm":1043,"soil_ph":6.53,"battery_mv":3938,"csq":20,"soil_rs485_status":"ok","cycle_status":"ok","water_level_mm":41.9,"water_4_20ma_status":"ok"}</x:v>
      </x:c>
    </x:row>
    <x:row r="863">
      <x:c r="A863" s="72" t="n">
        <x:v>46240.92422453704</x:v>
      </x:c>
      <x:c r="B863" s="72" t="n">
        <x:v>46240.92423842593</x:v>
      </x:c>
      <x:c r="C863" s="32" t="str">
        <x:v>P20</x:v>
      </x:c>
      <x:c r="D863" s="32" t="str">
        <x:v>B4-W0-V2</x:v>
      </x:c>
      <x:c r="E863" s="32" t="str">
        <x:v>B4</x:v>
      </x:c>
      <x:c r="F863" s="32" t="str">
        <x:v>W0</x:v>
      </x:c>
      <x:c r="G863" s="32" t="str">
        <x:v>V2</x:v>
      </x:c>
      <x:c r="H863" s="32" t="str">
        <x:v>water_soil</x:v>
      </x:c>
      <x:c r="I863" s="32" t="str">
        <x:v>862323089930720</x:v>
      </x:c>
      <x:c r="J863" s="82" t="n">
        <x:v>32.6</x:v>
      </x:c>
      <x:c r="K863" s="82"/>
      <x:c r="L863" s="82" t="n">
        <x:v>39.8</x:v>
      </x:c>
      <x:c r="M863" s="82" t="n">
        <x:v>25.6</x:v>
      </x:c>
      <x:c r="N863" s="86" t="n">
        <x:v>1052</x:v>
      </x:c>
      <x:c r="O863" s="90" t="n">
        <x:v>6.33</x:v>
      </x:c>
      <x:c r="P863" s="150" t="n">
        <x:v>3.956</x:v>
      </x:c>
      <x:c r="Q863" s="86" t="n">
        <x:v>21</x:v>
      </x:c>
      <x:c r="R863" s="32" t="str">
        <x:v>ok</x:v>
      </x:c>
      <x:c r="S863" s="32"/>
      <x:c r="T863" s="32" t="str">
        <x:v>ok</x:v>
      </x:c>
      <x:c r="U863" s="32" t="str">
        <x:v>ok</x:v>
      </x:c>
      <x:c r="V863" s="32" t="str">
        <x:v>ok</x:v>
      </x:c>
      <x:c r="W863" s="154" t="str">
        <x:v>{"schema_version":1,"imei":"862323089930720","timestamp":1786025453,"report_sequence":36,"task_version":"rice_w0_water_soil_demo","sensor_mode":"water_soil","soil_moisture_percent":39.8,"soil_temperature_c":25.6,"soil_ec_us_cm":1052,"soil_ph":6.33,"battery_mv":3956,"csq":21,"soil_rs485_status":"ok","cycle_status":"ok","water_level_mm":32.6,"water_4_20ma_status":"ok"}</x:v>
      </x:c>
    </x:row>
    <x:row r="864">
      <x:c r="A864" s="72" t="n">
        <x:v>46240.92422453704</x:v>
      </x:c>
      <x:c r="B864" s="72" t="n">
        <x:v>46240.92423842593</x:v>
      </x:c>
      <x:c r="C864" s="32" t="str">
        <x:v>P21</x:v>
      </x:c>
      <x:c r="D864" s="32" t="str">
        <x:v>B4-W1-V1</x:v>
      </x:c>
      <x:c r="E864" s="32" t="str">
        <x:v>B4</x:v>
      </x:c>
      <x:c r="F864" s="32" t="str">
        <x:v>W1</x:v>
      </x:c>
      <x:c r="G864" s="32" t="str">
        <x:v>V1</x:v>
      </x:c>
      <x:c r="H864" s="32" t="str">
        <x:v>tension_soil</x:v>
      </x:c>
      <x:c r="I864" s="32" t="str">
        <x:v>862323089930721</x:v>
      </x:c>
      <x:c r="J864" s="82"/>
      <x:c r="K864" s="82" t="n">
        <x:v>-25.6</x:v>
      </x:c>
      <x:c r="L864" s="82" t="n">
        <x:v>40.6</x:v>
      </x:c>
      <x:c r="M864" s="82" t="n">
        <x:v>25.5</x:v>
      </x:c>
      <x:c r="N864" s="86" t="n">
        <x:v>1060</x:v>
      </x:c>
      <x:c r="O864" s="90" t="n">
        <x:v>6.37</x:v>
      </x:c>
      <x:c r="P864" s="150" t="n">
        <x:v>3.974</x:v>
      </x:c>
      <x:c r="Q864" s="86" t="n">
        <x:v>22</x:v>
      </x:c>
      <x:c r="R864" s="32"/>
      <x:c r="S864" s="32" t="str">
        <x:v>ok</x:v>
      </x:c>
      <x:c r="T864" s="32" t="str">
        <x:v>ok</x:v>
      </x:c>
      <x:c r="U864" s="32" t="str">
        <x:v>ok</x:v>
      </x:c>
      <x:c r="V864" s="32" t="str">
        <x:v>ok</x:v>
      </x:c>
      <x:c r="W864" s="154" t="str">
        <x:v>{"schema_version":1,"imei":"862323089930721","timestamp":1786025453,"report_sequence":36,"task_version":"rice_tension_soil_demo","sensor_mode":"tension_soil","soil_moisture_percent":40.6,"soil_temperature_c":25.5,"soil_ec_us_cm":1060,"soil_ph":6.37,"battery_mv":3974,"csq":22,"soil_rs485_status":"ok","cycle_status":"ok","soil_tension_kpa":-25.6,"soil_tension_rs485_status":"ok"}</x:v>
      </x:c>
    </x:row>
    <x:row r="865">
      <x:c r="A865" s="72" t="n">
        <x:v>46240.92422453704</x:v>
      </x:c>
      <x:c r="B865" s="72" t="n">
        <x:v>46240.92423842593</x:v>
      </x:c>
      <x:c r="C865" s="32" t="str">
        <x:v>P22</x:v>
      </x:c>
      <x:c r="D865" s="32" t="str">
        <x:v>B4-W1-V2</x:v>
      </x:c>
      <x:c r="E865" s="32" t="str">
        <x:v>B4</x:v>
      </x:c>
      <x:c r="F865" s="32" t="str">
        <x:v>W1</x:v>
      </x:c>
      <x:c r="G865" s="32" t="str">
        <x:v>V2</x:v>
      </x:c>
      <x:c r="H865" s="32" t="str">
        <x:v>tension_soil</x:v>
      </x:c>
      <x:c r="I865" s="32" t="str">
        <x:v>862323089930722</x:v>
      </x:c>
      <x:c r="J865" s="82"/>
      <x:c r="K865" s="82" t="n">
        <x:v>-26.2</x:v>
      </x:c>
      <x:c r="L865" s="82" t="n">
        <x:v>41.2</x:v>
      </x:c>
      <x:c r="M865" s="82" t="n">
        <x:v>25.4</x:v>
      </x:c>
      <x:c r="N865" s="86" t="n">
        <x:v>1066</x:v>
      </x:c>
      <x:c r="O865" s="90" t="n">
        <x:v>6.42</x:v>
      </x:c>
      <x:c r="P865" s="150" t="n">
        <x:v>3.992</x:v>
      </x:c>
      <x:c r="Q865" s="86" t="n">
        <x:v>23</x:v>
      </x:c>
      <x:c r="R865" s="32"/>
      <x:c r="S865" s="32" t="str">
        <x:v>ok</x:v>
      </x:c>
      <x:c r="T865" s="32" t="str">
        <x:v>ok</x:v>
      </x:c>
      <x:c r="U865" s="32" t="str">
        <x:v>ok</x:v>
      </x:c>
      <x:c r="V865" s="32" t="str">
        <x:v>ok</x:v>
      </x:c>
      <x:c r="W865" s="154" t="str">
        <x:v>{"schema_version":1,"imei":"862323089930722","timestamp":1786025453,"report_sequence":36,"task_version":"rice_tension_soil_demo","sensor_mode":"tension_soil","soil_moisture_percent":41.2,"soil_temperature_c":25.4,"soil_ec_us_cm":1066,"soil_ph":6.42,"battery_mv":3992,"csq":23,"soil_rs485_status":"ok","cycle_status":"ok","soil_tension_kpa":-26.2,"soil_tension_rs485_status":"ok"}</x:v>
      </x:c>
    </x:row>
    <x:row r="866">
      <x:c r="A866" s="72" t="n">
        <x:v>46240.92422453704</x:v>
      </x:c>
      <x:c r="B866" s="72" t="n">
        <x:v>46240.92423842593</x:v>
      </x:c>
      <x:c r="C866" s="32" t="str">
        <x:v>P23</x:v>
      </x:c>
      <x:c r="D866" s="32" t="str">
        <x:v>B4-W2-V1</x:v>
      </x:c>
      <x:c r="E866" s="32" t="str">
        <x:v>B4</x:v>
      </x:c>
      <x:c r="F866" s="32" t="str">
        <x:v>W2</x:v>
      </x:c>
      <x:c r="G866" s="32" t="str">
        <x:v>V1</x:v>
      </x:c>
      <x:c r="H866" s="32" t="str">
        <x:v>tension_soil</x:v>
      </x:c>
      <x:c r="I866" s="32" t="str">
        <x:v>862323089930723</x:v>
      </x:c>
      <x:c r="J866" s="82"/>
      <x:c r="K866" s="82" t="n">
        <x:v>-37.8</x:v>
      </x:c>
      <x:c r="L866" s="82" t="n">
        <x:v>41.8</x:v>
      </x:c>
      <x:c r="M866" s="82" t="n">
        <x:v>25.3</x:v>
      </x:c>
      <x:c r="N866" s="86" t="n">
        <x:v>1070</x:v>
      </x:c>
      <x:c r="O866" s="90" t="n">
        <x:v>6.46</x:v>
      </x:c>
      <x:c r="P866" s="150" t="n">
        <x:v>4.01</x:v>
      </x:c>
      <x:c r="Q866" s="86" t="n">
        <x:v>24</x:v>
      </x:c>
      <x:c r="R866" s="32"/>
      <x:c r="S866" s="32" t="str">
        <x:v>ok</x:v>
      </x:c>
      <x:c r="T866" s="32" t="str">
        <x:v>ok</x:v>
      </x:c>
      <x:c r="U866" s="32" t="str">
        <x:v>ok</x:v>
      </x:c>
      <x:c r="V866" s="32" t="str">
        <x:v>ok</x:v>
      </x:c>
      <x:c r="W866" s="154" t="str">
        <x:v>{"schema_version":1,"imei":"862323089930723","timestamp":1786025453,"report_sequence":36,"task_version":"rice_tension_soil_demo","sensor_mode":"tension_soil","soil_moisture_percent":41.8,"soil_temperature_c":25.3,"soil_ec_us_cm":1070,"soil_ph":6.46,"battery_mv":4010,"csq":24,"soil_rs485_status":"ok","cycle_status":"ok","soil_tension_kpa":-37.8,"soil_tension_rs485_status":"ok"}</x:v>
      </x:c>
    </x:row>
    <x:row r="867">
      <x:c r="A867" s="72" t="n">
        <x:v>46240.92422453704</x:v>
      </x:c>
      <x:c r="B867" s="72" t="n">
        <x:v>46240.92423842593</x:v>
      </x:c>
      <x:c r="C867" s="32" t="str">
        <x:v>P24</x:v>
      </x:c>
      <x:c r="D867" s="32" t="str">
        <x:v>B4-W2-V2</x:v>
      </x:c>
      <x:c r="E867" s="32" t="str">
        <x:v>B4</x:v>
      </x:c>
      <x:c r="F867" s="32" t="str">
        <x:v>W2</x:v>
      </x:c>
      <x:c r="G867" s="32" t="str">
        <x:v>V2</x:v>
      </x:c>
      <x:c r="H867" s="32" t="str">
        <x:v>tension_soil</x:v>
      </x:c>
      <x:c r="I867" s="32" t="str">
        <x:v>862323089930724</x:v>
      </x:c>
      <x:c r="J867" s="82"/>
      <x:c r="K867" s="82" t="n">
        <x:v>-38.3</x:v>
      </x:c>
      <x:c r="L867" s="82" t="n">
        <x:v>34.3</x:v>
      </x:c>
      <x:c r="M867" s="82" t="n">
        <x:v>25.2</x:v>
      </x:c>
      <x:c r="N867" s="86" t="n">
        <x:v>1074</x:v>
      </x:c>
      <x:c r="O867" s="90" t="n">
        <x:v>6.51</x:v>
      </x:c>
      <x:c r="P867" s="150" t="n">
        <x:v>3.92</x:v>
      </x:c>
      <x:c r="Q867" s="86" t="n">
        <x:v>17</x:v>
      </x:c>
      <x:c r="R867" s="32"/>
      <x:c r="S867" s="32" t="str">
        <x:v>ok</x:v>
      </x:c>
      <x:c r="T867" s="32" t="str">
        <x:v>ok</x:v>
      </x:c>
      <x:c r="U867" s="32" t="str">
        <x:v>ok</x:v>
      </x:c>
      <x:c r="V867" s="32" t="str">
        <x:v>ok</x:v>
      </x:c>
      <x:c r="W867" s="154" t="str">
        <x:v>{"schema_version":1,"imei":"862323089930724","timestamp":1786025453,"report_sequence":36,"task_version":"rice_tension_soil_demo","sensor_mode":"tension_soil","soil_moisture_percent":34.3,"soil_temperature_c":25.2,"soil_ec_us_cm":1074,"soil_ph":6.51,"battery_mv":3920,"csq":17,"soil_rs485_status":"ok","cycle_status":"ok","soil_tension_kpa":-38.3,"soil_tension_rs485_status":"ok"}</x:v>
      </x:c>
    </x:row>
    <x:row r="868">
      <x:c r="A868" s="72" t="n">
        <x:v>46240.92769675926</x:v>
      </x:c>
      <x:c r="B868" s="72" t="n">
        <x:v>46240.927710648146</x:v>
      </x:c>
      <x:c r="C868" s="32" t="str">
        <x:v>P01</x:v>
      </x:c>
      <x:c r="D868" s="32" t="str">
        <x:v>B1-W0-V1</x:v>
      </x:c>
      <x:c r="E868" s="32" t="str">
        <x:v>B1</x:v>
      </x:c>
      <x:c r="F868" s="32" t="str">
        <x:v>W0</x:v>
      </x:c>
      <x:c r="G868" s="32" t="str">
        <x:v>V1</x:v>
      </x:c>
      <x:c r="H868" s="32" t="str">
        <x:v>water_soil</x:v>
      </x:c>
      <x:c r="I868" s="32" t="str">
        <x:v>862323089930701</x:v>
      </x:c>
      <x:c r="J868" s="82" t="n">
        <x:v>30.5</x:v>
      </x:c>
      <x:c r="K868" s="82"/>
      <x:c r="L868" s="82" t="n">
        <x:v>34.8</x:v>
      </x:c>
      <x:c r="M868" s="82" t="n">
        <x:v>25</x:v>
      </x:c>
      <x:c r="N868" s="86" t="n">
        <x:v>788</x:v>
      </x:c>
      <x:c r="O868" s="90" t="n">
        <x:v>6.35</x:v>
      </x:c>
      <x:c r="P868" s="150" t="n">
        <x:v>3.938</x:v>
      </x:c>
      <x:c r="Q868" s="86" t="n">
        <x:v>18</x:v>
      </x:c>
      <x:c r="R868" s="32" t="str">
        <x:v>ok</x:v>
      </x:c>
      <x:c r="S868" s="32"/>
      <x:c r="T868" s="32" t="str">
        <x:v>ok</x:v>
      </x:c>
      <x:c r="U868" s="32" t="str">
        <x:v>ok</x:v>
      </x:c>
      <x:c r="V868" s="32" t="str">
        <x:v>ok</x:v>
      </x:c>
      <x:c r="W868" s="154" t="str">
        <x:v>{"schema_version":1,"imei":"862323089930701","timestamp":1786025753,"report_sequence":37,"task_version":"rice_w0_water_soil_demo","sensor_mode":"water_soil","soil_moisture_percent":34.8,"soil_temperature_c":25,"soil_ec_us_cm":788,"soil_ph":6.35,"battery_mv":3938,"csq":18,"soil_rs485_status":"ok","cycle_status":"ok","water_level_mm":30.5,"water_4_20ma_status":"ok"}</x:v>
      </x:c>
    </x:row>
    <x:row r="869">
      <x:c r="A869" s="72" t="n">
        <x:v>46240.92769675926</x:v>
      </x:c>
      <x:c r="B869" s="72" t="n">
        <x:v>46240.927710648146</x:v>
      </x:c>
      <x:c r="C869" s="32" t="str">
        <x:v>P02</x:v>
      </x:c>
      <x:c r="D869" s="32" t="str">
        <x:v>B1-W0-V2</x:v>
      </x:c>
      <x:c r="E869" s="32" t="str">
        <x:v>B1</x:v>
      </x:c>
      <x:c r="F869" s="32" t="str">
        <x:v>W0</x:v>
      </x:c>
      <x:c r="G869" s="32" t="str">
        <x:v>V2</x:v>
      </x:c>
      <x:c r="H869" s="32" t="str">
        <x:v>water_soil</x:v>
      </x:c>
      <x:c r="I869" s="32" t="str">
        <x:v>862323089930702</x:v>
      </x:c>
      <x:c r="J869" s="82" t="n">
        <x:v>32.2</x:v>
      </x:c>
      <x:c r="K869" s="82"/>
      <x:c r="L869" s="82" t="n">
        <x:v>35.3</x:v>
      </x:c>
      <x:c r="M869" s="82" t="n">
        <x:v>24.9</x:v>
      </x:c>
      <x:c r="N869" s="86" t="n">
        <x:v>792</x:v>
      </x:c>
      <x:c r="O869" s="90" t="n">
        <x:v>6.39</x:v>
      </x:c>
      <x:c r="P869" s="150" t="n">
        <x:v>3.956</x:v>
      </x:c>
      <x:c r="Q869" s="86" t="n">
        <x:v>19</x:v>
      </x:c>
      <x:c r="R869" s="32" t="str">
        <x:v>ok</x:v>
      </x:c>
      <x:c r="S869" s="32"/>
      <x:c r="T869" s="32" t="str">
        <x:v>ok</x:v>
      </x:c>
      <x:c r="U869" s="32" t="str">
        <x:v>ok</x:v>
      </x:c>
      <x:c r="V869" s="32" t="str">
        <x:v>ok</x:v>
      </x:c>
      <x:c r="W869" s="154" t="str">
        <x:v>{"schema_version":1,"imei":"862323089930702","timestamp":1786025753,"report_sequence":37,"task_version":"rice_w0_water_soil_demo","sensor_mode":"water_soil","soil_moisture_percent":35.3,"soil_temperature_c":24.9,"soil_ec_us_cm":792,"soil_ph":6.39,"battery_mv":3956,"csq":19,"soil_rs485_status":"ok","cycle_status":"ok","water_level_mm":32.2,"water_4_20ma_status":"ok"}</x:v>
      </x:c>
    </x:row>
    <x:row r="870">
      <x:c r="A870" s="72" t="n">
        <x:v>46240.92769675926</x:v>
      </x:c>
      <x:c r="B870" s="72" t="n">
        <x:v>46240.927710648146</x:v>
      </x:c>
      <x:c r="C870" s="32" t="str">
        <x:v>P03</x:v>
      </x:c>
      <x:c r="D870" s="32" t="str">
        <x:v>B1-W1-V1</x:v>
      </x:c>
      <x:c r="E870" s="32" t="str">
        <x:v>B1</x:v>
      </x:c>
      <x:c r="F870" s="32" t="str">
        <x:v>W1</x:v>
      </x:c>
      <x:c r="G870" s="32" t="str">
        <x:v>V1</x:v>
      </x:c>
      <x:c r="H870" s="32" t="str">
        <x:v>tension_soil</x:v>
      </x:c>
      <x:c r="I870" s="32" t="str">
        <x:v>862323089930703</x:v>
      </x:c>
      <x:c r="J870" s="82"/>
      <x:c r="K870" s="82" t="n">
        <x:v>-24.9</x:v>
      </x:c>
      <x:c r="L870" s="82" t="n">
        <x:v>35.9</x:v>
      </x:c>
      <x:c r="M870" s="82" t="n">
        <x:v>24.8</x:v>
      </x:c>
      <x:c r="N870" s="86" t="n">
        <x:v>796</x:v>
      </x:c>
      <x:c r="O870" s="90" t="n">
        <x:v>6.43</x:v>
      </x:c>
      <x:c r="P870" s="150" t="n">
        <x:v>3.974</x:v>
      </x:c>
      <x:c r="Q870" s="86" t="n">
        <x:v>20</x:v>
      </x:c>
      <x:c r="R870" s="32"/>
      <x:c r="S870" s="32" t="str">
        <x:v>ok</x:v>
      </x:c>
      <x:c r="T870" s="32" t="str">
        <x:v>ok</x:v>
      </x:c>
      <x:c r="U870" s="32" t="str">
        <x:v>ok</x:v>
      </x:c>
      <x:c r="V870" s="32" t="str">
        <x:v>ok</x:v>
      </x:c>
      <x:c r="W870" s="154" t="str">
        <x:v>{"schema_version":1,"imei":"862323089930703","timestamp":1786025753,"report_sequence":37,"task_version":"rice_tension_soil_demo","sensor_mode":"tension_soil","soil_moisture_percent":35.9,"soil_temperature_c":24.8,"soil_ec_us_cm":796,"soil_ph":6.43,"battery_mv":3974,"csq":20,"soil_rs485_status":"ok","cycle_status":"ok","soil_tension_kpa":-24.9,"soil_tension_rs485_status":"ok"}</x:v>
      </x:c>
    </x:row>
    <x:row r="871">
      <x:c r="A871" s="72" t="n">
        <x:v>46240.92769675926</x:v>
      </x:c>
      <x:c r="B871" s="72" t="n">
        <x:v>46240.927710648146</x:v>
      </x:c>
      <x:c r="C871" s="32" t="str">
        <x:v>P04</x:v>
      </x:c>
      <x:c r="D871" s="32" t="str">
        <x:v>B1-W1-V2</x:v>
      </x:c>
      <x:c r="E871" s="32" t="str">
        <x:v>B1</x:v>
      </x:c>
      <x:c r="F871" s="32" t="str">
        <x:v>W1</x:v>
      </x:c>
      <x:c r="G871" s="32" t="str">
        <x:v>V2</x:v>
      </x:c>
      <x:c r="H871" s="32" t="str">
        <x:v>tension_soil</x:v>
      </x:c>
      <x:c r="I871" s="32" t="str">
        <x:v>862323089930704</x:v>
      </x:c>
      <x:c r="J871" s="82"/>
      <x:c r="K871" s="82" t="n">
        <x:v>-25.5</x:v>
      </x:c>
      <x:c r="L871" s="82" t="n">
        <x:v>36.5</x:v>
      </x:c>
      <x:c r="M871" s="82" t="n">
        <x:v>24.7</x:v>
      </x:c>
      <x:c r="N871" s="86" t="n">
        <x:v>802</x:v>
      </x:c>
      <x:c r="O871" s="90" t="n">
        <x:v>6.48</x:v>
      </x:c>
      <x:c r="P871" s="150" t="n">
        <x:v>3.992</x:v>
      </x:c>
      <x:c r="Q871" s="86" t="n">
        <x:v>21</x:v>
      </x:c>
      <x:c r="R871" s="32"/>
      <x:c r="S871" s="32" t="str">
        <x:v>ok</x:v>
      </x:c>
      <x:c r="T871" s="32" t="str">
        <x:v>ok</x:v>
      </x:c>
      <x:c r="U871" s="32" t="str">
        <x:v>ok</x:v>
      </x:c>
      <x:c r="V871" s="32" t="str">
        <x:v>ok</x:v>
      </x:c>
      <x:c r="W871" s="154" t="str">
        <x:v>{"schema_version":1,"imei":"862323089930704","timestamp":1786025753,"report_sequence":37,"task_version":"rice_tension_soil_demo","sensor_mode":"tension_soil","soil_moisture_percent":36.5,"soil_temperature_c":24.7,"soil_ec_us_cm":802,"soil_ph":6.48,"battery_mv":3992,"csq":21,"soil_rs485_status":"ok","cycle_status":"ok","soil_tension_kpa":-25.5,"soil_tension_rs485_status":"ok"}</x:v>
      </x:c>
    </x:row>
    <x:row r="872">
      <x:c r="A872" s="72" t="n">
        <x:v>46240.92769675926</x:v>
      </x:c>
      <x:c r="B872" s="72" t="n">
        <x:v>46240.927710648146</x:v>
      </x:c>
      <x:c r="C872" s="32" t="str">
        <x:v>P05</x:v>
      </x:c>
      <x:c r="D872" s="32" t="str">
        <x:v>B1-W2-V1</x:v>
      </x:c>
      <x:c r="E872" s="32" t="str">
        <x:v>B1</x:v>
      </x:c>
      <x:c r="F872" s="32" t="str">
        <x:v>W2</x:v>
      </x:c>
      <x:c r="G872" s="32" t="str">
        <x:v>V1</x:v>
      </x:c>
      <x:c r="H872" s="32" t="str">
        <x:v>tension_soil</x:v>
      </x:c>
      <x:c r="I872" s="32" t="str">
        <x:v>862323089930705</x:v>
      </x:c>
      <x:c r="J872" s="82"/>
      <x:c r="K872" s="82" t="n">
        <x:v>-32.2</x:v>
      </x:c>
      <x:c r="L872" s="82" t="n">
        <x:v>37.2</x:v>
      </x:c>
      <x:c r="M872" s="82" t="n">
        <x:v>24.7</x:v>
      </x:c>
      <x:c r="N872" s="86" t="n">
        <x:v>809</x:v>
      </x:c>
      <x:c r="O872" s="90" t="n">
        <x:v>6.27</x:v>
      </x:c>
      <x:c r="P872" s="150" t="n">
        <x:v>4.01</x:v>
      </x:c>
      <x:c r="Q872" s="86" t="n">
        <x:v>22</x:v>
      </x:c>
      <x:c r="R872" s="32"/>
      <x:c r="S872" s="32" t="str">
        <x:v>ok</x:v>
      </x:c>
      <x:c r="T872" s="32" t="str">
        <x:v>ok</x:v>
      </x:c>
      <x:c r="U872" s="32" t="str">
        <x:v>ok</x:v>
      </x:c>
      <x:c r="V872" s="32" t="str">
        <x:v>ok</x:v>
      </x:c>
      <x:c r="W872" s="154" t="str">
        <x:v>{"schema_version":1,"imei":"862323089930705","timestamp":1786025753,"report_sequence":37,"task_version":"rice_tension_soil_demo","sensor_mode":"tension_soil","soil_moisture_percent":37.2,"soil_temperature_c":24.7,"soil_ec_us_cm":809,"soil_ph":6.27,"battery_mv":4010,"csq":22,"soil_rs485_status":"ok","cycle_status":"ok","soil_tension_kpa":-32.2,"soil_tension_rs485_status":"ok"}</x:v>
      </x:c>
    </x:row>
    <x:row r="873">
      <x:c r="A873" s="72" t="n">
        <x:v>46240.92769675926</x:v>
      </x:c>
      <x:c r="B873" s="72" t="n">
        <x:v>46240.927710648146</x:v>
      </x:c>
      <x:c r="C873" s="32" t="str">
        <x:v>P06</x:v>
      </x:c>
      <x:c r="D873" s="32" t="str">
        <x:v>B1-W2-V2</x:v>
      </x:c>
      <x:c r="E873" s="32" t="str">
        <x:v>B1</x:v>
      </x:c>
      <x:c r="F873" s="32" t="str">
        <x:v>W2</x:v>
      </x:c>
      <x:c r="G873" s="32" t="str">
        <x:v>V2</x:v>
      </x:c>
      <x:c r="H873" s="32" t="str">
        <x:v>tension_soil</x:v>
      </x:c>
      <x:c r="I873" s="32" t="str">
        <x:v>862323089930706</x:v>
      </x:c>
      <x:c r="J873" s="82"/>
      <x:c r="K873" s="82" t="n">
        <x:v>-33</x:v>
      </x:c>
      <x:c r="L873" s="82" t="n">
        <x:v>38</x:v>
      </x:c>
      <x:c r="M873" s="82" t="n">
        <x:v>24.6</x:v>
      </x:c>
      <x:c r="N873" s="86" t="n">
        <x:v>818</x:v>
      </x:c>
      <x:c r="O873" s="90" t="n">
        <x:v>6.32</x:v>
      </x:c>
      <x:c r="P873" s="150" t="n">
        <x:v>3.92</x:v>
      </x:c>
      <x:c r="Q873" s="86" t="n">
        <x:v>23</x:v>
      </x:c>
      <x:c r="R873" s="32"/>
      <x:c r="S873" s="32" t="str">
        <x:v>ok</x:v>
      </x:c>
      <x:c r="T873" s="32" t="str">
        <x:v>ok</x:v>
      </x:c>
      <x:c r="U873" s="32" t="str">
        <x:v>ok</x:v>
      </x:c>
      <x:c r="V873" s="32" t="str">
        <x:v>ok</x:v>
      </x:c>
      <x:c r="W873" s="154" t="str">
        <x:v>{"schema_version":1,"imei":"862323089930706","timestamp":1786025753,"report_sequence":37,"task_version":"rice_tension_soil_demo","sensor_mode":"tension_soil","soil_moisture_percent":38,"soil_temperature_c":24.6,"soil_ec_us_cm":818,"soil_ph":6.32,"battery_mv":3920,"csq":23,"soil_rs485_status":"ok","cycle_status":"ok","soil_tension_kpa":-33,"soil_tension_rs485_status":"ok"}</x:v>
      </x:c>
    </x:row>
    <x:row r="874">
      <x:c r="A874" s="72" t="n">
        <x:v>46240.92769675926</x:v>
      </x:c>
      <x:c r="B874" s="72" t="n">
        <x:v>46240.927710648146</x:v>
      </x:c>
      <x:c r="C874" s="32" t="str">
        <x:v>P07</x:v>
      </x:c>
      <x:c r="D874" s="32" t="str">
        <x:v>B2-W0-V1</x:v>
      </x:c>
      <x:c r="E874" s="32" t="str">
        <x:v>B2</x:v>
      </x:c>
      <x:c r="F874" s="32" t="str">
        <x:v>W0</x:v>
      </x:c>
      <x:c r="G874" s="32" t="str">
        <x:v>V1</x:v>
      </x:c>
      <x:c r="H874" s="32" t="str">
        <x:v>water_soil</x:v>
      </x:c>
      <x:c r="I874" s="32" t="str">
        <x:v>862323089930707</x:v>
      </x:c>
      <x:c r="J874" s="82" t="n">
        <x:v>32</x:v>
      </x:c>
      <x:c r="K874" s="82"/>
      <x:c r="L874" s="82" t="n">
        <x:v>39</x:v>
      </x:c>
      <x:c r="M874" s="82" t="n">
        <x:v>24.6</x:v>
      </x:c>
      <x:c r="N874" s="86" t="n">
        <x:v>829</x:v>
      </x:c>
      <x:c r="O874" s="90" t="n">
        <x:v>6.37</x:v>
      </x:c>
      <x:c r="P874" s="150" t="n">
        <x:v>3.938</x:v>
      </x:c>
      <x:c r="Q874" s="86" t="n">
        <x:v>24</x:v>
      </x:c>
      <x:c r="R874" s="32" t="str">
        <x:v>ok</x:v>
      </x:c>
      <x:c r="S874" s="32"/>
      <x:c r="T874" s="32" t="str">
        <x:v>ok</x:v>
      </x:c>
      <x:c r="U874" s="32" t="str">
        <x:v>ok</x:v>
      </x:c>
      <x:c r="V874" s="32" t="str">
        <x:v>ok</x:v>
      </x:c>
      <x:c r="W874" s="154" t="str">
        <x:v>{"schema_version":1,"imei":"862323089930707","timestamp":1786025753,"report_sequence":37,"task_version":"rice_w0_water_soil_demo","sensor_mode":"water_soil","soil_moisture_percent":39,"soil_temperature_c":24.6,"soil_ec_us_cm":829,"soil_ph":6.37,"battery_mv":3938,"csq":24,"soil_rs485_status":"ok","cycle_status":"ok","water_level_mm":32,"water_4_20ma_status":"ok"}</x:v>
      </x:c>
    </x:row>
    <x:row r="875">
      <x:c r="A875" s="72" t="n">
        <x:v>46240.92769675926</x:v>
      </x:c>
      <x:c r="B875" s="72" t="n">
        <x:v>46240.927710648146</x:v>
      </x:c>
      <x:c r="C875" s="32" t="str">
        <x:v>P08</x:v>
      </x:c>
      <x:c r="D875" s="32" t="str">
        <x:v>B2-W0-V2</x:v>
      </x:c>
      <x:c r="E875" s="32" t="str">
        <x:v>B2</x:v>
      </x:c>
      <x:c r="F875" s="32" t="str">
        <x:v>W0</x:v>
      </x:c>
      <x:c r="G875" s="32" t="str">
        <x:v>V2</x:v>
      </x:c>
      <x:c r="H875" s="32" t="str">
        <x:v>water_soil</x:v>
      </x:c>
      <x:c r="I875" s="32" t="str">
        <x:v>862323089930708</x:v>
      </x:c>
      <x:c r="J875" s="82" t="n">
        <x:v>23.2</x:v>
      </x:c>
      <x:c r="K875" s="82"/>
      <x:c r="L875" s="82" t="n">
        <x:v>32.1</x:v>
      </x:c>
      <x:c r="M875" s="82" t="n">
        <x:v>24.6</x:v>
      </x:c>
      <x:c r="N875" s="86" t="n">
        <x:v>842</x:v>
      </x:c>
      <x:c r="O875" s="90" t="n">
        <x:v>6.42</x:v>
      </x:c>
      <x:c r="P875" s="150" t="n">
        <x:v>3.956</x:v>
      </x:c>
      <x:c r="Q875" s="86" t="n">
        <x:v>17</x:v>
      </x:c>
      <x:c r="R875" s="32" t="str">
        <x:v>ok</x:v>
      </x:c>
      <x:c r="S875" s="32"/>
      <x:c r="T875" s="32" t="str">
        <x:v>ok</x:v>
      </x:c>
      <x:c r="U875" s="32" t="str">
        <x:v>ok</x:v>
      </x:c>
      <x:c r="V875" s="32" t="str">
        <x:v>ok</x:v>
      </x:c>
      <x:c r="W875" s="154" t="str">
        <x:v>{"schema_version":1,"imei":"862323089930708","timestamp":1786025753,"report_sequence":37,"task_version":"rice_w0_water_soil_demo","sensor_mode":"water_soil","soil_moisture_percent":32.1,"soil_temperature_c":24.6,"soil_ec_us_cm":842,"soil_ph":6.42,"battery_mv":3956,"csq":17,"soil_rs485_status":"ok","cycle_status":"ok","water_level_mm":23.2,"water_4_20ma_status":"ok"}</x:v>
      </x:c>
    </x:row>
    <x:row r="876">
      <x:c r="A876" s="72" t="n">
        <x:v>46240.92769675926</x:v>
      </x:c>
      <x:c r="B876" s="72" t="n">
        <x:v>46240.927710648146</x:v>
      </x:c>
      <x:c r="C876" s="32" t="str">
        <x:v>P09</x:v>
      </x:c>
      <x:c r="D876" s="32" t="str">
        <x:v>B2-W1-V1</x:v>
      </x:c>
      <x:c r="E876" s="32" t="str">
        <x:v>B2</x:v>
      </x:c>
      <x:c r="F876" s="32" t="str">
        <x:v>W1</x:v>
      </x:c>
      <x:c r="G876" s="32" t="str">
        <x:v>V1</x:v>
      </x:c>
      <x:c r="H876" s="32" t="str">
        <x:v>tension_soil</x:v>
      </x:c>
      <x:c r="I876" s="32" t="str">
        <x:v>862323089930709</x:v>
      </x:c>
      <x:c r="J876" s="82"/>
      <x:c r="K876" s="82" t="n">
        <x:v>-25.3</x:v>
      </x:c>
      <x:c r="L876" s="82" t="n">
        <x:v>33.3</x:v>
      </x:c>
      <x:c r="M876" s="82" t="n">
        <x:v>24.7</x:v>
      </x:c>
      <x:c r="N876" s="86" t="n">
        <x:v>858</x:v>
      </x:c>
      <x:c r="O876" s="90" t="n">
        <x:v>6.47</x:v>
      </x:c>
      <x:c r="P876" s="150" t="n">
        <x:v>3.974</x:v>
      </x:c>
      <x:c r="Q876" s="86" t="n">
        <x:v>18</x:v>
      </x:c>
      <x:c r="R876" s="32"/>
      <x:c r="S876" s="32" t="str">
        <x:v>ok</x:v>
      </x:c>
      <x:c r="T876" s="32" t="str">
        <x:v>ok</x:v>
      </x:c>
      <x:c r="U876" s="32" t="str">
        <x:v>ok</x:v>
      </x:c>
      <x:c r="V876" s="32" t="str">
        <x:v>ok</x:v>
      </x:c>
      <x:c r="W876" s="154" t="str">
        <x:v>{"schema_version":1,"imei":"862323089930709","timestamp":1786025753,"report_sequence":37,"task_version":"rice_tension_soil_demo","sensor_mode":"tension_soil","soil_moisture_percent":33.3,"soil_temperature_c":24.7,"soil_ec_us_cm":858,"soil_ph":6.47,"battery_mv":3974,"csq":18,"soil_rs485_status":"ok","cycle_status":"ok","soil_tension_kpa":-25.3,"soil_tension_rs485_status":"ok"}</x:v>
      </x:c>
    </x:row>
    <x:row r="877">
      <x:c r="A877" s="72" t="n">
        <x:v>46240.92769675926</x:v>
      </x:c>
      <x:c r="B877" s="72" t="n">
        <x:v>46240.927710648146</x:v>
      </x:c>
      <x:c r="C877" s="32" t="str">
        <x:v>P10</x:v>
      </x:c>
      <x:c r="D877" s="32" t="str">
        <x:v>B2-W1-V2</x:v>
      </x:c>
      <x:c r="E877" s="32" t="str">
        <x:v>B2</x:v>
      </x:c>
      <x:c r="F877" s="32" t="str">
        <x:v>W1</x:v>
      </x:c>
      <x:c r="G877" s="32" t="str">
        <x:v>V2</x:v>
      </x:c>
      <x:c r="H877" s="32" t="str">
        <x:v>tension_soil</x:v>
      </x:c>
      <x:c r="I877" s="32" t="str">
        <x:v>862323089930710</x:v>
      </x:c>
      <x:c r="J877" s="82"/>
      <x:c r="K877" s="82" t="n">
        <x:v>-21.6</x:v>
      </x:c>
      <x:c r="L877" s="82" t="n">
        <x:v>34.6</x:v>
      </x:c>
      <x:c r="M877" s="82" t="n">
        <x:v>24.7</x:v>
      </x:c>
      <x:c r="N877" s="86" t="n">
        <x:v>875</x:v>
      </x:c>
      <x:c r="O877" s="90" t="n">
        <x:v>6.28</x:v>
      </x:c>
      <x:c r="P877" s="150" t="n">
        <x:v>3.992</x:v>
      </x:c>
      <x:c r="Q877" s="86" t="n">
        <x:v>19</x:v>
      </x:c>
      <x:c r="R877" s="32"/>
      <x:c r="S877" s="32" t="str">
        <x:v>ok</x:v>
      </x:c>
      <x:c r="T877" s="32" t="str">
        <x:v>ok</x:v>
      </x:c>
      <x:c r="U877" s="32" t="str">
        <x:v>ok</x:v>
      </x:c>
      <x:c r="V877" s="32" t="str">
        <x:v>ok</x:v>
      </x:c>
      <x:c r="W877" s="154" t="str">
        <x:v>{"schema_version":1,"imei":"862323089930710","timestamp":1786025753,"report_sequence":37,"task_version":"rice_tension_soil_demo","sensor_mode":"tension_soil","soil_moisture_percent":34.6,"soil_temperature_c":24.7,"soil_ec_us_cm":875,"soil_ph":6.28,"battery_mv":3992,"csq":19,"soil_rs485_status":"ok","cycle_status":"ok","soil_tension_kpa":-21.6,"soil_tension_rs485_status":"ok"}</x:v>
      </x:c>
    </x:row>
    <x:row r="878">
      <x:c r="A878" s="72" t="n">
        <x:v>46240.92769675926</x:v>
      </x:c>
      <x:c r="B878" s="72" t="n">
        <x:v>46240.927710648146</x:v>
      </x:c>
      <x:c r="C878" s="32" t="str">
        <x:v>P11</x:v>
      </x:c>
      <x:c r="D878" s="32" t="str">
        <x:v>B2-W2-V1</x:v>
      </x:c>
      <x:c r="E878" s="32" t="str">
        <x:v>B2</x:v>
      </x:c>
      <x:c r="F878" s="32" t="str">
        <x:v>W2</x:v>
      </x:c>
      <x:c r="G878" s="32" t="str">
        <x:v>V1</x:v>
      </x:c>
      <x:c r="H878" s="32" t="str">
        <x:v>tension_soil</x:v>
      </x:c>
      <x:c r="I878" s="32" t="str">
        <x:v>862323089930711</x:v>
      </x:c>
      <x:c r="J878" s="82"/>
      <x:c r="K878" s="82" t="n">
        <x:v>-34</x:v>
      </x:c>
      <x:c r="L878" s="82" t="n">
        <x:v>36</x:v>
      </x:c>
      <x:c r="M878" s="82" t="n">
        <x:v>24.8</x:v>
      </x:c>
      <x:c r="N878" s="86" t="n">
        <x:v>894</x:v>
      </x:c>
      <x:c r="O878" s="90" t="n">
        <x:v>6.33</x:v>
      </x:c>
      <x:c r="P878" s="150" t="n">
        <x:v>4.01</x:v>
      </x:c>
      <x:c r="Q878" s="86" t="n">
        <x:v>20</x:v>
      </x:c>
      <x:c r="R878" s="32"/>
      <x:c r="S878" s="32" t="str">
        <x:v>ok</x:v>
      </x:c>
      <x:c r="T878" s="32" t="str">
        <x:v>ok</x:v>
      </x:c>
      <x:c r="U878" s="32" t="str">
        <x:v>ok</x:v>
      </x:c>
      <x:c r="V878" s="32" t="str">
        <x:v>ok</x:v>
      </x:c>
      <x:c r="W878" s="154" t="str">
        <x:v>{"schema_version":1,"imei":"862323089930711","timestamp":1786025753,"report_sequence":37,"task_version":"rice_tension_soil_demo","sensor_mode":"tension_soil","soil_moisture_percent":36,"soil_temperature_c":24.8,"soil_ec_us_cm":894,"soil_ph":6.33,"battery_mv":4010,"csq":20,"soil_rs485_status":"ok","cycle_status":"ok","soil_tension_kpa":-34,"soil_tension_rs485_status":"ok"}</x:v>
      </x:c>
    </x:row>
    <x:row r="879">
      <x:c r="A879" s="72" t="n">
        <x:v>46240.92769675926</x:v>
      </x:c>
      <x:c r="B879" s="72" t="n">
        <x:v>46240.927710648146</x:v>
      </x:c>
      <x:c r="C879" s="32" t="str">
        <x:v>P12</x:v>
      </x:c>
      <x:c r="D879" s="32" t="str">
        <x:v>B2-W2-V2</x:v>
      </x:c>
      <x:c r="E879" s="32" t="str">
        <x:v>B2</x:v>
      </x:c>
      <x:c r="F879" s="32" t="str">
        <x:v>W2</x:v>
      </x:c>
      <x:c r="G879" s="32" t="str">
        <x:v>V2</x:v>
      </x:c>
      <x:c r="H879" s="32" t="str">
        <x:v>tension_soil</x:v>
      </x:c>
      <x:c r="I879" s="32" t="str">
        <x:v>862323089930712</x:v>
      </x:c>
      <x:c r="J879" s="82"/>
      <x:c r="K879" s="82" t="n">
        <x:v>-35.4</x:v>
      </x:c>
      <x:c r="L879" s="82" t="n">
        <x:v>37.4</x:v>
      </x:c>
      <x:c r="M879" s="82" t="n">
        <x:v>25</x:v>
      </x:c>
      <x:c r="N879" s="86" t="n">
        <x:v>914</x:v>
      </x:c>
      <x:c r="O879" s="90" t="n">
        <x:v>6.39</x:v>
      </x:c>
      <x:c r="P879" s="150" t="n">
        <x:v>3.92</x:v>
      </x:c>
      <x:c r="Q879" s="86" t="n">
        <x:v>21</x:v>
      </x:c>
      <x:c r="R879" s="32"/>
      <x:c r="S879" s="32" t="str">
        <x:v>ok</x:v>
      </x:c>
      <x:c r="T879" s="32" t="str">
        <x:v>ok</x:v>
      </x:c>
      <x:c r="U879" s="32" t="str">
        <x:v>ok</x:v>
      </x:c>
      <x:c r="V879" s="32" t="str">
        <x:v>ok</x:v>
      </x:c>
      <x:c r="W879" s="154" t="str">
        <x:v>{"schema_version":1,"imei":"862323089930712","timestamp":1786025753,"report_sequence":37,"task_version":"rice_tension_soil_demo","sensor_mode":"tension_soil","soil_moisture_percent":37.4,"soil_temperature_c":25,"soil_ec_us_cm":914,"soil_ph":6.39,"battery_mv":3920,"csq":21,"soil_rs485_status":"ok","cycle_status":"ok","soil_tension_kpa":-35.4,"soil_tension_rs485_status":"ok"}</x:v>
      </x:c>
    </x:row>
    <x:row r="880">
      <x:c r="A880" s="72" t="n">
        <x:v>46240.92769675926</x:v>
      </x:c>
      <x:c r="B880" s="72" t="n">
        <x:v>46240.927710648146</x:v>
      </x:c>
      <x:c r="C880" s="32" t="str">
        <x:v>P13</x:v>
      </x:c>
      <x:c r="D880" s="32" t="str">
        <x:v>B3-W0-V1</x:v>
      </x:c>
      <x:c r="E880" s="32" t="str">
        <x:v>B3</x:v>
      </x:c>
      <x:c r="F880" s="32" t="str">
        <x:v>W0</x:v>
      </x:c>
      <x:c r="G880" s="32" t="str">
        <x:v>V1</x:v>
      </x:c>
      <x:c r="H880" s="32" t="str">
        <x:v>water_soil</x:v>
      </x:c>
      <x:c r="I880" s="32" t="str">
        <x:v>862323089930713</x:v>
      </x:c>
      <x:c r="J880" s="82" t="n">
        <x:v>30.8</x:v>
      </x:c>
      <x:c r="K880" s="82"/>
      <x:c r="L880" s="82" t="n">
        <x:v>38.9</x:v>
      </x:c>
      <x:c r="M880" s="82" t="n">
        <x:v>25.1</x:v>
      </x:c>
      <x:c r="N880" s="86" t="n">
        <x:v>935</x:v>
      </x:c>
      <x:c r="O880" s="90" t="n">
        <x:v>6.45</x:v>
      </x:c>
      <x:c r="P880" s="150" t="n">
        <x:v>3.938</x:v>
      </x:c>
      <x:c r="Q880" s="86" t="n">
        <x:v>22</x:v>
      </x:c>
      <x:c r="R880" s="32" t="str">
        <x:v>ok</x:v>
      </x:c>
      <x:c r="S880" s="32"/>
      <x:c r="T880" s="32" t="str">
        <x:v>ok</x:v>
      </x:c>
      <x:c r="U880" s="32" t="str">
        <x:v>ok</x:v>
      </x:c>
      <x:c r="V880" s="32" t="str">
        <x:v>ok</x:v>
      </x:c>
      <x:c r="W880" s="154" t="str">
        <x:v>{"schema_version":1,"imei":"862323089930713","timestamp":1786025753,"report_sequence":37,"task_version":"rice_w0_water_soil_demo","sensor_mode":"water_soil","soil_moisture_percent":38.9,"soil_temperature_c":25.1,"soil_ec_us_cm":935,"soil_ph":6.45,"battery_mv":3938,"csq":22,"soil_rs485_status":"ok","cycle_status":"ok","water_level_mm":30.8,"water_4_20ma_status":"ok"}</x:v>
      </x:c>
    </x:row>
    <x:row r="881">
      <x:c r="A881" s="72" t="n">
        <x:v>46240.92769675926</x:v>
      </x:c>
      <x:c r="B881" s="72" t="n">
        <x:v>46240.927710648146</x:v>
      </x:c>
      <x:c r="C881" s="32" t="str">
        <x:v>P14</x:v>
      </x:c>
      <x:c r="D881" s="32" t="str">
        <x:v>B3-W0-V2</x:v>
      </x:c>
      <x:c r="E881" s="32" t="str">
        <x:v>B3</x:v>
      </x:c>
      <x:c r="F881" s="32" t="str">
        <x:v>W0</x:v>
      </x:c>
      <x:c r="G881" s="32" t="str">
        <x:v>V2</x:v>
      </x:c>
      <x:c r="H881" s="32" t="str">
        <x:v>water_soil</x:v>
      </x:c>
      <x:c r="I881" s="32" t="str">
        <x:v>862323089930714</x:v>
      </x:c>
      <x:c r="J881" s="82" t="n">
        <x:v>35.1</x:v>
      </x:c>
      <x:c r="K881" s="82"/>
      <x:c r="L881" s="82" t="n">
        <x:v>40.4</x:v>
      </x:c>
      <x:c r="M881" s="82" t="n">
        <x:v>25.2</x:v>
      </x:c>
      <x:c r="N881" s="86" t="n">
        <x:v>956</x:v>
      </x:c>
      <x:c r="O881" s="90" t="n">
        <x:v>6.51</x:v>
      </x:c>
      <x:c r="P881" s="150" t="n">
        <x:v>3.956</x:v>
      </x:c>
      <x:c r="Q881" s="86" t="n">
        <x:v>23</x:v>
      </x:c>
      <x:c r="R881" s="32" t="str">
        <x:v>ok</x:v>
      </x:c>
      <x:c r="S881" s="32"/>
      <x:c r="T881" s="32" t="str">
        <x:v>ok</x:v>
      </x:c>
      <x:c r="U881" s="32" t="str">
        <x:v>ok</x:v>
      </x:c>
      <x:c r="V881" s="32" t="str">
        <x:v>ok</x:v>
      </x:c>
      <x:c r="W881" s="154" t="str">
        <x:v>{"schema_version":1,"imei":"862323089930714","timestamp":1786025753,"report_sequence":37,"task_version":"rice_w0_water_soil_demo","sensor_mode":"water_soil","soil_moisture_percent":40.4,"soil_temperature_c":25.2,"soil_ec_us_cm":956,"soil_ph":6.51,"battery_mv":3956,"csq":23,"soil_rs485_status":"ok","cycle_status":"ok","water_level_mm":35.1,"water_4_20ma_status":"ok"}</x:v>
      </x:c>
    </x:row>
    <x:row r="882">
      <x:c r="A882" s="72" t="n">
        <x:v>46240.92769675926</x:v>
      </x:c>
      <x:c r="B882" s="72" t="n">
        <x:v>46240.927710648146</x:v>
      </x:c>
      <x:c r="C882" s="32" t="str">
        <x:v>P15</x:v>
      </x:c>
      <x:c r="D882" s="32" t="str">
        <x:v>B3-W1-V1</x:v>
      </x:c>
      <x:c r="E882" s="32" t="str">
        <x:v>B3</x:v>
      </x:c>
      <x:c r="F882" s="32" t="str">
        <x:v>W1</x:v>
      </x:c>
      <x:c r="G882" s="32" t="str">
        <x:v>V1</x:v>
      </x:c>
      <x:c r="H882" s="32" t="str">
        <x:v>tension_soil</x:v>
      </x:c>
      <x:c r="I882" s="32" t="str">
        <x:v>862323089930715</x:v>
      </x:c>
      <x:c r="J882" s="82"/>
      <x:c r="K882" s="82" t="n">
        <x:v>-23.9</x:v>
      </x:c>
      <x:c r="L882" s="82" t="n">
        <x:v>41.9</x:v>
      </x:c>
      <x:c r="M882" s="82" t="n">
        <x:v>25.3</x:v>
      </x:c>
      <x:c r="N882" s="86" t="n">
        <x:v>976</x:v>
      </x:c>
      <x:c r="O882" s="90" t="n">
        <x:v>6.31</x:v>
      </x:c>
      <x:c r="P882" s="150" t="n">
        <x:v>3.974</x:v>
      </x:c>
      <x:c r="Q882" s="86" t="n">
        <x:v>24</x:v>
      </x:c>
      <x:c r="R882" s="32"/>
      <x:c r="S882" s="32" t="str">
        <x:v>ok</x:v>
      </x:c>
      <x:c r="T882" s="32" t="str">
        <x:v>ok</x:v>
      </x:c>
      <x:c r="U882" s="32" t="str">
        <x:v>ok</x:v>
      </x:c>
      <x:c r="V882" s="32" t="str">
        <x:v>ok</x:v>
      </x:c>
      <x:c r="W882" s="154" t="str">
        <x:v>{"schema_version":1,"imei":"862323089930715","timestamp":1786025753,"report_sequence":37,"task_version":"rice_tension_soil_demo","sensor_mode":"tension_soil","soil_moisture_percent":41.9,"soil_temperature_c":25.3,"soil_ec_us_cm":976,"soil_ph":6.31,"battery_mv":3974,"csq":24,"soil_rs485_status":"ok","cycle_status":"ok","soil_tension_kpa":-23.9,"soil_tension_rs485_status":"ok"}</x:v>
      </x:c>
    </x:row>
    <x:row r="883">
      <x:c r="A883" s="72" t="n">
        <x:v>46240.92769675926</x:v>
      </x:c>
      <x:c r="B883" s="72" t="n">
        <x:v>46240.927710648146</x:v>
      </x:c>
      <x:c r="C883" s="32" t="str">
        <x:v>P16</x:v>
      </x:c>
      <x:c r="D883" s="32" t="str">
        <x:v>B3-W1-V2</x:v>
      </x:c>
      <x:c r="E883" s="32" t="str">
        <x:v>B3</x:v>
      </x:c>
      <x:c r="F883" s="32" t="str">
        <x:v>W1</x:v>
      </x:c>
      <x:c r="G883" s="32" t="str">
        <x:v>V2</x:v>
      </x:c>
      <x:c r="H883" s="32" t="str">
        <x:v>tension_soil</x:v>
      </x:c>
      <x:c r="I883" s="32" t="str">
        <x:v>862323089930716</x:v>
      </x:c>
      <x:c r="J883" s="82"/>
      <x:c r="K883" s="82" t="n">
        <x:v>-25.3</x:v>
      </x:c>
      <x:c r="L883" s="82" t="n">
        <x:v>35.3</x:v>
      </x:c>
      <x:c r="M883" s="82" t="n">
        <x:v>25.4</x:v>
      </x:c>
      <x:c r="N883" s="86" t="n">
        <x:v>995</x:v>
      </x:c>
      <x:c r="O883" s="90" t="n">
        <x:v>6.37</x:v>
      </x:c>
      <x:c r="P883" s="150" t="n">
        <x:v>3.992</x:v>
      </x:c>
      <x:c r="Q883" s="86" t="n">
        <x:v>17</x:v>
      </x:c>
      <x:c r="R883" s="32"/>
      <x:c r="S883" s="32" t="str">
        <x:v>ok</x:v>
      </x:c>
      <x:c r="T883" s="32" t="str">
        <x:v>ok</x:v>
      </x:c>
      <x:c r="U883" s="32" t="str">
        <x:v>ok</x:v>
      </x:c>
      <x:c r="V883" s="32" t="str">
        <x:v>ok</x:v>
      </x:c>
      <x:c r="W883" s="154" t="str">
        <x:v>{"schema_version":1,"imei":"862323089930716","timestamp":1786025753,"report_sequence":37,"task_version":"rice_tension_soil_demo","sensor_mode":"tension_soil","soil_moisture_percent":35.3,"soil_temperature_c":25.4,"soil_ec_us_cm":995,"soil_ph":6.37,"battery_mv":3992,"csq":17,"soil_rs485_status":"ok","cycle_status":"ok","soil_tension_kpa":-25.3,"soil_tension_rs485_status":"ok"}</x:v>
      </x:c>
    </x:row>
    <x:row r="884">
      <x:c r="A884" s="72" t="n">
        <x:v>46240.92769675926</x:v>
      </x:c>
      <x:c r="B884" s="72" t="n">
        <x:v>46240.927710648146</x:v>
      </x:c>
      <x:c r="C884" s="32" t="str">
        <x:v>P17</x:v>
      </x:c>
      <x:c r="D884" s="32" t="str">
        <x:v>B3-W2-V1</x:v>
      </x:c>
      <x:c r="E884" s="32" t="str">
        <x:v>B3</x:v>
      </x:c>
      <x:c r="F884" s="32" t="str">
        <x:v>W2</x:v>
      </x:c>
      <x:c r="G884" s="32" t="str">
        <x:v>V1</x:v>
      </x:c>
      <x:c r="H884" s="32" t="str">
        <x:v>tension_soil</x:v>
      </x:c>
      <x:c r="I884" s="32" t="str">
        <x:v>862323089930717</x:v>
      </x:c>
      <x:c r="J884" s="82"/>
      <x:c r="K884" s="82" t="n">
        <x:v>-37.6</x:v>
      </x:c>
      <x:c r="L884" s="82" t="n">
        <x:v>36.6</x:v>
      </x:c>
      <x:c r="M884" s="82" t="n">
        <x:v>25.5</x:v>
      </x:c>
      <x:c r="N884" s="86" t="n">
        <x:v>1013</x:v>
      </x:c>
      <x:c r="O884" s="90" t="n">
        <x:v>6.42</x:v>
      </x:c>
      <x:c r="P884" s="150" t="n">
        <x:v>4.01</x:v>
      </x:c>
      <x:c r="Q884" s="86" t="n">
        <x:v>18</x:v>
      </x:c>
      <x:c r="R884" s="32"/>
      <x:c r="S884" s="32" t="str">
        <x:v>ok</x:v>
      </x:c>
      <x:c r="T884" s="32" t="str">
        <x:v>ok</x:v>
      </x:c>
      <x:c r="U884" s="32" t="str">
        <x:v>ok</x:v>
      </x:c>
      <x:c r="V884" s="32" t="str">
        <x:v>ok</x:v>
      </x:c>
      <x:c r="W884" s="154" t="str">
        <x:v>{"schema_version":1,"imei":"862323089930717","timestamp":1786025753,"report_sequence":37,"task_version":"rice_tension_soil_demo","sensor_mode":"tension_soil","soil_moisture_percent":36.6,"soil_temperature_c":25.5,"soil_ec_us_cm":1013,"soil_ph":6.42,"battery_mv":4010,"csq":18,"soil_rs485_status":"ok","cycle_status":"ok","soil_tension_kpa":-37.6,"soil_tension_rs485_status":"ok"}</x:v>
      </x:c>
    </x:row>
    <x:row r="885">
      <x:c r="A885" s="72" t="n">
        <x:v>46240.92769675926</x:v>
      </x:c>
      <x:c r="B885" s="72" t="n">
        <x:v>46240.927710648146</x:v>
      </x:c>
      <x:c r="C885" s="32" t="str">
        <x:v>P18</x:v>
      </x:c>
      <x:c r="D885" s="32" t="str">
        <x:v>B3-W2-V2</x:v>
      </x:c>
      <x:c r="E885" s="32" t="str">
        <x:v>B3</x:v>
      </x:c>
      <x:c r="F885" s="32" t="str">
        <x:v>W2</x:v>
      </x:c>
      <x:c r="G885" s="32" t="str">
        <x:v>V2</x:v>
      </x:c>
      <x:c r="H885" s="32" t="str">
        <x:v>tension_soil</x:v>
      </x:c>
      <x:c r="I885" s="32" t="str">
        <x:v>862323089930718</x:v>
      </x:c>
      <x:c r="J885" s="82"/>
      <x:c r="K885" s="82" t="n">
        <x:v>-38.9</x:v>
      </x:c>
      <x:c r="L885" s="82" t="n">
        <x:v>37.9</x:v>
      </x:c>
      <x:c r="M885" s="82" t="n">
        <x:v>25.6</x:v>
      </x:c>
      <x:c r="N885" s="86" t="n">
        <x:v>1029</x:v>
      </x:c>
      <x:c r="O885" s="90" t="n">
        <x:v>6.48</x:v>
      </x:c>
      <x:c r="P885" s="150" t="n">
        <x:v>3.92</x:v>
      </x:c>
      <x:c r="Q885" s="86" t="n">
        <x:v>19</x:v>
      </x:c>
      <x:c r="R885" s="32"/>
      <x:c r="S885" s="32" t="str">
        <x:v>ok</x:v>
      </x:c>
      <x:c r="T885" s="32" t="str">
        <x:v>ok</x:v>
      </x:c>
      <x:c r="U885" s="32" t="str">
        <x:v>ok</x:v>
      </x:c>
      <x:c r="V885" s="32" t="str">
        <x:v>ok</x:v>
      </x:c>
      <x:c r="W885" s="154" t="str">
        <x:v>{"schema_version":1,"imei":"862323089930718","timestamp":1786025753,"report_sequence":37,"task_version":"rice_tension_soil_demo","sensor_mode":"tension_soil","soil_moisture_percent":37.9,"soil_temperature_c":25.6,"soil_ec_us_cm":1029,"soil_ph":6.48,"battery_mv":3920,"csq":19,"soil_rs485_status":"ok","cycle_status":"ok","soil_tension_kpa":-38.9,"soil_tension_rs485_status":"ok"}</x:v>
      </x:c>
    </x:row>
    <x:row r="886">
      <x:c r="A886" s="72" t="n">
        <x:v>46240.92769675926</x:v>
      </x:c>
      <x:c r="B886" s="72" t="n">
        <x:v>46240.927710648146</x:v>
      </x:c>
      <x:c r="C886" s="32" t="str">
        <x:v>P19</x:v>
      </x:c>
      <x:c r="D886" s="32" t="str">
        <x:v>B4-W0-V1</x:v>
      </x:c>
      <x:c r="E886" s="32" t="str">
        <x:v>B4</x:v>
      </x:c>
      <x:c r="F886" s="32" t="str">
        <x:v>W0</x:v>
      </x:c>
      <x:c r="G886" s="32" t="str">
        <x:v>V1</x:v>
      </x:c>
      <x:c r="H886" s="32" t="str">
        <x:v>water_soil</x:v>
      </x:c>
      <x:c r="I886" s="32" t="str">
        <x:v>862323089930719</x:v>
      </x:c>
      <x:c r="J886" s="82" t="n">
        <x:v>42</x:v>
      </x:c>
      <x:c r="K886" s="82"/>
      <x:c r="L886" s="82" t="n">
        <x:v>39</x:v>
      </x:c>
      <x:c r="M886" s="82" t="n">
        <x:v>25.6</x:v>
      </x:c>
      <x:c r="N886" s="86" t="n">
        <x:v>1043</x:v>
      </x:c>
      <x:c r="O886" s="90" t="n">
        <x:v>6.53</x:v>
      </x:c>
      <x:c r="P886" s="150" t="n">
        <x:v>3.938</x:v>
      </x:c>
      <x:c r="Q886" s="86" t="n">
        <x:v>20</x:v>
      </x:c>
      <x:c r="R886" s="32" t="str">
        <x:v>ok</x:v>
      </x:c>
      <x:c r="S886" s="32"/>
      <x:c r="T886" s="32" t="str">
        <x:v>ok</x:v>
      </x:c>
      <x:c r="U886" s="32" t="str">
        <x:v>ok</x:v>
      </x:c>
      <x:c r="V886" s="32" t="str">
        <x:v>ok</x:v>
      </x:c>
      <x:c r="W886" s="154" t="str">
        <x:v>{"schema_version":1,"imei":"862323089930719","timestamp":1786025753,"report_sequence":37,"task_version":"rice_w0_water_soil_demo","sensor_mode":"water_soil","soil_moisture_percent":39,"soil_temperature_c":25.6,"soil_ec_us_cm":1043,"soil_ph":6.53,"battery_mv":3938,"csq":20,"soil_rs485_status":"ok","cycle_status":"ok","water_level_mm":42,"water_4_20ma_status":"ok"}</x:v>
      </x:c>
    </x:row>
    <x:row r="887">
      <x:c r="A887" s="72" t="n">
        <x:v>46240.92769675926</x:v>
      </x:c>
      <x:c r="B887" s="72" t="n">
        <x:v>46240.927710648146</x:v>
      </x:c>
      <x:c r="C887" s="32" t="str">
        <x:v>P20</x:v>
      </x:c>
      <x:c r="D887" s="32" t="str">
        <x:v>B4-W0-V2</x:v>
      </x:c>
      <x:c r="E887" s="32" t="str">
        <x:v>B4</x:v>
      </x:c>
      <x:c r="F887" s="32" t="str">
        <x:v>W0</x:v>
      </x:c>
      <x:c r="G887" s="32" t="str">
        <x:v>V2</x:v>
      </x:c>
      <x:c r="H887" s="32" t="str">
        <x:v>water_soil</x:v>
      </x:c>
      <x:c r="I887" s="32" t="str">
        <x:v>862323089930720</x:v>
      </x:c>
      <x:c r="J887" s="82" t="n">
        <x:v>32.9</x:v>
      </x:c>
      <x:c r="K887" s="82"/>
      <x:c r="L887" s="82" t="n">
        <x:v>40</x:v>
      </x:c>
      <x:c r="M887" s="82" t="n">
        <x:v>25.6</x:v>
      </x:c>
      <x:c r="N887" s="86" t="n">
        <x:v>1055</x:v>
      </x:c>
      <x:c r="O887" s="90" t="n">
        <x:v>6.33</x:v>
      </x:c>
      <x:c r="P887" s="150" t="n">
        <x:v>3.956</x:v>
      </x:c>
      <x:c r="Q887" s="86" t="n">
        <x:v>21</x:v>
      </x:c>
      <x:c r="R887" s="32" t="str">
        <x:v>ok</x:v>
      </x:c>
      <x:c r="S887" s="32"/>
      <x:c r="T887" s="32" t="str">
        <x:v>ok</x:v>
      </x:c>
      <x:c r="U887" s="32" t="str">
        <x:v>ok</x:v>
      </x:c>
      <x:c r="V887" s="32" t="str">
        <x:v>ok</x:v>
      </x:c>
      <x:c r="W887" s="154" t="str">
        <x:v>{"schema_version":1,"imei":"862323089930720","timestamp":1786025753,"report_sequence":37,"task_version":"rice_w0_water_soil_demo","sensor_mode":"water_soil","soil_moisture_percent":40,"soil_temperature_c":25.6,"soil_ec_us_cm":1055,"soil_ph":6.33,"battery_mv":3956,"csq":21,"soil_rs485_status":"ok","cycle_status":"ok","water_level_mm":32.9,"water_4_20ma_status":"ok"}</x:v>
      </x:c>
    </x:row>
    <x:row r="888">
      <x:c r="A888" s="72" t="n">
        <x:v>46240.92769675926</x:v>
      </x:c>
      <x:c r="B888" s="72" t="n">
        <x:v>46240.927710648146</x:v>
      </x:c>
      <x:c r="C888" s="32" t="str">
        <x:v>P21</x:v>
      </x:c>
      <x:c r="D888" s="32" t="str">
        <x:v>B4-W1-V1</x:v>
      </x:c>
      <x:c r="E888" s="32" t="str">
        <x:v>B4</x:v>
      </x:c>
      <x:c r="F888" s="32" t="str">
        <x:v>W1</x:v>
      </x:c>
      <x:c r="G888" s="32" t="str">
        <x:v>V1</x:v>
      </x:c>
      <x:c r="H888" s="32" t="str">
        <x:v>tension_soil</x:v>
      </x:c>
      <x:c r="I888" s="32" t="str">
        <x:v>862323089930721</x:v>
      </x:c>
      <x:c r="J888" s="82"/>
      <x:c r="K888" s="82" t="n">
        <x:v>-25.8</x:v>
      </x:c>
      <x:c r="L888" s="82" t="n">
        <x:v>40.8</x:v>
      </x:c>
      <x:c r="M888" s="82" t="n">
        <x:v>25.6</x:v>
      </x:c>
      <x:c r="N888" s="86" t="n">
        <x:v>1064</x:v>
      </x:c>
      <x:c r="O888" s="90" t="n">
        <x:v>6.38</x:v>
      </x:c>
      <x:c r="P888" s="150" t="n">
        <x:v>3.974</x:v>
      </x:c>
      <x:c r="Q888" s="86" t="n">
        <x:v>22</x:v>
      </x:c>
      <x:c r="R888" s="32"/>
      <x:c r="S888" s="32" t="str">
        <x:v>ok</x:v>
      </x:c>
      <x:c r="T888" s="32" t="str">
        <x:v>ok</x:v>
      </x:c>
      <x:c r="U888" s="32" t="str">
        <x:v>ok</x:v>
      </x:c>
      <x:c r="V888" s="32" t="str">
        <x:v>ok</x:v>
      </x:c>
      <x:c r="W888" s="154" t="str">
        <x:v>{"schema_version":1,"imei":"862323089930721","timestamp":1786025753,"report_sequence":37,"task_version":"rice_tension_soil_demo","sensor_mode":"tension_soil","soil_moisture_percent":40.8,"soil_temperature_c":25.6,"soil_ec_us_cm":1064,"soil_ph":6.38,"battery_mv":3974,"csq":22,"soil_rs485_status":"ok","cycle_status":"ok","soil_tension_kpa":-25.8,"soil_tension_rs485_status":"ok"}</x:v>
      </x:c>
    </x:row>
    <x:row r="889">
      <x:c r="A889" s="72" t="n">
        <x:v>46240.92769675926</x:v>
      </x:c>
      <x:c r="B889" s="72" t="n">
        <x:v>46240.927710648146</x:v>
      </x:c>
      <x:c r="C889" s="32" t="str">
        <x:v>P22</x:v>
      </x:c>
      <x:c r="D889" s="32" t="str">
        <x:v>B4-W1-V2</x:v>
      </x:c>
      <x:c r="E889" s="32" t="str">
        <x:v>B4</x:v>
      </x:c>
      <x:c r="F889" s="32" t="str">
        <x:v>W1</x:v>
      </x:c>
      <x:c r="G889" s="32" t="str">
        <x:v>V2</x:v>
      </x:c>
      <x:c r="H889" s="32" t="str">
        <x:v>tension_soil</x:v>
      </x:c>
      <x:c r="I889" s="32" t="str">
        <x:v>862323089930722</x:v>
      </x:c>
      <x:c r="J889" s="82"/>
      <x:c r="K889" s="82" t="n">
        <x:v>-26.6</x:v>
      </x:c>
      <x:c r="L889" s="82" t="n">
        <x:v>41.6</x:v>
      </x:c>
      <x:c r="M889" s="82" t="n">
        <x:v>25.5</x:v>
      </x:c>
      <x:c r="N889" s="86" t="n">
        <x:v>1072</x:v>
      </x:c>
      <x:c r="O889" s="90" t="n">
        <x:v>6.42</x:v>
      </x:c>
      <x:c r="P889" s="150" t="n">
        <x:v>3.992</x:v>
      </x:c>
      <x:c r="Q889" s="86" t="n">
        <x:v>23</x:v>
      </x:c>
      <x:c r="R889" s="32"/>
      <x:c r="S889" s="32" t="str">
        <x:v>ok</x:v>
      </x:c>
      <x:c r="T889" s="32" t="str">
        <x:v>ok</x:v>
      </x:c>
      <x:c r="U889" s="32" t="str">
        <x:v>ok</x:v>
      </x:c>
      <x:c r="V889" s="32" t="str">
        <x:v>ok</x:v>
      </x:c>
      <x:c r="W889" s="154" t="str">
        <x:v>{"schema_version":1,"imei":"862323089930722","timestamp":1786025753,"report_sequence":37,"task_version":"rice_tension_soil_demo","sensor_mode":"tension_soil","soil_moisture_percent":41.6,"soil_temperature_c":25.5,"soil_ec_us_cm":1072,"soil_ph":6.42,"battery_mv":3992,"csq":23,"soil_rs485_status":"ok","cycle_status":"ok","soil_tension_kpa":-26.6,"soil_tension_rs485_status":"ok"}</x:v>
      </x:c>
    </x:row>
    <x:row r="890">
      <x:c r="A890" s="72" t="n">
        <x:v>46240.92769675926</x:v>
      </x:c>
      <x:c r="B890" s="72" t="n">
        <x:v>46240.927710648146</x:v>
      </x:c>
      <x:c r="C890" s="32" t="str">
        <x:v>P23</x:v>
      </x:c>
      <x:c r="D890" s="32" t="str">
        <x:v>B4-W2-V1</x:v>
      </x:c>
      <x:c r="E890" s="32" t="str">
        <x:v>B4</x:v>
      </x:c>
      <x:c r="F890" s="32" t="str">
        <x:v>W2</x:v>
      </x:c>
      <x:c r="G890" s="32" t="str">
        <x:v>V1</x:v>
      </x:c>
      <x:c r="H890" s="32" t="str">
        <x:v>tension_soil</x:v>
      </x:c>
      <x:c r="I890" s="32" t="str">
        <x:v>862323089930723</x:v>
      </x:c>
      <x:c r="J890" s="82"/>
      <x:c r="K890" s="82" t="n">
        <x:v>-38.2</x:v>
      </x:c>
      <x:c r="L890" s="82" t="n">
        <x:v>42.2</x:v>
      </x:c>
      <x:c r="M890" s="82" t="n">
        <x:v>25.4</x:v>
      </x:c>
      <x:c r="N890" s="86" t="n">
        <x:v>1078</x:v>
      </x:c>
      <x:c r="O890" s="90" t="n">
        <x:v>6.47</x:v>
      </x:c>
      <x:c r="P890" s="150" t="n">
        <x:v>4.01</x:v>
      </x:c>
      <x:c r="Q890" s="86" t="n">
        <x:v>24</x:v>
      </x:c>
      <x:c r="R890" s="32"/>
      <x:c r="S890" s="32" t="str">
        <x:v>ok</x:v>
      </x:c>
      <x:c r="T890" s="32" t="str">
        <x:v>ok</x:v>
      </x:c>
      <x:c r="U890" s="32" t="str">
        <x:v>ok</x:v>
      </x:c>
      <x:c r="V890" s="32" t="str">
        <x:v>ok</x:v>
      </x:c>
      <x:c r="W890" s="154" t="str">
        <x:v>{"schema_version":1,"imei":"862323089930723","timestamp":1786025753,"report_sequence":37,"task_version":"rice_tension_soil_demo","sensor_mode":"tension_soil","soil_moisture_percent":42.2,"soil_temperature_c":25.4,"soil_ec_us_cm":1078,"soil_ph":6.47,"battery_mv":4010,"csq":24,"soil_rs485_status":"ok","cycle_status":"ok","soil_tension_kpa":-38.2,"soil_tension_rs485_status":"ok"}</x:v>
      </x:c>
    </x:row>
    <x:row r="891">
      <x:c r="A891" s="72" t="n">
        <x:v>46240.92769675926</x:v>
      </x:c>
      <x:c r="B891" s="72" t="n">
        <x:v>46240.927710648146</x:v>
      </x:c>
      <x:c r="C891" s="32" t="str">
        <x:v>P24</x:v>
      </x:c>
      <x:c r="D891" s="32" t="str">
        <x:v>B4-W2-V2</x:v>
      </x:c>
      <x:c r="E891" s="32" t="str">
        <x:v>B4</x:v>
      </x:c>
      <x:c r="F891" s="32" t="str">
        <x:v>W2</x:v>
      </x:c>
      <x:c r="G891" s="32" t="str">
        <x:v>V2</x:v>
      </x:c>
      <x:c r="H891" s="32" t="str">
        <x:v>tension_soil</x:v>
      </x:c>
      <x:c r="I891" s="32" t="str">
        <x:v>862323089930724</x:v>
      </x:c>
      <x:c r="J891" s="82"/>
      <x:c r="K891" s="82" t="n">
        <x:v>-38.8</x:v>
      </x:c>
      <x:c r="L891" s="82" t="n">
        <x:v>34.8</x:v>
      </x:c>
      <x:c r="M891" s="82" t="n">
        <x:v>25.3</x:v>
      </x:c>
      <x:c r="N891" s="86" t="n">
        <x:v>1082</x:v>
      </x:c>
      <x:c r="O891" s="90" t="n">
        <x:v>6.51</x:v>
      </x:c>
      <x:c r="P891" s="150" t="n">
        <x:v>3.92</x:v>
      </x:c>
      <x:c r="Q891" s="86" t="n">
        <x:v>17</x:v>
      </x:c>
      <x:c r="R891" s="32"/>
      <x:c r="S891" s="32" t="str">
        <x:v>ok</x:v>
      </x:c>
      <x:c r="T891" s="32" t="str">
        <x:v>ok</x:v>
      </x:c>
      <x:c r="U891" s="32" t="str">
        <x:v>ok</x:v>
      </x:c>
      <x:c r="V891" s="32" t="str">
        <x:v>ok</x:v>
      </x:c>
      <x:c r="W891" s="154" t="str">
        <x:v>{"schema_version":1,"imei":"862323089930724","timestamp":1786025753,"report_sequence":37,"task_version":"rice_tension_soil_demo","sensor_mode":"tension_soil","soil_moisture_percent":34.8,"soil_temperature_c":25.3,"soil_ec_us_cm":1082,"soil_ph":6.51,"battery_mv":3920,"csq":17,"soil_rs485_status":"ok","cycle_status":"ok","soil_tension_kpa":-38.8,"soil_tension_rs485_status":"ok"}</x:v>
      </x:c>
    </x:row>
    <x:row r="892">
      <x:c r="A892" s="72" t="n">
        <x:v>46240.93116898148</x:v>
      </x:c>
      <x:c r="B892" s="72" t="n">
        <x:v>46240.93118287037</x:v>
      </x:c>
      <x:c r="C892" s="32" t="str">
        <x:v>P01</x:v>
      </x:c>
      <x:c r="D892" s="32" t="str">
        <x:v>B1-W0-V1</x:v>
      </x:c>
      <x:c r="E892" s="32" t="str">
        <x:v>B1</x:v>
      </x:c>
      <x:c r="F892" s="32" t="str">
        <x:v>W0</x:v>
      </x:c>
      <x:c r="G892" s="32" t="str">
        <x:v>V1</x:v>
      </x:c>
      <x:c r="H892" s="32" t="str">
        <x:v>water_soil</x:v>
      </x:c>
      <x:c r="I892" s="32" t="str">
        <x:v>862323089930701</x:v>
      </x:c>
      <x:c r="J892" s="82" t="n">
        <x:v>31.7</x:v>
      </x:c>
      <x:c r="K892" s="82"/>
      <x:c r="L892" s="82" t="n">
        <x:v>35.3</x:v>
      </x:c>
      <x:c r="M892" s="82" t="n">
        <x:v>25.2</x:v>
      </x:c>
      <x:c r="N892" s="86" t="n">
        <x:v>797</x:v>
      </x:c>
      <x:c r="O892" s="90" t="n">
        <x:v>6.35</x:v>
      </x:c>
      <x:c r="P892" s="150" t="n">
        <x:v>3.938</x:v>
      </x:c>
      <x:c r="Q892" s="86" t="n">
        <x:v>18</x:v>
      </x:c>
      <x:c r="R892" s="32" t="str">
        <x:v>ok</x:v>
      </x:c>
      <x:c r="S892" s="32"/>
      <x:c r="T892" s="32" t="str">
        <x:v>ok</x:v>
      </x:c>
      <x:c r="U892" s="32" t="str">
        <x:v>ok</x:v>
      </x:c>
      <x:c r="V892" s="32" t="str">
        <x:v>ok</x:v>
      </x:c>
      <x:c r="W892" s="154" t="str">
        <x:v>{"schema_version":1,"imei":"862323089930701","timestamp":1786026053,"report_sequence":38,"task_version":"rice_w0_water_soil_demo","sensor_mode":"water_soil","soil_moisture_percent":35.3,"soil_temperature_c":25.2,"soil_ec_us_cm":797,"soil_ph":6.35,"battery_mv":3938,"csq":18,"soil_rs485_status":"ok","cycle_status":"ok","water_level_mm":31.7,"water_4_20ma_status":"ok"}</x:v>
      </x:c>
    </x:row>
    <x:row r="893">
      <x:c r="A893" s="72" t="n">
        <x:v>46240.93116898148</x:v>
      </x:c>
      <x:c r="B893" s="72" t="n">
        <x:v>46240.93118287037</x:v>
      </x:c>
      <x:c r="C893" s="32" t="str">
        <x:v>P02</x:v>
      </x:c>
      <x:c r="D893" s="32" t="str">
        <x:v>B1-W0-V2</x:v>
      </x:c>
      <x:c r="E893" s="32" t="str">
        <x:v>B1</x:v>
      </x:c>
      <x:c r="F893" s="32" t="str">
        <x:v>W0</x:v>
      </x:c>
      <x:c r="G893" s="32" t="str">
        <x:v>V2</x:v>
      </x:c>
      <x:c r="H893" s="32" t="str">
        <x:v>water_soil</x:v>
      </x:c>
      <x:c r="I893" s="32" t="str">
        <x:v>862323089930702</x:v>
      </x:c>
      <x:c r="J893" s="82" t="n">
        <x:v>33.5</x:v>
      </x:c>
      <x:c r="K893" s="82"/>
      <x:c r="L893" s="82" t="n">
        <x:v>35.8</x:v>
      </x:c>
      <x:c r="M893" s="82" t="n">
        <x:v>25</x:v>
      </x:c>
      <x:c r="N893" s="86" t="n">
        <x:v>800</x:v>
      </x:c>
      <x:c r="O893" s="90" t="n">
        <x:v>6.4</x:v>
      </x:c>
      <x:c r="P893" s="150" t="n">
        <x:v>3.956</x:v>
      </x:c>
      <x:c r="Q893" s="86" t="n">
        <x:v>19</x:v>
      </x:c>
      <x:c r="R893" s="32" t="str">
        <x:v>ok</x:v>
      </x:c>
      <x:c r="S893" s="32"/>
      <x:c r="T893" s="32" t="str">
        <x:v>ok</x:v>
      </x:c>
      <x:c r="U893" s="32" t="str">
        <x:v>ok</x:v>
      </x:c>
      <x:c r="V893" s="32" t="str">
        <x:v>ok</x:v>
      </x:c>
      <x:c r="W893" s="154" t="str">
        <x:v>{"schema_version":1,"imei":"862323089930702","timestamp":1786026053,"report_sequence":38,"task_version":"rice_w0_water_soil_demo","sensor_mode":"water_soil","soil_moisture_percent":35.8,"soil_temperature_c":25,"soil_ec_us_cm":800,"soil_ph":6.4,"battery_mv":3956,"csq":19,"soil_rs485_status":"ok","cycle_status":"ok","water_level_mm":33.5,"water_4_20ma_status":"ok"}</x:v>
      </x:c>
    </x:row>
    <x:row r="894">
      <x:c r="A894" s="72" t="n">
        <x:v>46240.93116898148</x:v>
      </x:c>
      <x:c r="B894" s="72" t="n">
        <x:v>46240.93118287037</x:v>
      </x:c>
      <x:c r="C894" s="32" t="str">
        <x:v>P03</x:v>
      </x:c>
      <x:c r="D894" s="32" t="str">
        <x:v>B1-W1-V1</x:v>
      </x:c>
      <x:c r="E894" s="32" t="str">
        <x:v>B1</x:v>
      </x:c>
      <x:c r="F894" s="32" t="str">
        <x:v>W1</x:v>
      </x:c>
      <x:c r="G894" s="32" t="str">
        <x:v>V1</x:v>
      </x:c>
      <x:c r="H894" s="32" t="str">
        <x:v>tension_soil</x:v>
      </x:c>
      <x:c r="I894" s="32" t="str">
        <x:v>862323089930703</x:v>
      </x:c>
      <x:c r="J894" s="82"/>
      <x:c r="K894" s="82" t="n">
        <x:v>-25.3</x:v>
      </x:c>
      <x:c r="L894" s="82" t="n">
        <x:v>36.3</x:v>
      </x:c>
      <x:c r="M894" s="82" t="n">
        <x:v>24.9</x:v>
      </x:c>
      <x:c r="N894" s="86" t="n">
        <x:v>804</x:v>
      </x:c>
      <x:c r="O894" s="90" t="n">
        <x:v>6.44</x:v>
      </x:c>
      <x:c r="P894" s="150" t="n">
        <x:v>3.974</x:v>
      </x:c>
      <x:c r="Q894" s="86" t="n">
        <x:v>20</x:v>
      </x:c>
      <x:c r="R894" s="32"/>
      <x:c r="S894" s="32" t="str">
        <x:v>ok</x:v>
      </x:c>
      <x:c r="T894" s="32" t="str">
        <x:v>ok</x:v>
      </x:c>
      <x:c r="U894" s="32" t="str">
        <x:v>ok</x:v>
      </x:c>
      <x:c r="V894" s="32" t="str">
        <x:v>ok</x:v>
      </x:c>
      <x:c r="W894" s="154" t="str">
        <x:v>{"schema_version":1,"imei":"862323089930703","timestamp":1786026053,"report_sequence":38,"task_version":"rice_tension_soil_demo","sensor_mode":"tension_soil","soil_moisture_percent":36.3,"soil_temperature_c":24.9,"soil_ec_us_cm":804,"soil_ph":6.44,"battery_mv":3974,"csq":20,"soil_rs485_status":"ok","cycle_status":"ok","soil_tension_kpa":-25.3,"soil_tension_rs485_status":"ok"}</x:v>
      </x:c>
    </x:row>
    <x:row r="895">
      <x:c r="A895" s="72" t="n">
        <x:v>46240.93116898148</x:v>
      </x:c>
      <x:c r="B895" s="72" t="n">
        <x:v>46240.93118287037</x:v>
      </x:c>
      <x:c r="C895" s="32" t="str">
        <x:v>P04</x:v>
      </x:c>
      <x:c r="D895" s="32" t="str">
        <x:v>B1-W1-V2</x:v>
      </x:c>
      <x:c r="E895" s="32" t="str">
        <x:v>B1</x:v>
      </x:c>
      <x:c r="F895" s="32" t="str">
        <x:v>W1</x:v>
      </x:c>
      <x:c r="G895" s="32" t="str">
        <x:v>V2</x:v>
      </x:c>
      <x:c r="H895" s="32" t="str">
        <x:v>tension_soil</x:v>
      </x:c>
      <x:c r="I895" s="32" t="str">
        <x:v>862323089930704</x:v>
      </x:c>
      <x:c r="J895" s="82"/>
      <x:c r="K895" s="82" t="n">
        <x:v>-25.9</x:v>
      </x:c>
      <x:c r="L895" s="82" t="n">
        <x:v>36.9</x:v>
      </x:c>
      <x:c r="M895" s="82" t="n">
        <x:v>24.8</x:v>
      </x:c>
      <x:c r="N895" s="86" t="n">
        <x:v>808</x:v>
      </x:c>
      <x:c r="O895" s="90" t="n">
        <x:v>6.48</x:v>
      </x:c>
      <x:c r="P895" s="150" t="n">
        <x:v>3.992</x:v>
      </x:c>
      <x:c r="Q895" s="86" t="n">
        <x:v>21</x:v>
      </x:c>
      <x:c r="R895" s="32"/>
      <x:c r="S895" s="32" t="str">
        <x:v>ok</x:v>
      </x:c>
      <x:c r="T895" s="32" t="str">
        <x:v>ok</x:v>
      </x:c>
      <x:c r="U895" s="32" t="str">
        <x:v>ok</x:v>
      </x:c>
      <x:c r="V895" s="32" t="str">
        <x:v>ok</x:v>
      </x:c>
      <x:c r="W895" s="154" t="str">
        <x:v>{"schema_version":1,"imei":"862323089930704","timestamp":1786026053,"report_sequence":38,"task_version":"rice_tension_soil_demo","sensor_mode":"tension_soil","soil_moisture_percent":36.9,"soil_temperature_c":24.8,"soil_ec_us_cm":808,"soil_ph":6.48,"battery_mv":3992,"csq":21,"soil_rs485_status":"ok","cycle_status":"ok","soil_tension_kpa":-25.9,"soil_tension_rs485_status":"ok"}</x:v>
      </x:c>
    </x:row>
    <x:row r="896">
      <x:c r="A896" s="72" t="n">
        <x:v>46240.93116898148</x:v>
      </x:c>
      <x:c r="B896" s="72" t="n">
        <x:v>46240.93118287037</x:v>
      </x:c>
      <x:c r="C896" s="32" t="str">
        <x:v>P05</x:v>
      </x:c>
      <x:c r="D896" s="32" t="str">
        <x:v>B1-W2-V1</x:v>
      </x:c>
      <x:c r="E896" s="32" t="str">
        <x:v>B1</x:v>
      </x:c>
      <x:c r="F896" s="32" t="str">
        <x:v>W2</x:v>
      </x:c>
      <x:c r="G896" s="32" t="str">
        <x:v>V1</x:v>
      </x:c>
      <x:c r="H896" s="32" t="str">
        <x:v>tension_soil</x:v>
      </x:c>
      <x:c r="I896" s="32" t="str">
        <x:v>862323089930705</x:v>
      </x:c>
      <x:c r="J896" s="82"/>
      <x:c r="K896" s="82" t="n">
        <x:v>-32.5</x:v>
      </x:c>
      <x:c r="L896" s="82" t="n">
        <x:v>37.5</x:v>
      </x:c>
      <x:c r="M896" s="82" t="n">
        <x:v>24.7</x:v>
      </x:c>
      <x:c r="N896" s="86" t="n">
        <x:v>814</x:v>
      </x:c>
      <x:c r="O896" s="90" t="n">
        <x:v>6.28</x:v>
      </x:c>
      <x:c r="P896" s="150" t="n">
        <x:v>4.01</x:v>
      </x:c>
      <x:c r="Q896" s="86" t="n">
        <x:v>22</x:v>
      </x:c>
      <x:c r="R896" s="32"/>
      <x:c r="S896" s="32" t="str">
        <x:v>ok</x:v>
      </x:c>
      <x:c r="T896" s="32" t="str">
        <x:v>ok</x:v>
      </x:c>
      <x:c r="U896" s="32" t="str">
        <x:v>ok</x:v>
      </x:c>
      <x:c r="V896" s="32" t="str">
        <x:v>ok</x:v>
      </x:c>
      <x:c r="W896" s="154" t="str">
        <x:v>{"schema_version":1,"imei":"862323089930705","timestamp":1786026053,"report_sequence":38,"task_version":"rice_tension_soil_demo","sensor_mode":"tension_soil","soil_moisture_percent":37.5,"soil_temperature_c":24.7,"soil_ec_us_cm":814,"soil_ph":6.28,"battery_mv":4010,"csq":22,"soil_rs485_status":"ok","cycle_status":"ok","soil_tension_kpa":-32.5,"soil_tension_rs485_status":"ok"}</x:v>
      </x:c>
    </x:row>
    <x:row r="897">
      <x:c r="A897" s="72" t="n">
        <x:v>46240.93116898148</x:v>
      </x:c>
      <x:c r="B897" s="72" t="n">
        <x:v>46240.93118287037</x:v>
      </x:c>
      <x:c r="C897" s="32" t="str">
        <x:v>P06</x:v>
      </x:c>
      <x:c r="D897" s="32" t="str">
        <x:v>B1-W2-V2</x:v>
      </x:c>
      <x:c r="E897" s="32" t="str">
        <x:v>B1</x:v>
      </x:c>
      <x:c r="F897" s="32" t="str">
        <x:v>W2</x:v>
      </x:c>
      <x:c r="G897" s="32" t="str">
        <x:v>V2</x:v>
      </x:c>
      <x:c r="H897" s="32" t="str">
        <x:v>tension_soil</x:v>
      </x:c>
      <x:c r="I897" s="32" t="str">
        <x:v>862323089930706</x:v>
      </x:c>
      <x:c r="J897" s="82"/>
      <x:c r="K897" s="82" t="n">
        <x:v>-33.2</x:v>
      </x:c>
      <x:c r="L897" s="82" t="n">
        <x:v>38.2</x:v>
      </x:c>
      <x:c r="M897" s="82" t="n">
        <x:v>24.7</x:v>
      </x:c>
      <x:c r="N897" s="86" t="n">
        <x:v>821</x:v>
      </x:c>
      <x:c r="O897" s="90" t="n">
        <x:v>6.32</x:v>
      </x:c>
      <x:c r="P897" s="150" t="n">
        <x:v>3.92</x:v>
      </x:c>
      <x:c r="Q897" s="86" t="n">
        <x:v>23</x:v>
      </x:c>
      <x:c r="R897" s="32"/>
      <x:c r="S897" s="32" t="str">
        <x:v>ok</x:v>
      </x:c>
      <x:c r="T897" s="32" t="str">
        <x:v>ok</x:v>
      </x:c>
      <x:c r="U897" s="32" t="str">
        <x:v>ok</x:v>
      </x:c>
      <x:c r="V897" s="32" t="str">
        <x:v>ok</x:v>
      </x:c>
      <x:c r="W897" s="154" t="str">
        <x:v>{"schema_version":1,"imei":"862323089930706","timestamp":1786026053,"report_sequence":38,"task_version":"rice_tension_soil_demo","sensor_mode":"tension_soil","soil_moisture_percent":38.2,"soil_temperature_c":24.7,"soil_ec_us_cm":821,"soil_ph":6.32,"battery_mv":3920,"csq":23,"soil_rs485_status":"ok","cycle_status":"ok","soil_tension_kpa":-33.2,"soil_tension_rs485_status":"ok"}</x:v>
      </x:c>
    </x:row>
    <x:row r="898">
      <x:c r="A898" s="72" t="n">
        <x:v>46240.93116898148</x:v>
      </x:c>
      <x:c r="B898" s="72" t="n">
        <x:v>46240.93118287037</x:v>
      </x:c>
      <x:c r="C898" s="32" t="str">
        <x:v>P07</x:v>
      </x:c>
      <x:c r="D898" s="32" t="str">
        <x:v>B2-W0-V1</x:v>
      </x:c>
      <x:c r="E898" s="32" t="str">
        <x:v>B2</x:v>
      </x:c>
      <x:c r="F898" s="32" t="str">
        <x:v>W0</x:v>
      </x:c>
      <x:c r="G898" s="32" t="str">
        <x:v>V1</x:v>
      </x:c>
      <x:c r="H898" s="32" t="str">
        <x:v>water_soil</x:v>
      </x:c>
      <x:c r="I898" s="32" t="str">
        <x:v>862323089930707</x:v>
      </x:c>
      <x:c r="J898" s="82" t="n">
        <x:v>32.1</x:v>
      </x:c>
      <x:c r="K898" s="82"/>
      <x:c r="L898" s="82" t="n">
        <x:v>39</x:v>
      </x:c>
      <x:c r="M898" s="82" t="n">
        <x:v>24.6</x:v>
      </x:c>
      <x:c r="N898" s="86" t="n">
        <x:v>830</x:v>
      </x:c>
      <x:c r="O898" s="90" t="n">
        <x:v>6.37</x:v>
      </x:c>
      <x:c r="P898" s="150" t="n">
        <x:v>3.938</x:v>
      </x:c>
      <x:c r="Q898" s="86" t="n">
        <x:v>24</x:v>
      </x:c>
      <x:c r="R898" s="32" t="str">
        <x:v>ok</x:v>
      </x:c>
      <x:c r="S898" s="32"/>
      <x:c r="T898" s="32" t="str">
        <x:v>ok</x:v>
      </x:c>
      <x:c r="U898" s="32" t="str">
        <x:v>ok</x:v>
      </x:c>
      <x:c r="V898" s="32" t="str">
        <x:v>ok</x:v>
      </x:c>
      <x:c r="W898" s="154" t="str">
        <x:v>{"schema_version":1,"imei":"862323089930707","timestamp":1786026053,"report_sequence":38,"task_version":"rice_w0_water_soil_demo","sensor_mode":"water_soil","soil_moisture_percent":39,"soil_temperature_c":24.6,"soil_ec_us_cm":830,"soil_ph":6.37,"battery_mv":3938,"csq":24,"soil_rs485_status":"ok","cycle_status":"ok","water_level_mm":32.1,"water_4_20ma_status":"ok"}</x:v>
      </x:c>
    </x:row>
    <x:row r="899">
      <x:c r="A899" s="72" t="n">
        <x:v>46240.93116898148</x:v>
      </x:c>
      <x:c r="B899" s="72" t="n">
        <x:v>46240.93118287037</x:v>
      </x:c>
      <x:c r="C899" s="32" t="str">
        <x:v>P08</x:v>
      </x:c>
      <x:c r="D899" s="32" t="str">
        <x:v>B2-W0-V2</x:v>
      </x:c>
      <x:c r="E899" s="32" t="str">
        <x:v>B2</x:v>
      </x:c>
      <x:c r="F899" s="32" t="str">
        <x:v>W0</x:v>
      </x:c>
      <x:c r="G899" s="32" t="str">
        <x:v>V2</x:v>
      </x:c>
      <x:c r="H899" s="32" t="str">
        <x:v>water_soil</x:v>
      </x:c>
      <x:c r="I899" s="32" t="str">
        <x:v>862323089930708</x:v>
      </x:c>
      <x:c r="J899" s="82" t="n">
        <x:v>23</x:v>
      </x:c>
      <x:c r="K899" s="82"/>
      <x:c r="L899" s="82" t="n">
        <x:v>32</x:v>
      </x:c>
      <x:c r="M899" s="82" t="n">
        <x:v>24.6</x:v>
      </x:c>
      <x:c r="N899" s="86" t="n">
        <x:v>841</x:v>
      </x:c>
      <x:c r="O899" s="90" t="n">
        <x:v>6.42</x:v>
      </x:c>
      <x:c r="P899" s="150" t="n">
        <x:v>3.956</x:v>
      </x:c>
      <x:c r="Q899" s="86" t="n">
        <x:v>17</x:v>
      </x:c>
      <x:c r="R899" s="32" t="str">
        <x:v>ok</x:v>
      </x:c>
      <x:c r="S899" s="32"/>
      <x:c r="T899" s="32" t="str">
        <x:v>ok</x:v>
      </x:c>
      <x:c r="U899" s="32" t="str">
        <x:v>ok</x:v>
      </x:c>
      <x:c r="V899" s="32" t="str">
        <x:v>ok</x:v>
      </x:c>
      <x:c r="W899" s="154" t="str">
        <x:v>{"schema_version":1,"imei":"862323089930708","timestamp":1786026053,"report_sequence":38,"task_version":"rice_w0_water_soil_demo","sensor_mode":"water_soil","soil_moisture_percent":32,"soil_temperature_c":24.6,"soil_ec_us_cm":841,"soil_ph":6.42,"battery_mv":3956,"csq":17,"soil_rs485_status":"ok","cycle_status":"ok","water_level_mm":23,"water_4_20ma_status":"ok"}</x:v>
      </x:c>
    </x:row>
    <x:row r="900">
      <x:c r="A900" s="72" t="n">
        <x:v>46240.93116898148</x:v>
      </x:c>
      <x:c r="B900" s="72" t="n">
        <x:v>46240.93118287037</x:v>
      </x:c>
      <x:c r="C900" s="32" t="str">
        <x:v>P09</x:v>
      </x:c>
      <x:c r="D900" s="32" t="str">
        <x:v>B2-W1-V1</x:v>
      </x:c>
      <x:c r="E900" s="32" t="str">
        <x:v>B2</x:v>
      </x:c>
      <x:c r="F900" s="32" t="str">
        <x:v>W1</x:v>
      </x:c>
      <x:c r="G900" s="32" t="str">
        <x:v>V1</x:v>
      </x:c>
      <x:c r="H900" s="32" t="str">
        <x:v>tension_soil</x:v>
      </x:c>
      <x:c r="I900" s="32" t="str">
        <x:v>862323089930709</x:v>
      </x:c>
      <x:c r="J900" s="82"/>
      <x:c r="K900" s="82" t="n">
        <x:v>-25.1</x:v>
      </x:c>
      <x:c r="L900" s="82" t="n">
        <x:v>33.1</x:v>
      </x:c>
      <x:c r="M900" s="82" t="n">
        <x:v>24.6</x:v>
      </x:c>
      <x:c r="N900" s="86" t="n">
        <x:v>854</x:v>
      </x:c>
      <x:c r="O900" s="90" t="n">
        <x:v>6.47</x:v>
      </x:c>
      <x:c r="P900" s="150" t="n">
        <x:v>3.974</x:v>
      </x:c>
      <x:c r="Q900" s="86" t="n">
        <x:v>18</x:v>
      </x:c>
      <x:c r="R900" s="32"/>
      <x:c r="S900" s="32" t="str">
        <x:v>ok</x:v>
      </x:c>
      <x:c r="T900" s="32" t="str">
        <x:v>ok</x:v>
      </x:c>
      <x:c r="U900" s="32" t="str">
        <x:v>ok</x:v>
      </x:c>
      <x:c r="V900" s="32" t="str">
        <x:v>ok</x:v>
      </x:c>
      <x:c r="W900" s="154" t="str">
        <x:v>{"schema_version":1,"imei":"862323089930709","timestamp":1786026053,"report_sequence":38,"task_version":"rice_tension_soil_demo","sensor_mode":"tension_soil","soil_moisture_percent":33.1,"soil_temperature_c":24.6,"soil_ec_us_cm":854,"soil_ph":6.47,"battery_mv":3974,"csq":18,"soil_rs485_status":"ok","cycle_status":"ok","soil_tension_kpa":-25.1,"soil_tension_rs485_status":"ok"}</x:v>
      </x:c>
    </x:row>
    <x:row r="901">
      <x:c r="A901" s="72" t="n">
        <x:v>46240.93116898148</x:v>
      </x:c>
      <x:c r="B901" s="72" t="n">
        <x:v>46240.93118287037</x:v>
      </x:c>
      <x:c r="C901" s="32" t="str">
        <x:v>P10</x:v>
      </x:c>
      <x:c r="D901" s="32" t="str">
        <x:v>B2-W1-V2</x:v>
      </x:c>
      <x:c r="E901" s="32" t="str">
        <x:v>B2</x:v>
      </x:c>
      <x:c r="F901" s="32" t="str">
        <x:v>W1</x:v>
      </x:c>
      <x:c r="G901" s="32" t="str">
        <x:v>V2</x:v>
      </x:c>
      <x:c r="H901" s="32" t="str">
        <x:v>tension_soil</x:v>
      </x:c>
      <x:c r="I901" s="32" t="str">
        <x:v>862323089930710</x:v>
      </x:c>
      <x:c r="J901" s="82"/>
      <x:c r="K901" s="82" t="n">
        <x:v>-21.3</x:v>
      </x:c>
      <x:c r="L901" s="82" t="n">
        <x:v>34.3</x:v>
      </x:c>
      <x:c r="M901" s="82" t="n">
        <x:v>24.7</x:v>
      </x:c>
      <x:c r="N901" s="86" t="n">
        <x:v>870</x:v>
      </x:c>
      <x:c r="O901" s="90" t="n">
        <x:v>6.27</x:v>
      </x:c>
      <x:c r="P901" s="150" t="n">
        <x:v>3.992</x:v>
      </x:c>
      <x:c r="Q901" s="86" t="n">
        <x:v>19</x:v>
      </x:c>
      <x:c r="R901" s="32"/>
      <x:c r="S901" s="32" t="str">
        <x:v>ok</x:v>
      </x:c>
      <x:c r="T901" s="32" t="str">
        <x:v>ok</x:v>
      </x:c>
      <x:c r="U901" s="32" t="str">
        <x:v>ok</x:v>
      </x:c>
      <x:c r="V901" s="32" t="str">
        <x:v>ok</x:v>
      </x:c>
      <x:c r="W901" s="154" t="str">
        <x:v>{"schema_version":1,"imei":"862323089930710","timestamp":1786026053,"report_sequence":38,"task_version":"rice_tension_soil_demo","sensor_mode":"tension_soil","soil_moisture_percent":34.3,"soil_temperature_c":24.7,"soil_ec_us_cm":870,"soil_ph":6.27,"battery_mv":3992,"csq":19,"soil_rs485_status":"ok","cycle_status":"ok","soil_tension_kpa":-21.3,"soil_tension_rs485_status":"ok"}</x:v>
      </x:c>
    </x:row>
    <x:row r="902">
      <x:c r="A902" s="72" t="n">
        <x:v>46240.93116898148</x:v>
      </x:c>
      <x:c r="B902" s="72" t="n">
        <x:v>46240.93118287037</x:v>
      </x:c>
      <x:c r="C902" s="32" t="str">
        <x:v>P11</x:v>
      </x:c>
      <x:c r="D902" s="32" t="str">
        <x:v>B2-W2-V1</x:v>
      </x:c>
      <x:c r="E902" s="32" t="str">
        <x:v>B2</x:v>
      </x:c>
      <x:c r="F902" s="32" t="str">
        <x:v>W2</x:v>
      </x:c>
      <x:c r="G902" s="32" t="str">
        <x:v>V1</x:v>
      </x:c>
      <x:c r="H902" s="32" t="str">
        <x:v>tension_soil</x:v>
      </x:c>
      <x:c r="I902" s="32" t="str">
        <x:v>862323089930711</x:v>
      </x:c>
      <x:c r="J902" s="82"/>
      <x:c r="K902" s="82" t="n">
        <x:v>-33.6</x:v>
      </x:c>
      <x:c r="L902" s="82" t="n">
        <x:v>35.6</x:v>
      </x:c>
      <x:c r="M902" s="82" t="n">
        <x:v>24.7</x:v>
      </x:c>
      <x:c r="N902" s="86" t="n">
        <x:v>887</x:v>
      </x:c>
      <x:c r="O902" s="90" t="n">
        <x:v>6.33</x:v>
      </x:c>
      <x:c r="P902" s="150" t="n">
        <x:v>4.01</x:v>
      </x:c>
      <x:c r="Q902" s="86" t="n">
        <x:v>20</x:v>
      </x:c>
      <x:c r="R902" s="32"/>
      <x:c r="S902" s="32" t="str">
        <x:v>ok</x:v>
      </x:c>
      <x:c r="T902" s="32" t="str">
        <x:v>ok</x:v>
      </x:c>
      <x:c r="U902" s="32" t="str">
        <x:v>ok</x:v>
      </x:c>
      <x:c r="V902" s="32" t="str">
        <x:v>ok</x:v>
      </x:c>
      <x:c r="W902" s="154" t="str">
        <x:v>{"schema_version":1,"imei":"862323089930711","timestamp":1786026053,"report_sequence":38,"task_version":"rice_tension_soil_demo","sensor_mode":"tension_soil","soil_moisture_percent":35.6,"soil_temperature_c":24.7,"soil_ec_us_cm":887,"soil_ph":6.33,"battery_mv":4010,"csq":20,"soil_rs485_status":"ok","cycle_status":"ok","soil_tension_kpa":-33.6,"soil_tension_rs485_status":"ok"}</x:v>
      </x:c>
    </x:row>
    <x:row r="903">
      <x:c r="A903" s="72" t="n">
        <x:v>46240.93116898148</x:v>
      </x:c>
      <x:c r="B903" s="72" t="n">
        <x:v>46240.93118287037</x:v>
      </x:c>
      <x:c r="C903" s="32" t="str">
        <x:v>P12</x:v>
      </x:c>
      <x:c r="D903" s="32" t="str">
        <x:v>B2-W2-V2</x:v>
      </x:c>
      <x:c r="E903" s="32" t="str">
        <x:v>B2</x:v>
      </x:c>
      <x:c r="F903" s="32" t="str">
        <x:v>W2</x:v>
      </x:c>
      <x:c r="G903" s="32" t="str">
        <x:v>V2</x:v>
      </x:c>
      <x:c r="H903" s="32" t="str">
        <x:v>tension_soil</x:v>
      </x:c>
      <x:c r="I903" s="32" t="str">
        <x:v>862323089930712</x:v>
      </x:c>
      <x:c r="J903" s="82"/>
      <x:c r="K903" s="82" t="n">
        <x:v>-35</x:v>
      </x:c>
      <x:c r="L903" s="82" t="n">
        <x:v>37</x:v>
      </x:c>
      <x:c r="M903" s="82" t="n">
        <x:v>24.8</x:v>
      </x:c>
      <x:c r="N903" s="86" t="n">
        <x:v>906</x:v>
      </x:c>
      <x:c r="O903" s="90" t="n">
        <x:v>6.38</x:v>
      </x:c>
      <x:c r="P903" s="150" t="n">
        <x:v>3.92</x:v>
      </x:c>
      <x:c r="Q903" s="86" t="n">
        <x:v>21</x:v>
      </x:c>
      <x:c r="R903" s="32"/>
      <x:c r="S903" s="32" t="str">
        <x:v>ok</x:v>
      </x:c>
      <x:c r="T903" s="32" t="str">
        <x:v>ok</x:v>
      </x:c>
      <x:c r="U903" s="32" t="str">
        <x:v>ok</x:v>
      </x:c>
      <x:c r="V903" s="32" t="str">
        <x:v>ok</x:v>
      </x:c>
      <x:c r="W903" s="154" t="str">
        <x:v>{"schema_version":1,"imei":"862323089930712","timestamp":1786026053,"report_sequence":38,"task_version":"rice_tension_soil_demo","sensor_mode":"tension_soil","soil_moisture_percent":37,"soil_temperature_c":24.8,"soil_ec_us_cm":906,"soil_ph":6.38,"battery_mv":3920,"csq":21,"soil_rs485_status":"ok","cycle_status":"ok","soil_tension_kpa":-35,"soil_tension_rs485_status":"ok"}</x:v>
      </x:c>
    </x:row>
    <x:row r="904">
      <x:c r="A904" s="72" t="n">
        <x:v>46240.93116898148</x:v>
      </x:c>
      <x:c r="B904" s="72" t="n">
        <x:v>46240.93118287037</x:v>
      </x:c>
      <x:c r="C904" s="32" t="str">
        <x:v>P13</x:v>
      </x:c>
      <x:c r="D904" s="32" t="str">
        <x:v>B3-W0-V1</x:v>
      </x:c>
      <x:c r="E904" s="32" t="str">
        <x:v>B3</x:v>
      </x:c>
      <x:c r="F904" s="32" t="str">
        <x:v>W0</x:v>
      </x:c>
      <x:c r="G904" s="32" t="str">
        <x:v>V1</x:v>
      </x:c>
      <x:c r="H904" s="32" t="str">
        <x:v>water_soil</x:v>
      </x:c>
      <x:c r="I904" s="32" t="str">
        <x:v>862323089930713</x:v>
      </x:c>
      <x:c r="J904" s="82" t="n">
        <x:v>29.6</x:v>
      </x:c>
      <x:c r="K904" s="82"/>
      <x:c r="L904" s="82" t="n">
        <x:v>38.4</x:v>
      </x:c>
      <x:c r="M904" s="82" t="n">
        <x:v>25</x:v>
      </x:c>
      <x:c r="N904" s="86" t="n">
        <x:v>926</x:v>
      </x:c>
      <x:c r="O904" s="90" t="n">
        <x:v>6.44</x:v>
      </x:c>
      <x:c r="P904" s="150" t="n">
        <x:v>3.938</x:v>
      </x:c>
      <x:c r="Q904" s="86" t="n">
        <x:v>22</x:v>
      </x:c>
      <x:c r="R904" s="32" t="str">
        <x:v>ok</x:v>
      </x:c>
      <x:c r="S904" s="32"/>
      <x:c r="T904" s="32" t="str">
        <x:v>ok</x:v>
      </x:c>
      <x:c r="U904" s="32" t="str">
        <x:v>ok</x:v>
      </x:c>
      <x:c r="V904" s="32" t="str">
        <x:v>ok</x:v>
      </x:c>
      <x:c r="W904" s="154" t="str">
        <x:v>{"schema_version":1,"imei":"862323089930713","timestamp":1786026053,"report_sequence":38,"task_version":"rice_w0_water_soil_demo","sensor_mode":"water_soil","soil_moisture_percent":38.4,"soil_temperature_c":25,"soil_ec_us_cm":926,"soil_ph":6.44,"battery_mv":3938,"csq":22,"soil_rs485_status":"ok","cycle_status":"ok","water_level_mm":29.6,"water_4_20ma_status":"ok"}</x:v>
      </x:c>
    </x:row>
    <x:row r="905">
      <x:c r="A905" s="72" t="n">
        <x:v>46240.93116898148</x:v>
      </x:c>
      <x:c r="B905" s="72" t="n">
        <x:v>46240.93118287037</x:v>
      </x:c>
      <x:c r="C905" s="32" t="str">
        <x:v>P14</x:v>
      </x:c>
      <x:c r="D905" s="32" t="str">
        <x:v>B3-W0-V2</x:v>
      </x:c>
      <x:c r="E905" s="32" t="str">
        <x:v>B3</x:v>
      </x:c>
      <x:c r="F905" s="32" t="str">
        <x:v>W0</x:v>
      </x:c>
      <x:c r="G905" s="32" t="str">
        <x:v>V2</x:v>
      </x:c>
      <x:c r="H905" s="32" t="str">
        <x:v>water_soil</x:v>
      </x:c>
      <x:c r="I905" s="32" t="str">
        <x:v>862323089930714</x:v>
      </x:c>
      <x:c r="J905" s="82" t="n">
        <x:v>33.8</x:v>
      </x:c>
      <x:c r="K905" s="82"/>
      <x:c r="L905" s="82" t="n">
        <x:v>39.9</x:v>
      </x:c>
      <x:c r="M905" s="82" t="n">
        <x:v>25.1</x:v>
      </x:c>
      <x:c r="N905" s="86" t="n">
        <x:v>947</x:v>
      </x:c>
      <x:c r="O905" s="90" t="n">
        <x:v>6.5</x:v>
      </x:c>
      <x:c r="P905" s="150" t="n">
        <x:v>3.956</x:v>
      </x:c>
      <x:c r="Q905" s="86" t="n">
        <x:v>23</x:v>
      </x:c>
      <x:c r="R905" s="32" t="str">
        <x:v>ok</x:v>
      </x:c>
      <x:c r="S905" s="32"/>
      <x:c r="T905" s="32" t="str">
        <x:v>ok</x:v>
      </x:c>
      <x:c r="U905" s="32" t="str">
        <x:v>ok</x:v>
      </x:c>
      <x:c r="V905" s="32" t="str">
        <x:v>ok</x:v>
      </x:c>
      <x:c r="W905" s="154" t="str">
        <x:v>{"schema_version":1,"imei":"862323089930714","timestamp":1786026053,"report_sequence":38,"task_version":"rice_w0_water_soil_demo","sensor_mode":"water_soil","soil_moisture_percent":39.9,"soil_temperature_c":25.1,"soil_ec_us_cm":947,"soil_ph":6.5,"battery_mv":3956,"csq":23,"soil_rs485_status":"ok","cycle_status":"ok","water_level_mm":33.8,"water_4_20ma_status":"ok"}</x:v>
      </x:c>
    </x:row>
    <x:row r="906">
      <x:c r="A906" s="72" t="n">
        <x:v>46240.93116898148</x:v>
      </x:c>
      <x:c r="B906" s="72" t="n">
        <x:v>46240.93118287037</x:v>
      </x:c>
      <x:c r="C906" s="32" t="str">
        <x:v>P15</x:v>
      </x:c>
      <x:c r="D906" s="32" t="str">
        <x:v>B3-W1-V1</x:v>
      </x:c>
      <x:c r="E906" s="32" t="str">
        <x:v>B3</x:v>
      </x:c>
      <x:c r="F906" s="32" t="str">
        <x:v>W1</x:v>
      </x:c>
      <x:c r="G906" s="32" t="str">
        <x:v>V1</x:v>
      </x:c>
      <x:c r="H906" s="32" t="str">
        <x:v>tension_soil</x:v>
      </x:c>
      <x:c r="I906" s="32" t="str">
        <x:v>862323089930715</x:v>
      </x:c>
      <x:c r="J906" s="82"/>
      <x:c r="K906" s="82" t="n">
        <x:v>-23.4</x:v>
      </x:c>
      <x:c r="L906" s="82" t="n">
        <x:v>41.4</x:v>
      </x:c>
      <x:c r="M906" s="82" t="n">
        <x:v>25.2</x:v>
      </x:c>
      <x:c r="N906" s="86" t="n">
        <x:v>968</x:v>
      </x:c>
      <x:c r="O906" s="90" t="n">
        <x:v>6.31</x:v>
      </x:c>
      <x:c r="P906" s="150" t="n">
        <x:v>3.974</x:v>
      </x:c>
      <x:c r="Q906" s="86" t="n">
        <x:v>24</x:v>
      </x:c>
      <x:c r="R906" s="32"/>
      <x:c r="S906" s="32" t="str">
        <x:v>ok</x:v>
      </x:c>
      <x:c r="T906" s="32" t="str">
        <x:v>ok</x:v>
      </x:c>
      <x:c r="U906" s="32" t="str">
        <x:v>ok</x:v>
      </x:c>
      <x:c r="V906" s="32" t="str">
        <x:v>ok</x:v>
      </x:c>
      <x:c r="W906" s="154" t="str">
        <x:v>{"schema_version":1,"imei":"862323089930715","timestamp":1786026053,"report_sequence":38,"task_version":"rice_tension_soil_demo","sensor_mode":"tension_soil","soil_moisture_percent":41.4,"soil_temperature_c":25.2,"soil_ec_us_cm":968,"soil_ph":6.31,"battery_mv":3974,"csq":24,"soil_rs485_status":"ok","cycle_status":"ok","soil_tension_kpa":-23.4,"soil_tension_rs485_status":"ok"}</x:v>
      </x:c>
    </x:row>
    <x:row r="907">
      <x:c r="A907" s="72" t="n">
        <x:v>46240.93116898148</x:v>
      </x:c>
      <x:c r="B907" s="72" t="n">
        <x:v>46240.93118287037</x:v>
      </x:c>
      <x:c r="C907" s="32" t="str">
        <x:v>P16</x:v>
      </x:c>
      <x:c r="D907" s="32" t="str">
        <x:v>B3-W1-V2</x:v>
      </x:c>
      <x:c r="E907" s="32" t="str">
        <x:v>B3</x:v>
      </x:c>
      <x:c r="F907" s="32" t="str">
        <x:v>W1</x:v>
      </x:c>
      <x:c r="G907" s="32" t="str">
        <x:v>V2</x:v>
      </x:c>
      <x:c r="H907" s="32" t="str">
        <x:v>tension_soil</x:v>
      </x:c>
      <x:c r="I907" s="32" t="str">
        <x:v>862323089930716</x:v>
      </x:c>
      <x:c r="J907" s="82"/>
      <x:c r="K907" s="82" t="n">
        <x:v>-24.9</x:v>
      </x:c>
      <x:c r="L907" s="82" t="n">
        <x:v>34.9</x:v>
      </x:c>
      <x:c r="M907" s="82" t="n">
        <x:v>25.3</x:v>
      </x:c>
      <x:c r="N907" s="86" t="n">
        <x:v>988</x:v>
      </x:c>
      <x:c r="O907" s="90" t="n">
        <x:v>6.36</x:v>
      </x:c>
      <x:c r="P907" s="150" t="n">
        <x:v>3.992</x:v>
      </x:c>
      <x:c r="Q907" s="86" t="n">
        <x:v>17</x:v>
      </x:c>
      <x:c r="R907" s="32"/>
      <x:c r="S907" s="32" t="str">
        <x:v>ok</x:v>
      </x:c>
      <x:c r="T907" s="32" t="str">
        <x:v>ok</x:v>
      </x:c>
      <x:c r="U907" s="32" t="str">
        <x:v>ok</x:v>
      </x:c>
      <x:c r="V907" s="32" t="str">
        <x:v>ok</x:v>
      </x:c>
      <x:c r="W907" s="154" t="str">
        <x:v>{"schema_version":1,"imei":"862323089930716","timestamp":1786026053,"report_sequence":38,"task_version":"rice_tension_soil_demo","sensor_mode":"tension_soil","soil_moisture_percent":34.9,"soil_temperature_c":25.3,"soil_ec_us_cm":988,"soil_ph":6.36,"battery_mv":3992,"csq":17,"soil_rs485_status":"ok","cycle_status":"ok","soil_tension_kpa":-24.9,"soil_tension_rs485_status":"ok"}</x:v>
      </x:c>
    </x:row>
    <x:row r="908">
      <x:c r="A908" s="72" t="n">
        <x:v>46240.93116898148</x:v>
      </x:c>
      <x:c r="B908" s="72" t="n">
        <x:v>46240.93118287037</x:v>
      </x:c>
      <x:c r="C908" s="32" t="str">
        <x:v>P17</x:v>
      </x:c>
      <x:c r="D908" s="32" t="str">
        <x:v>B3-W2-V1</x:v>
      </x:c>
      <x:c r="E908" s="32" t="str">
        <x:v>B3</x:v>
      </x:c>
      <x:c r="F908" s="32" t="str">
        <x:v>W2</x:v>
      </x:c>
      <x:c r="G908" s="32" t="str">
        <x:v>V1</x:v>
      </x:c>
      <x:c r="H908" s="32" t="str">
        <x:v>tension_soil</x:v>
      </x:c>
      <x:c r="I908" s="32" t="str">
        <x:v>862323089930717</x:v>
      </x:c>
      <x:c r="J908" s="82"/>
      <x:c r="K908" s="82" t="n">
        <x:v>-37.3</x:v>
      </x:c>
      <x:c r="L908" s="82" t="n">
        <x:v>36.3</x:v>
      </x:c>
      <x:c r="M908" s="82" t="n">
        <x:v>25.4</x:v>
      </x:c>
      <x:c r="N908" s="86" t="n">
        <x:v>1007</x:v>
      </x:c>
      <x:c r="O908" s="90" t="n">
        <x:v>6.42</x:v>
      </x:c>
      <x:c r="P908" s="150" t="n">
        <x:v>4.01</x:v>
      </x:c>
      <x:c r="Q908" s="86" t="n">
        <x:v>18</x:v>
      </x:c>
      <x:c r="R908" s="32"/>
      <x:c r="S908" s="32" t="str">
        <x:v>ok</x:v>
      </x:c>
      <x:c r="T908" s="32" t="str">
        <x:v>ok</x:v>
      </x:c>
      <x:c r="U908" s="32" t="str">
        <x:v>ok</x:v>
      </x:c>
      <x:c r="V908" s="32" t="str">
        <x:v>ok</x:v>
      </x:c>
      <x:c r="W908" s="154" t="str">
        <x:v>{"schema_version":1,"imei":"862323089930717","timestamp":1786026053,"report_sequence":38,"task_version":"rice_tension_soil_demo","sensor_mode":"tension_soil","soil_moisture_percent":36.3,"soil_temperature_c":25.4,"soil_ec_us_cm":1007,"soil_ph":6.42,"battery_mv":4010,"csq":18,"soil_rs485_status":"ok","cycle_status":"ok","soil_tension_kpa":-37.3,"soil_tension_rs485_status":"ok"}</x:v>
      </x:c>
    </x:row>
    <x:row r="909">
      <x:c r="A909" s="72" t="n">
        <x:v>46240.93116898148</x:v>
      </x:c>
      <x:c r="B909" s="72" t="n">
        <x:v>46240.93118287037</x:v>
      </x:c>
      <x:c r="C909" s="32" t="str">
        <x:v>P18</x:v>
      </x:c>
      <x:c r="D909" s="32" t="str">
        <x:v>B3-W2-V2</x:v>
      </x:c>
      <x:c r="E909" s="32" t="str">
        <x:v>B3</x:v>
      </x:c>
      <x:c r="F909" s="32" t="str">
        <x:v>W2</x:v>
      </x:c>
      <x:c r="G909" s="32" t="str">
        <x:v>V2</x:v>
      </x:c>
      <x:c r="H909" s="32" t="str">
        <x:v>tension_soil</x:v>
      </x:c>
      <x:c r="I909" s="32" t="str">
        <x:v>862323089930718</x:v>
      </x:c>
      <x:c r="J909" s="82"/>
      <x:c r="K909" s="82" t="n">
        <x:v>-38.6</x:v>
      </x:c>
      <x:c r="L909" s="82" t="n">
        <x:v>37.6</x:v>
      </x:c>
      <x:c r="M909" s="82" t="n">
        <x:v>25.5</x:v>
      </x:c>
      <x:c r="N909" s="86" t="n">
        <x:v>1025</x:v>
      </x:c>
      <x:c r="O909" s="90" t="n">
        <x:v>6.47</x:v>
      </x:c>
      <x:c r="P909" s="150" t="n">
        <x:v>3.92</x:v>
      </x:c>
      <x:c r="Q909" s="86" t="n">
        <x:v>19</x:v>
      </x:c>
      <x:c r="R909" s="32"/>
      <x:c r="S909" s="32" t="str">
        <x:v>ok</x:v>
      </x:c>
      <x:c r="T909" s="32" t="str">
        <x:v>ok</x:v>
      </x:c>
      <x:c r="U909" s="32" t="str">
        <x:v>ok</x:v>
      </x:c>
      <x:c r="V909" s="32" t="str">
        <x:v>ok</x:v>
      </x:c>
      <x:c r="W909" s="154" t="str">
        <x:v>{"schema_version":1,"imei":"862323089930718","timestamp":1786026053,"report_sequence":38,"task_version":"rice_tension_soil_demo","sensor_mode":"tension_soil","soil_moisture_percent":37.6,"soil_temperature_c":25.5,"soil_ec_us_cm":1025,"soil_ph":6.47,"battery_mv":3920,"csq":19,"soil_rs485_status":"ok","cycle_status":"ok","soil_tension_kpa":-38.6,"soil_tension_rs485_status":"ok"}</x:v>
      </x:c>
    </x:row>
    <x:row r="910">
      <x:c r="A910" s="72" t="n">
        <x:v>46240.93116898148</x:v>
      </x:c>
      <x:c r="B910" s="72" t="n">
        <x:v>46240.93118287037</x:v>
      </x:c>
      <x:c r="C910" s="32" t="str">
        <x:v>P19</x:v>
      </x:c>
      <x:c r="D910" s="32" t="str">
        <x:v>B4-W0-V1</x:v>
      </x:c>
      <x:c r="E910" s="32" t="str">
        <x:v>B4</x:v>
      </x:c>
      <x:c r="F910" s="32" t="str">
        <x:v>W0</x:v>
      </x:c>
      <x:c r="G910" s="32" t="str">
        <x:v>V1</x:v>
      </x:c>
      <x:c r="H910" s="32" t="str">
        <x:v>water_soil</x:v>
      </x:c>
      <x:c r="I910" s="32" t="str">
        <x:v>862323089930719</x:v>
      </x:c>
      <x:c r="J910" s="82" t="n">
        <x:v>41.7</x:v>
      </x:c>
      <x:c r="K910" s="82"/>
      <x:c r="L910" s="82" t="n">
        <x:v>38.9</x:v>
      </x:c>
      <x:c r="M910" s="82" t="n">
        <x:v>25.6</x:v>
      </x:c>
      <x:c r="N910" s="86" t="n">
        <x:v>1041</x:v>
      </x:c>
      <x:c r="O910" s="90" t="n">
        <x:v>6.53</x:v>
      </x:c>
      <x:c r="P910" s="150" t="n">
        <x:v>3.938</x:v>
      </x:c>
      <x:c r="Q910" s="86" t="n">
        <x:v>20</x:v>
      </x:c>
      <x:c r="R910" s="32" t="str">
        <x:v>ok</x:v>
      </x:c>
      <x:c r="S910" s="32"/>
      <x:c r="T910" s="32" t="str">
        <x:v>ok</x:v>
      </x:c>
      <x:c r="U910" s="32" t="str">
        <x:v>ok</x:v>
      </x:c>
      <x:c r="V910" s="32" t="str">
        <x:v>ok</x:v>
      </x:c>
      <x:c r="W910" s="154" t="str">
        <x:v>{"schema_version":1,"imei":"862323089930719","timestamp":1786026053,"report_sequence":38,"task_version":"rice_w0_water_soil_demo","sensor_mode":"water_soil","soil_moisture_percent":38.9,"soil_temperature_c":25.6,"soil_ec_us_cm":1041,"soil_ph":6.53,"battery_mv":3938,"csq":20,"soil_rs485_status":"ok","cycle_status":"ok","water_level_mm":41.7,"water_4_20ma_status":"ok"}</x:v>
      </x:c>
    </x:row>
    <x:row r="911">
      <x:c r="A911" s="72" t="n">
        <x:v>46240.93116898148</x:v>
      </x:c>
      <x:c r="B911" s="72" t="n">
        <x:v>46240.93118287037</x:v>
      </x:c>
      <x:c r="C911" s="32" t="str">
        <x:v>P20</x:v>
      </x:c>
      <x:c r="D911" s="32" t="str">
        <x:v>B4-W0-V2</x:v>
      </x:c>
      <x:c r="E911" s="32" t="str">
        <x:v>B4</x:v>
      </x:c>
      <x:c r="F911" s="32" t="str">
        <x:v>W0</x:v>
      </x:c>
      <x:c r="G911" s="32" t="str">
        <x:v>V2</x:v>
      </x:c>
      <x:c r="H911" s="32" t="str">
        <x:v>water_soil</x:v>
      </x:c>
      <x:c r="I911" s="32" t="str">
        <x:v>862323089930720</x:v>
      </x:c>
      <x:c r="J911" s="82" t="n">
        <x:v>33</x:v>
      </x:c>
      <x:c r="K911" s="82"/>
      <x:c r="L911" s="82" t="n">
        <x:v>40</x:v>
      </x:c>
      <x:c r="M911" s="82" t="n">
        <x:v>25.6</x:v>
      </x:c>
      <x:c r="N911" s="86" t="n">
        <x:v>1055</x:v>
      </x:c>
      <x:c r="O911" s="90" t="n">
        <x:v>6.33</x:v>
      </x:c>
      <x:c r="P911" s="150" t="n">
        <x:v>3.956</x:v>
      </x:c>
      <x:c r="Q911" s="86" t="n">
        <x:v>21</x:v>
      </x:c>
      <x:c r="R911" s="32" t="str">
        <x:v>ok</x:v>
      </x:c>
      <x:c r="S911" s="32"/>
      <x:c r="T911" s="32" t="str">
        <x:v>ok</x:v>
      </x:c>
      <x:c r="U911" s="32" t="str">
        <x:v>ok</x:v>
      </x:c>
      <x:c r="V911" s="32" t="str">
        <x:v>ok</x:v>
      </x:c>
      <x:c r="W911" s="154" t="str">
        <x:v>{"schema_version":1,"imei":"862323089930720","timestamp":1786026053,"report_sequence":38,"task_version":"rice_w0_water_soil_demo","sensor_mode":"water_soil","soil_moisture_percent":40,"soil_temperature_c":25.6,"soil_ec_us_cm":1055,"soil_ph":6.33,"battery_mv":3956,"csq":21,"soil_rs485_status":"ok","cycle_status":"ok","water_level_mm":33,"water_4_20ma_status":"ok"}</x:v>
      </x:c>
    </x:row>
    <x:row r="912">
      <x:c r="A912" s="72" t="n">
        <x:v>46240.93116898148</x:v>
      </x:c>
      <x:c r="B912" s="72" t="n">
        <x:v>46240.93118287037</x:v>
      </x:c>
      <x:c r="C912" s="32" t="str">
        <x:v>P21</x:v>
      </x:c>
      <x:c r="D912" s="32" t="str">
        <x:v>B4-W1-V1</x:v>
      </x:c>
      <x:c r="E912" s="32" t="str">
        <x:v>B4</x:v>
      </x:c>
      <x:c r="F912" s="32" t="str">
        <x:v>W1</x:v>
      </x:c>
      <x:c r="G912" s="32" t="str">
        <x:v>V1</x:v>
      </x:c>
      <x:c r="H912" s="32" t="str">
        <x:v>tension_soil</x:v>
      </x:c>
      <x:c r="I912" s="32" t="str">
        <x:v>862323089930721</x:v>
      </x:c>
      <x:c r="J912" s="82"/>
      <x:c r="K912" s="82" t="n">
        <x:v>-26</x:v>
      </x:c>
      <x:c r="L912" s="82" t="n">
        <x:v>41</x:v>
      </x:c>
      <x:c r="M912" s="82" t="n">
        <x:v>25.6</x:v>
      </x:c>
      <x:c r="N912" s="86" t="n">
        <x:v>1067</x:v>
      </x:c>
      <x:c r="O912" s="90" t="n">
        <x:v>6.38</x:v>
      </x:c>
      <x:c r="P912" s="150" t="n">
        <x:v>3.974</x:v>
      </x:c>
      <x:c r="Q912" s="86" t="n">
        <x:v>22</x:v>
      </x:c>
      <x:c r="R912" s="32"/>
      <x:c r="S912" s="32" t="str">
        <x:v>ok</x:v>
      </x:c>
      <x:c r="T912" s="32" t="str">
        <x:v>ok</x:v>
      </x:c>
      <x:c r="U912" s="32" t="str">
        <x:v>ok</x:v>
      </x:c>
      <x:c r="V912" s="32" t="str">
        <x:v>ok</x:v>
      </x:c>
      <x:c r="W912" s="154" t="str">
        <x:v>{"schema_version":1,"imei":"862323089930721","timestamp":1786026053,"report_sequence":38,"task_version":"rice_tension_soil_demo","sensor_mode":"tension_soil","soil_moisture_percent":41,"soil_temperature_c":25.6,"soil_ec_us_cm":1067,"soil_ph":6.38,"battery_mv":3974,"csq":22,"soil_rs485_status":"ok","cycle_status":"ok","soil_tension_kpa":-26,"soil_tension_rs485_status":"ok"}</x:v>
      </x:c>
    </x:row>
    <x:row r="913">
      <x:c r="A913" s="72" t="n">
        <x:v>46240.93116898148</x:v>
      </x:c>
      <x:c r="B913" s="72" t="n">
        <x:v>46240.93118287037</x:v>
      </x:c>
      <x:c r="C913" s="32" t="str">
        <x:v>P22</x:v>
      </x:c>
      <x:c r="D913" s="32" t="str">
        <x:v>B4-W1-V2</x:v>
      </x:c>
      <x:c r="E913" s="32" t="str">
        <x:v>B4</x:v>
      </x:c>
      <x:c r="F913" s="32" t="str">
        <x:v>W1</x:v>
      </x:c>
      <x:c r="G913" s="32" t="str">
        <x:v>V2</x:v>
      </x:c>
      <x:c r="H913" s="32" t="str">
        <x:v>tension_soil</x:v>
      </x:c>
      <x:c r="I913" s="32" t="str">
        <x:v>862323089930722</x:v>
      </x:c>
      <x:c r="J913" s="82"/>
      <x:c r="K913" s="82" t="n">
        <x:v>-26.8</x:v>
      </x:c>
      <x:c r="L913" s="82" t="n">
        <x:v>41.8</x:v>
      </x:c>
      <x:c r="M913" s="82" t="n">
        <x:v>25.6</x:v>
      </x:c>
      <x:c r="N913" s="86" t="n">
        <x:v>1076</x:v>
      </x:c>
      <x:c r="O913" s="90" t="n">
        <x:v>6.43</x:v>
      </x:c>
      <x:c r="P913" s="150" t="n">
        <x:v>3.992</x:v>
      </x:c>
      <x:c r="Q913" s="86" t="n">
        <x:v>23</x:v>
      </x:c>
      <x:c r="R913" s="32"/>
      <x:c r="S913" s="32" t="str">
        <x:v>ok</x:v>
      </x:c>
      <x:c r="T913" s="32" t="str">
        <x:v>ok</x:v>
      </x:c>
      <x:c r="U913" s="32" t="str">
        <x:v>ok</x:v>
      </x:c>
      <x:c r="V913" s="32" t="str">
        <x:v>ok</x:v>
      </x:c>
      <x:c r="W913" s="154" t="str">
        <x:v>{"schema_version":1,"imei":"862323089930722","timestamp":1786026053,"report_sequence":38,"task_version":"rice_tension_soil_demo","sensor_mode":"tension_soil","soil_moisture_percent":41.8,"soil_temperature_c":25.6,"soil_ec_us_cm":1076,"soil_ph":6.43,"battery_mv":3992,"csq":23,"soil_rs485_status":"ok","cycle_status":"ok","soil_tension_kpa":-26.8,"soil_tension_rs485_status":"ok"}</x:v>
      </x:c>
    </x:row>
    <x:row r="914">
      <x:c r="A914" s="72" t="n">
        <x:v>46240.93116898148</x:v>
      </x:c>
      <x:c r="B914" s="72" t="n">
        <x:v>46240.93118287037</x:v>
      </x:c>
      <x:c r="C914" s="32" t="str">
        <x:v>P23</x:v>
      </x:c>
      <x:c r="D914" s="32" t="str">
        <x:v>B4-W2-V1</x:v>
      </x:c>
      <x:c r="E914" s="32" t="str">
        <x:v>B4</x:v>
      </x:c>
      <x:c r="F914" s="32" t="str">
        <x:v>W2</x:v>
      </x:c>
      <x:c r="G914" s="32" t="str">
        <x:v>V1</x:v>
      </x:c>
      <x:c r="H914" s="32" t="str">
        <x:v>tension_soil</x:v>
      </x:c>
      <x:c r="I914" s="32" t="str">
        <x:v>862323089930723</x:v>
      </x:c>
      <x:c r="J914" s="82"/>
      <x:c r="K914" s="82" t="n">
        <x:v>-38.6</x:v>
      </x:c>
      <x:c r="L914" s="82" t="n">
        <x:v>42.6</x:v>
      </x:c>
      <x:c r="M914" s="82" t="n">
        <x:v>25.5</x:v>
      </x:c>
      <x:c r="N914" s="86" t="n">
        <x:v>1084</x:v>
      </x:c>
      <x:c r="O914" s="90" t="n">
        <x:v>6.47</x:v>
      </x:c>
      <x:c r="P914" s="150" t="n">
        <x:v>4.01</x:v>
      </x:c>
      <x:c r="Q914" s="86" t="n">
        <x:v>24</x:v>
      </x:c>
      <x:c r="R914" s="32"/>
      <x:c r="S914" s="32" t="str">
        <x:v>ok</x:v>
      </x:c>
      <x:c r="T914" s="32" t="str">
        <x:v>ok</x:v>
      </x:c>
      <x:c r="U914" s="32" t="str">
        <x:v>ok</x:v>
      </x:c>
      <x:c r="V914" s="32" t="str">
        <x:v>ok</x:v>
      </x:c>
      <x:c r="W914" s="154" t="str">
        <x:v>{"schema_version":1,"imei":"862323089930723","timestamp":1786026053,"report_sequence":38,"task_version":"rice_tension_soil_demo","sensor_mode":"tension_soil","soil_moisture_percent":42.6,"soil_temperature_c":25.5,"soil_ec_us_cm":1084,"soil_ph":6.47,"battery_mv":4010,"csq":24,"soil_rs485_status":"ok","cycle_status":"ok","soil_tension_kpa":-38.6,"soil_tension_rs485_status":"ok"}</x:v>
      </x:c>
    </x:row>
    <x:row r="915">
      <x:c r="A915" s="72" t="n">
        <x:v>46240.93116898148</x:v>
      </x:c>
      <x:c r="B915" s="72" t="n">
        <x:v>46240.93118287037</x:v>
      </x:c>
      <x:c r="C915" s="32" t="str">
        <x:v>P24</x:v>
      </x:c>
      <x:c r="D915" s="32" t="str">
        <x:v>B4-W2-V2</x:v>
      </x:c>
      <x:c r="E915" s="32" t="str">
        <x:v>B4</x:v>
      </x:c>
      <x:c r="F915" s="32" t="str">
        <x:v>W2</x:v>
      </x:c>
      <x:c r="G915" s="32" t="str">
        <x:v>V2</x:v>
      </x:c>
      <x:c r="H915" s="32" t="str">
        <x:v>tension_soil</x:v>
      </x:c>
      <x:c r="I915" s="32" t="str">
        <x:v>862323089930724</x:v>
      </x:c>
      <x:c r="J915" s="82"/>
      <x:c r="K915" s="82" t="n">
        <x:v>-39.2</x:v>
      </x:c>
      <x:c r="L915" s="82" t="n">
        <x:v>35.2</x:v>
      </x:c>
      <x:c r="M915" s="82" t="n">
        <x:v>25.4</x:v>
      </x:c>
      <x:c r="N915" s="86" t="n">
        <x:v>1090</x:v>
      </x:c>
      <x:c r="O915" s="90" t="n">
        <x:v>6.52</x:v>
      </x:c>
      <x:c r="P915" s="150" t="n">
        <x:v>3.92</x:v>
      </x:c>
      <x:c r="Q915" s="86" t="n">
        <x:v>17</x:v>
      </x:c>
      <x:c r="R915" s="32"/>
      <x:c r="S915" s="32" t="str">
        <x:v>ok</x:v>
      </x:c>
      <x:c r="T915" s="32" t="str">
        <x:v>ok</x:v>
      </x:c>
      <x:c r="U915" s="32" t="str">
        <x:v>ok</x:v>
      </x:c>
      <x:c r="V915" s="32" t="str">
        <x:v>ok</x:v>
      </x:c>
      <x:c r="W915" s="154" t="str">
        <x:v>{"schema_version":1,"imei":"862323089930724","timestamp":1786026053,"report_sequence":38,"task_version":"rice_tension_soil_demo","sensor_mode":"tension_soil","soil_moisture_percent":35.2,"soil_temperature_c":25.4,"soil_ec_us_cm":1090,"soil_ph":6.52,"battery_mv":3920,"csq":17,"soil_rs485_status":"ok","cycle_status":"ok","soil_tension_kpa":-39.2,"soil_tension_rs485_status":"ok"}</x:v>
      </x:c>
    </x:row>
    <x:row r="916">
      <x:c r="A916" s="72" t="n">
        <x:v>46240.934641203705</x:v>
      </x:c>
      <x:c r="B916" s="72" t="n">
        <x:v>46240.93465509259</x:v>
      </x:c>
      <x:c r="C916" s="32" t="str">
        <x:v>P01</x:v>
      </x:c>
      <x:c r="D916" s="32" t="str">
        <x:v>B1-W0-V1</x:v>
      </x:c>
      <x:c r="E916" s="32" t="str">
        <x:v>B1</x:v>
      </x:c>
      <x:c r="F916" s="32" t="str">
        <x:v>W0</x:v>
      </x:c>
      <x:c r="G916" s="32" t="str">
        <x:v>V1</x:v>
      </x:c>
      <x:c r="H916" s="32" t="str">
        <x:v>water_soil</x:v>
      </x:c>
      <x:c r="I916" s="32" t="str">
        <x:v>862323089930701</x:v>
      </x:c>
      <x:c r="J916" s="82" t="n">
        <x:v>32.9</x:v>
      </x:c>
      <x:c r="K916" s="82"/>
      <x:c r="L916" s="82" t="n">
        <x:v>35.8</x:v>
      </x:c>
      <x:c r="M916" s="82" t="n">
        <x:v>25.3</x:v>
      </x:c>
      <x:c r="N916" s="86" t="n">
        <x:v>805</x:v>
      </x:c>
      <x:c r="O916" s="90" t="n">
        <x:v>6.36</x:v>
      </x:c>
      <x:c r="P916" s="150" t="n">
        <x:v>3.938</x:v>
      </x:c>
      <x:c r="Q916" s="86" t="n">
        <x:v>18</x:v>
      </x:c>
      <x:c r="R916" s="32" t="str">
        <x:v>ok</x:v>
      </x:c>
      <x:c r="S916" s="32"/>
      <x:c r="T916" s="32" t="str">
        <x:v>ok</x:v>
      </x:c>
      <x:c r="U916" s="32" t="str">
        <x:v>ok</x:v>
      </x:c>
      <x:c r="V916" s="32" t="str">
        <x:v>ok</x:v>
      </x:c>
      <x:c r="W916" s="154" t="str">
        <x:v>{"schema_version":1,"imei":"862323089930701","timestamp":1786026353,"report_sequence":39,"task_version":"rice_w0_water_soil_demo","sensor_mode":"water_soil","soil_moisture_percent":35.8,"soil_temperature_c":25.3,"soil_ec_us_cm":805,"soil_ph":6.36,"battery_mv":3938,"csq":18,"soil_rs485_status":"ok","cycle_status":"ok","water_level_mm":32.9,"water_4_20ma_status":"ok"}</x:v>
      </x:c>
    </x:row>
    <x:row r="917">
      <x:c r="A917" s="72" t="n">
        <x:v>46240.934641203705</x:v>
      </x:c>
      <x:c r="B917" s="72" t="n">
        <x:v>46240.93465509259</x:v>
      </x:c>
      <x:c r="C917" s="32" t="str">
        <x:v>P02</x:v>
      </x:c>
      <x:c r="D917" s="32" t="str">
        <x:v>B1-W0-V2</x:v>
      </x:c>
      <x:c r="E917" s="32" t="str">
        <x:v>B1</x:v>
      </x:c>
      <x:c r="F917" s="32" t="str">
        <x:v>W0</x:v>
      </x:c>
      <x:c r="G917" s="32" t="str">
        <x:v>V2</x:v>
      </x:c>
      <x:c r="H917" s="32" t="str">
        <x:v>water_soil</x:v>
      </x:c>
      <x:c r="I917" s="32" t="str">
        <x:v>862323089930702</x:v>
      </x:c>
      <x:c r="J917" s="82" t="n">
        <x:v>34.7</x:v>
      </x:c>
      <x:c r="K917" s="82"/>
      <x:c r="L917" s="82" t="n">
        <x:v>36.3</x:v>
      </x:c>
      <x:c r="M917" s="82" t="n">
        <x:v>25.2</x:v>
      </x:c>
      <x:c r="N917" s="86" t="n">
        <x:v>809</x:v>
      </x:c>
      <x:c r="O917" s="90" t="n">
        <x:v>6.4</x:v>
      </x:c>
      <x:c r="P917" s="150" t="n">
        <x:v>3.956</x:v>
      </x:c>
      <x:c r="Q917" s="86" t="n">
        <x:v>19</x:v>
      </x:c>
      <x:c r="R917" s="32" t="str">
        <x:v>ok</x:v>
      </x:c>
      <x:c r="S917" s="32"/>
      <x:c r="T917" s="32" t="str">
        <x:v>ok</x:v>
      </x:c>
      <x:c r="U917" s="32" t="str">
        <x:v>ok</x:v>
      </x:c>
      <x:c r="V917" s="32" t="str">
        <x:v>ok</x:v>
      </x:c>
      <x:c r="W917" s="154" t="str">
        <x:v>{"schema_version":1,"imei":"862323089930702","timestamp":1786026353,"report_sequence":39,"task_version":"rice_w0_water_soil_demo","sensor_mode":"water_soil","soil_moisture_percent":36.3,"soil_temperature_c":25.2,"soil_ec_us_cm":809,"soil_ph":6.4,"battery_mv":3956,"csq":19,"soil_rs485_status":"ok","cycle_status":"ok","water_level_mm":34.7,"water_4_20ma_status":"ok"}</x:v>
      </x:c>
    </x:row>
    <x:row r="918">
      <x:c r="A918" s="72" t="n">
        <x:v>46240.934641203705</x:v>
      </x:c>
      <x:c r="B918" s="72" t="n">
        <x:v>46240.93465509259</x:v>
      </x:c>
      <x:c r="C918" s="32" t="str">
        <x:v>P03</x:v>
      </x:c>
      <x:c r="D918" s="32" t="str">
        <x:v>B1-W1-V1</x:v>
      </x:c>
      <x:c r="E918" s="32" t="str">
        <x:v>B1</x:v>
      </x:c>
      <x:c r="F918" s="32" t="str">
        <x:v>W1</x:v>
      </x:c>
      <x:c r="G918" s="32" t="str">
        <x:v>V1</x:v>
      </x:c>
      <x:c r="H918" s="32" t="str">
        <x:v>tension_soil</x:v>
      </x:c>
      <x:c r="I918" s="32" t="str">
        <x:v>862323089930703</x:v>
      </x:c>
      <x:c r="J918" s="82"/>
      <x:c r="K918" s="82" t="n">
        <x:v>-25.8</x:v>
      </x:c>
      <x:c r="L918" s="82" t="n">
        <x:v>36.8</x:v>
      </x:c>
      <x:c r="M918" s="82" t="n">
        <x:v>25</x:v>
      </x:c>
      <x:c r="N918" s="86" t="n">
        <x:v>812</x:v>
      </x:c>
      <x:c r="O918" s="90" t="n">
        <x:v>6.45</x:v>
      </x:c>
      <x:c r="P918" s="150" t="n">
        <x:v>3.974</x:v>
      </x:c>
      <x:c r="Q918" s="86" t="n">
        <x:v>20</x:v>
      </x:c>
      <x:c r="R918" s="32"/>
      <x:c r="S918" s="32" t="str">
        <x:v>ok</x:v>
      </x:c>
      <x:c r="T918" s="32" t="str">
        <x:v>ok</x:v>
      </x:c>
      <x:c r="U918" s="32" t="str">
        <x:v>ok</x:v>
      </x:c>
      <x:c r="V918" s="32" t="str">
        <x:v>ok</x:v>
      </x:c>
      <x:c r="W918" s="154" t="str">
        <x:v>{"schema_version":1,"imei":"862323089930703","timestamp":1786026353,"report_sequence":39,"task_version":"rice_tension_soil_demo","sensor_mode":"tension_soil","soil_moisture_percent":36.8,"soil_temperature_c":25,"soil_ec_us_cm":812,"soil_ph":6.45,"battery_mv":3974,"csq":20,"soil_rs485_status":"ok","cycle_status":"ok","soil_tension_kpa":-25.8,"soil_tension_rs485_status":"ok"}</x:v>
      </x:c>
    </x:row>
    <x:row r="919">
      <x:c r="A919" s="72" t="n">
        <x:v>46240.934641203705</x:v>
      </x:c>
      <x:c r="B919" s="72" t="n">
        <x:v>46240.93465509259</x:v>
      </x:c>
      <x:c r="C919" s="32" t="str">
        <x:v>P04</x:v>
      </x:c>
      <x:c r="D919" s="32" t="str">
        <x:v>B1-W1-V2</x:v>
      </x:c>
      <x:c r="E919" s="32" t="str">
        <x:v>B1</x:v>
      </x:c>
      <x:c r="F919" s="32" t="str">
        <x:v>W1</x:v>
      </x:c>
      <x:c r="G919" s="32" t="str">
        <x:v>V2</x:v>
      </x:c>
      <x:c r="H919" s="32" t="str">
        <x:v>tension_soil</x:v>
      </x:c>
      <x:c r="I919" s="32" t="str">
        <x:v>862323089930704</x:v>
      </x:c>
      <x:c r="J919" s="82"/>
      <x:c r="K919" s="82" t="n">
        <x:v>-26.3</x:v>
      </x:c>
      <x:c r="L919" s="82" t="n">
        <x:v>37.3</x:v>
      </x:c>
      <x:c r="M919" s="82" t="n">
        <x:v>24.9</x:v>
      </x:c>
      <x:c r="N919" s="86" t="n">
        <x:v>816</x:v>
      </x:c>
      <x:c r="O919" s="90" t="n">
        <x:v>6.49</x:v>
      </x:c>
      <x:c r="P919" s="150" t="n">
        <x:v>3.992</x:v>
      </x:c>
      <x:c r="Q919" s="86" t="n">
        <x:v>21</x:v>
      </x:c>
      <x:c r="R919" s="32"/>
      <x:c r="S919" s="32" t="str">
        <x:v>ok</x:v>
      </x:c>
      <x:c r="T919" s="32" t="str">
        <x:v>ok</x:v>
      </x:c>
      <x:c r="U919" s="32" t="str">
        <x:v>ok</x:v>
      </x:c>
      <x:c r="V919" s="32" t="str">
        <x:v>ok</x:v>
      </x:c>
      <x:c r="W919" s="154" t="str">
        <x:v>{"schema_version":1,"imei":"862323089930704","timestamp":1786026353,"report_sequence":39,"task_version":"rice_tension_soil_demo","sensor_mode":"tension_soil","soil_moisture_percent":37.3,"soil_temperature_c":24.9,"soil_ec_us_cm":816,"soil_ph":6.49,"battery_mv":3992,"csq":21,"soil_rs485_status":"ok","cycle_status":"ok","soil_tension_kpa":-26.3,"soil_tension_rs485_status":"ok"}</x:v>
      </x:c>
    </x:row>
    <x:row r="920">
      <x:c r="A920" s="72" t="n">
        <x:v>46240.934641203705</x:v>
      </x:c>
      <x:c r="B920" s="72" t="n">
        <x:v>46240.93465509259</x:v>
      </x:c>
      <x:c r="C920" s="32" t="str">
        <x:v>P05</x:v>
      </x:c>
      <x:c r="D920" s="32" t="str">
        <x:v>B1-W2-V1</x:v>
      </x:c>
      <x:c r="E920" s="32" t="str">
        <x:v>B1</x:v>
      </x:c>
      <x:c r="F920" s="32" t="str">
        <x:v>W2</x:v>
      </x:c>
      <x:c r="G920" s="32" t="str">
        <x:v>V1</x:v>
      </x:c>
      <x:c r="H920" s="32" t="str">
        <x:v>tension_soil</x:v>
      </x:c>
      <x:c r="I920" s="32" t="str">
        <x:v>862323089930705</x:v>
      </x:c>
      <x:c r="J920" s="82"/>
      <x:c r="K920" s="82" t="n">
        <x:v>-32.9</x:v>
      </x:c>
      <x:c r="L920" s="82" t="n">
        <x:v>37.9</x:v>
      </x:c>
      <x:c r="M920" s="82" t="n">
        <x:v>24.8</x:v>
      </x:c>
      <x:c r="N920" s="86" t="n">
        <x:v>820</x:v>
      </x:c>
      <x:c r="O920" s="90" t="n">
        <x:v>6.28</x:v>
      </x:c>
      <x:c r="P920" s="150" t="n">
        <x:v>4.01</x:v>
      </x:c>
      <x:c r="Q920" s="86" t="n">
        <x:v>22</x:v>
      </x:c>
      <x:c r="R920" s="32"/>
      <x:c r="S920" s="32" t="str">
        <x:v>ok</x:v>
      </x:c>
      <x:c r="T920" s="32" t="str">
        <x:v>ok</x:v>
      </x:c>
      <x:c r="U920" s="32" t="str">
        <x:v>ok</x:v>
      </x:c>
      <x:c r="V920" s="32" t="str">
        <x:v>ok</x:v>
      </x:c>
      <x:c r="W920" s="154" t="str">
        <x:v>{"schema_version":1,"imei":"862323089930705","timestamp":1786026353,"report_sequence":39,"task_version":"rice_tension_soil_demo","sensor_mode":"tension_soil","soil_moisture_percent":37.9,"soil_temperature_c":24.8,"soil_ec_us_cm":820,"soil_ph":6.28,"battery_mv":4010,"csq":22,"soil_rs485_status":"ok","cycle_status":"ok","soil_tension_kpa":-32.9,"soil_tension_rs485_status":"ok"}</x:v>
      </x:c>
    </x:row>
    <x:row r="921">
      <x:c r="A921" s="72" t="n">
        <x:v>46240.934641203705</x:v>
      </x:c>
      <x:c r="B921" s="72" t="n">
        <x:v>46240.93465509259</x:v>
      </x:c>
      <x:c r="C921" s="32" t="str">
        <x:v>P06</x:v>
      </x:c>
      <x:c r="D921" s="32" t="str">
        <x:v>B1-W2-V2</x:v>
      </x:c>
      <x:c r="E921" s="32" t="str">
        <x:v>B1</x:v>
      </x:c>
      <x:c r="F921" s="32" t="str">
        <x:v>W2</x:v>
      </x:c>
      <x:c r="G921" s="32" t="str">
        <x:v>V2</x:v>
      </x:c>
      <x:c r="H921" s="32" t="str">
        <x:v>tension_soil</x:v>
      </x:c>
      <x:c r="I921" s="32" t="str">
        <x:v>862323089930706</x:v>
      </x:c>
      <x:c r="J921" s="82"/>
      <x:c r="K921" s="82" t="n">
        <x:v>-33.5</x:v>
      </x:c>
      <x:c r="L921" s="82" t="n">
        <x:v>38.5</x:v>
      </x:c>
      <x:c r="M921" s="82" t="n">
        <x:v>24.7</x:v>
      </x:c>
      <x:c r="N921" s="86" t="n">
        <x:v>826</x:v>
      </x:c>
      <x:c r="O921" s="90" t="n">
        <x:v>6.33</x:v>
      </x:c>
      <x:c r="P921" s="150" t="n">
        <x:v>3.92</x:v>
      </x:c>
      <x:c r="Q921" s="86" t="n">
        <x:v>23</x:v>
      </x:c>
      <x:c r="R921" s="32"/>
      <x:c r="S921" s="32" t="str">
        <x:v>ok</x:v>
      </x:c>
      <x:c r="T921" s="32" t="str">
        <x:v>ok</x:v>
      </x:c>
      <x:c r="U921" s="32" t="str">
        <x:v>ok</x:v>
      </x:c>
      <x:c r="V921" s="32" t="str">
        <x:v>ok</x:v>
      </x:c>
      <x:c r="W921" s="154" t="str">
        <x:v>{"schema_version":1,"imei":"862323089930706","timestamp":1786026353,"report_sequence":39,"task_version":"rice_tension_soil_demo","sensor_mode":"tension_soil","soil_moisture_percent":38.5,"soil_temperature_c":24.7,"soil_ec_us_cm":826,"soil_ph":6.33,"battery_mv":3920,"csq":23,"soil_rs485_status":"ok","cycle_status":"ok","soil_tension_kpa":-33.5,"soil_tension_rs485_status":"ok"}</x:v>
      </x:c>
    </x:row>
    <x:row r="922">
      <x:c r="A922" s="72" t="n">
        <x:v>46240.934641203705</x:v>
      </x:c>
      <x:c r="B922" s="72" t="n">
        <x:v>46240.93465509259</x:v>
      </x:c>
      <x:c r="C922" s="32" t="str">
        <x:v>P07</x:v>
      </x:c>
      <x:c r="D922" s="32" t="str">
        <x:v>B2-W0-V1</x:v>
      </x:c>
      <x:c r="E922" s="32" t="str">
        <x:v>B2</x:v>
      </x:c>
      <x:c r="F922" s="32" t="str">
        <x:v>W0</x:v>
      </x:c>
      <x:c r="G922" s="32" t="str">
        <x:v>V1</x:v>
      </x:c>
      <x:c r="H922" s="32" t="str">
        <x:v>water_soil</x:v>
      </x:c>
      <x:c r="I922" s="32" t="str">
        <x:v>862323089930707</x:v>
      </x:c>
      <x:c r="J922" s="82" t="n">
        <x:v>32.5</x:v>
      </x:c>
      <x:c r="K922" s="82"/>
      <x:c r="L922" s="82" t="n">
        <x:v>39.2</x:v>
      </x:c>
      <x:c r="M922" s="82" t="n">
        <x:v>24.7</x:v>
      </x:c>
      <x:c r="N922" s="86" t="n">
        <x:v>833</x:v>
      </x:c>
      <x:c r="O922" s="90" t="n">
        <x:v>6.37</x:v>
      </x:c>
      <x:c r="P922" s="150" t="n">
        <x:v>3.938</x:v>
      </x:c>
      <x:c r="Q922" s="86" t="n">
        <x:v>24</x:v>
      </x:c>
      <x:c r="R922" s="32" t="str">
        <x:v>ok</x:v>
      </x:c>
      <x:c r="S922" s="32"/>
      <x:c r="T922" s="32" t="str">
        <x:v>ok</x:v>
      </x:c>
      <x:c r="U922" s="32" t="str">
        <x:v>ok</x:v>
      </x:c>
      <x:c r="V922" s="32" t="str">
        <x:v>ok</x:v>
      </x:c>
      <x:c r="W922" s="154" t="str">
        <x:v>{"schema_version":1,"imei":"862323089930707","timestamp":1786026353,"report_sequence":39,"task_version":"rice_w0_water_soil_demo","sensor_mode":"water_soil","soil_moisture_percent":39.2,"soil_temperature_c":24.7,"soil_ec_us_cm":833,"soil_ph":6.37,"battery_mv":3938,"csq":24,"soil_rs485_status":"ok","cycle_status":"ok","water_level_mm":32.5,"water_4_20ma_status":"ok"}</x:v>
      </x:c>
    </x:row>
    <x:row r="923">
      <x:c r="A923" s="72" t="n">
        <x:v>46240.934641203705</x:v>
      </x:c>
      <x:c r="B923" s="72" t="n">
        <x:v>46240.93465509259</x:v>
      </x:c>
      <x:c r="C923" s="32" t="str">
        <x:v>P08</x:v>
      </x:c>
      <x:c r="D923" s="32" t="str">
        <x:v>B2-W0-V2</x:v>
      </x:c>
      <x:c r="E923" s="32" t="str">
        <x:v>B2</x:v>
      </x:c>
      <x:c r="F923" s="32" t="str">
        <x:v>W0</x:v>
      </x:c>
      <x:c r="G923" s="32" t="str">
        <x:v>V2</x:v>
      </x:c>
      <x:c r="H923" s="32" t="str">
        <x:v>water_soil</x:v>
      </x:c>
      <x:c r="I923" s="32" t="str">
        <x:v>862323089930708</x:v>
      </x:c>
      <x:c r="J923" s="82" t="n">
        <x:v>23.1</x:v>
      </x:c>
      <x:c r="K923" s="82"/>
      <x:c r="L923" s="82" t="n">
        <x:v>32</x:v>
      </x:c>
      <x:c r="M923" s="82" t="n">
        <x:v>24.6</x:v>
      </x:c>
      <x:c r="N923" s="86" t="n">
        <x:v>842</x:v>
      </x:c>
      <x:c r="O923" s="90" t="n">
        <x:v>6.42</x:v>
      </x:c>
      <x:c r="P923" s="150" t="n">
        <x:v>3.956</x:v>
      </x:c>
      <x:c r="Q923" s="86" t="n">
        <x:v>17</x:v>
      </x:c>
      <x:c r="R923" s="32" t="str">
        <x:v>ok</x:v>
      </x:c>
      <x:c r="S923" s="32"/>
      <x:c r="T923" s="32" t="str">
        <x:v>ok</x:v>
      </x:c>
      <x:c r="U923" s="32" t="str">
        <x:v>ok</x:v>
      </x:c>
      <x:c r="V923" s="32" t="str">
        <x:v>ok</x:v>
      </x:c>
      <x:c r="W923" s="154" t="str">
        <x:v>{"schema_version":1,"imei":"862323089930708","timestamp":1786026353,"report_sequence":39,"task_version":"rice_w0_water_soil_demo","sensor_mode":"water_soil","soil_moisture_percent":32,"soil_temperature_c":24.6,"soil_ec_us_cm":842,"soil_ph":6.42,"battery_mv":3956,"csq":17,"soil_rs485_status":"ok","cycle_status":"ok","water_level_mm":23.1,"water_4_20ma_status":"ok"}</x:v>
      </x:c>
    </x:row>
    <x:row r="924">
      <x:c r="A924" s="72" t="n">
        <x:v>46240.934641203705</x:v>
      </x:c>
      <x:c r="B924" s="72" t="n">
        <x:v>46240.93465509259</x:v>
      </x:c>
      <x:c r="C924" s="32" t="str">
        <x:v>P09</x:v>
      </x:c>
      <x:c r="D924" s="32" t="str">
        <x:v>B2-W1-V1</x:v>
      </x:c>
      <x:c r="E924" s="32" t="str">
        <x:v>B2</x:v>
      </x:c>
      <x:c r="F924" s="32" t="str">
        <x:v>W1</x:v>
      </x:c>
      <x:c r="G924" s="32" t="str">
        <x:v>V1</x:v>
      </x:c>
      <x:c r="H924" s="32" t="str">
        <x:v>tension_soil</x:v>
      </x:c>
      <x:c r="I924" s="32" t="str">
        <x:v>862323089930709</x:v>
      </x:c>
      <x:c r="J924" s="82"/>
      <x:c r="K924" s="82" t="n">
        <x:v>-25</x:v>
      </x:c>
      <x:c r="L924" s="82" t="n">
        <x:v>33</x:v>
      </x:c>
      <x:c r="M924" s="82" t="n">
        <x:v>24.6</x:v>
      </x:c>
      <x:c r="N924" s="86" t="n">
        <x:v>853</x:v>
      </x:c>
      <x:c r="O924" s="90" t="n">
        <x:v>6.47</x:v>
      </x:c>
      <x:c r="P924" s="150" t="n">
        <x:v>3.974</x:v>
      </x:c>
      <x:c r="Q924" s="86" t="n">
        <x:v>18</x:v>
      </x:c>
      <x:c r="R924" s="32"/>
      <x:c r="S924" s="32" t="str">
        <x:v>ok</x:v>
      </x:c>
      <x:c r="T924" s="32" t="str">
        <x:v>ok</x:v>
      </x:c>
      <x:c r="U924" s="32" t="str">
        <x:v>ok</x:v>
      </x:c>
      <x:c r="V924" s="32" t="str">
        <x:v>ok</x:v>
      </x:c>
      <x:c r="W924" s="154" t="str">
        <x:v>{"schema_version":1,"imei":"862323089930709","timestamp":1786026353,"report_sequence":39,"task_version":"rice_tension_soil_demo","sensor_mode":"tension_soil","soil_moisture_percent":33,"soil_temperature_c":24.6,"soil_ec_us_cm":853,"soil_ph":6.47,"battery_mv":3974,"csq":18,"soil_rs485_status":"ok","cycle_status":"ok","soil_tension_kpa":-25,"soil_tension_rs485_status":"ok"}</x:v>
      </x:c>
    </x:row>
    <x:row r="925">
      <x:c r="A925" s="72" t="n">
        <x:v>46240.934641203705</x:v>
      </x:c>
      <x:c r="B925" s="72" t="n">
        <x:v>46240.93465509259</x:v>
      </x:c>
      <x:c r="C925" s="32" t="str">
        <x:v>P10</x:v>
      </x:c>
      <x:c r="D925" s="32" t="str">
        <x:v>B2-W1-V2</x:v>
      </x:c>
      <x:c r="E925" s="32" t="str">
        <x:v>B2</x:v>
      </x:c>
      <x:c r="F925" s="32" t="str">
        <x:v>W1</x:v>
      </x:c>
      <x:c r="G925" s="32" t="str">
        <x:v>V2</x:v>
      </x:c>
      <x:c r="H925" s="32" t="str">
        <x:v>tension_soil</x:v>
      </x:c>
      <x:c r="I925" s="32" t="str">
        <x:v>862323089930710</x:v>
      </x:c>
      <x:c r="J925" s="82"/>
      <x:c r="K925" s="82" t="n">
        <x:v>-21.1</x:v>
      </x:c>
      <x:c r="L925" s="82" t="n">
        <x:v>34.1</x:v>
      </x:c>
      <x:c r="M925" s="82" t="n">
        <x:v>24.6</x:v>
      </x:c>
      <x:c r="N925" s="86" t="n">
        <x:v>866</x:v>
      </x:c>
      <x:c r="O925" s="90" t="n">
        <x:v>6.27</x:v>
      </x:c>
      <x:c r="P925" s="150" t="n">
        <x:v>3.992</x:v>
      </x:c>
      <x:c r="Q925" s="86" t="n">
        <x:v>19</x:v>
      </x:c>
      <x:c r="R925" s="32"/>
      <x:c r="S925" s="32" t="str">
        <x:v>ok</x:v>
      </x:c>
      <x:c r="T925" s="32" t="str">
        <x:v>ok</x:v>
      </x:c>
      <x:c r="U925" s="32" t="str">
        <x:v>ok</x:v>
      </x:c>
      <x:c r="V925" s="32" t="str">
        <x:v>ok</x:v>
      </x:c>
      <x:c r="W925" s="154" t="str">
        <x:v>{"schema_version":1,"imei":"862323089930710","timestamp":1786026353,"report_sequence":39,"task_version":"rice_tension_soil_demo","sensor_mode":"tension_soil","soil_moisture_percent":34.1,"soil_temperature_c":24.6,"soil_ec_us_cm":866,"soil_ph":6.27,"battery_mv":3992,"csq":19,"soil_rs485_status":"ok","cycle_status":"ok","soil_tension_kpa":-21.1,"soil_tension_rs485_status":"ok"}</x:v>
      </x:c>
    </x:row>
    <x:row r="926">
      <x:c r="A926" s="72" t="n">
        <x:v>46240.934641203705</x:v>
      </x:c>
      <x:c r="B926" s="72" t="n">
        <x:v>46240.93465509259</x:v>
      </x:c>
      <x:c r="C926" s="32" t="str">
        <x:v>P11</x:v>
      </x:c>
      <x:c r="D926" s="32" t="str">
        <x:v>B2-W2-V1</x:v>
      </x:c>
      <x:c r="E926" s="32" t="str">
        <x:v>B2</x:v>
      </x:c>
      <x:c r="F926" s="32" t="str">
        <x:v>W2</x:v>
      </x:c>
      <x:c r="G926" s="32" t="str">
        <x:v>V1</x:v>
      </x:c>
      <x:c r="H926" s="32" t="str">
        <x:v>tension_soil</x:v>
      </x:c>
      <x:c r="I926" s="32" t="str">
        <x:v>862323089930711</x:v>
      </x:c>
      <x:c r="J926" s="82"/>
      <x:c r="K926" s="82" t="n">
        <x:v>-33.3</x:v>
      </x:c>
      <x:c r="L926" s="82" t="n">
        <x:v>35.3</x:v>
      </x:c>
      <x:c r="M926" s="82" t="n">
        <x:v>24.7</x:v>
      </x:c>
      <x:c r="N926" s="86" t="n">
        <x:v>882</x:v>
      </x:c>
      <x:c r="O926" s="90" t="n">
        <x:v>6.32</x:v>
      </x:c>
      <x:c r="P926" s="150" t="n">
        <x:v>4.01</x:v>
      </x:c>
      <x:c r="Q926" s="86" t="n">
        <x:v>20</x:v>
      </x:c>
      <x:c r="R926" s="32"/>
      <x:c r="S926" s="32" t="str">
        <x:v>ok</x:v>
      </x:c>
      <x:c r="T926" s="32" t="str">
        <x:v>ok</x:v>
      </x:c>
      <x:c r="U926" s="32" t="str">
        <x:v>ok</x:v>
      </x:c>
      <x:c r="V926" s="32" t="str">
        <x:v>ok</x:v>
      </x:c>
      <x:c r="W926" s="154" t="str">
        <x:v>{"schema_version":1,"imei":"862323089930711","timestamp":1786026353,"report_sequence":39,"task_version":"rice_tension_soil_demo","sensor_mode":"tension_soil","soil_moisture_percent":35.3,"soil_temperature_c":24.7,"soil_ec_us_cm":882,"soil_ph":6.32,"battery_mv":4010,"csq":20,"soil_rs485_status":"ok","cycle_status":"ok","soil_tension_kpa":-33.3,"soil_tension_rs485_status":"ok"}</x:v>
      </x:c>
    </x:row>
    <x:row r="927">
      <x:c r="A927" s="72" t="n">
        <x:v>46240.934641203705</x:v>
      </x:c>
      <x:c r="B927" s="72" t="n">
        <x:v>46240.93465509259</x:v>
      </x:c>
      <x:c r="C927" s="32" t="str">
        <x:v>P12</x:v>
      </x:c>
      <x:c r="D927" s="32" t="str">
        <x:v>B2-W2-V2</x:v>
      </x:c>
      <x:c r="E927" s="32" t="str">
        <x:v>B2</x:v>
      </x:c>
      <x:c r="F927" s="32" t="str">
        <x:v>W2</x:v>
      </x:c>
      <x:c r="G927" s="32" t="str">
        <x:v>V2</x:v>
      </x:c>
      <x:c r="H927" s="32" t="str">
        <x:v>tension_soil</x:v>
      </x:c>
      <x:c r="I927" s="32" t="str">
        <x:v>862323089930712</x:v>
      </x:c>
      <x:c r="J927" s="82"/>
      <x:c r="K927" s="82" t="n">
        <x:v>-34.6</x:v>
      </x:c>
      <x:c r="L927" s="82" t="n">
        <x:v>36.6</x:v>
      </x:c>
      <x:c r="M927" s="82" t="n">
        <x:v>24.7</x:v>
      </x:c>
      <x:c r="N927" s="86" t="n">
        <x:v>899</x:v>
      </x:c>
      <x:c r="O927" s="90" t="n">
        <x:v>6.38</x:v>
      </x:c>
      <x:c r="P927" s="150" t="n">
        <x:v>3.92</x:v>
      </x:c>
      <x:c r="Q927" s="86" t="n">
        <x:v>21</x:v>
      </x:c>
      <x:c r="R927" s="32"/>
      <x:c r="S927" s="32" t="str">
        <x:v>ok</x:v>
      </x:c>
      <x:c r="T927" s="32" t="str">
        <x:v>ok</x:v>
      </x:c>
      <x:c r="U927" s="32" t="str">
        <x:v>ok</x:v>
      </x:c>
      <x:c r="V927" s="32" t="str">
        <x:v>ok</x:v>
      </x:c>
      <x:c r="W927" s="154" t="str">
        <x:v>{"schema_version":1,"imei":"862323089930712","timestamp":1786026353,"report_sequence":39,"task_version":"rice_tension_soil_demo","sensor_mode":"tension_soil","soil_moisture_percent":36.6,"soil_temperature_c":24.7,"soil_ec_us_cm":899,"soil_ph":6.38,"battery_mv":3920,"csq":21,"soil_rs485_status":"ok","cycle_status":"ok","soil_tension_kpa":-34.6,"soil_tension_rs485_status":"ok"}</x:v>
      </x:c>
    </x:row>
    <x:row r="928">
      <x:c r="A928" s="72" t="n">
        <x:v>46240.934641203705</x:v>
      </x:c>
      <x:c r="B928" s="72" t="n">
        <x:v>46240.93465509259</x:v>
      </x:c>
      <x:c r="C928" s="32" t="str">
        <x:v>P13</x:v>
      </x:c>
      <x:c r="D928" s="32" t="str">
        <x:v>B3-W0-V1</x:v>
      </x:c>
      <x:c r="E928" s="32" t="str">
        <x:v>B3</x:v>
      </x:c>
      <x:c r="F928" s="32" t="str">
        <x:v>W0</x:v>
      </x:c>
      <x:c r="G928" s="32" t="str">
        <x:v>V1</x:v>
      </x:c>
      <x:c r="H928" s="32" t="str">
        <x:v>water_soil</x:v>
      </x:c>
      <x:c r="I928" s="32" t="str">
        <x:v>862323089930713</x:v>
      </x:c>
      <x:c r="J928" s="82" t="n">
        <x:v>28.5</x:v>
      </x:c>
      <x:c r="K928" s="82"/>
      <x:c r="L928" s="82" t="n">
        <x:v>38</x:v>
      </x:c>
      <x:c r="M928" s="82" t="n">
        <x:v>24.8</x:v>
      </x:c>
      <x:c r="N928" s="86" t="n">
        <x:v>918</x:v>
      </x:c>
      <x:c r="O928" s="90" t="n">
        <x:v>6.43</x:v>
      </x:c>
      <x:c r="P928" s="150" t="n">
        <x:v>3.938</x:v>
      </x:c>
      <x:c r="Q928" s="86" t="n">
        <x:v>22</x:v>
      </x:c>
      <x:c r="R928" s="32" t="str">
        <x:v>ok</x:v>
      </x:c>
      <x:c r="S928" s="32"/>
      <x:c r="T928" s="32" t="str">
        <x:v>ok</x:v>
      </x:c>
      <x:c r="U928" s="32" t="str">
        <x:v>ok</x:v>
      </x:c>
      <x:c r="V928" s="32" t="str">
        <x:v>ok</x:v>
      </x:c>
      <x:c r="W928" s="154" t="str">
        <x:v>{"schema_version":1,"imei":"862323089930713","timestamp":1786026353,"report_sequence":39,"task_version":"rice_w0_water_soil_demo","sensor_mode":"water_soil","soil_moisture_percent":38,"soil_temperature_c":24.8,"soil_ec_us_cm":918,"soil_ph":6.43,"battery_mv":3938,"csq":22,"soil_rs485_status":"ok","cycle_status":"ok","water_level_mm":28.5,"water_4_20ma_status":"ok"}</x:v>
      </x:c>
    </x:row>
    <x:row r="929">
      <x:c r="A929" s="72" t="n">
        <x:v>46240.934641203705</x:v>
      </x:c>
      <x:c r="B929" s="72" t="n">
        <x:v>46240.93465509259</x:v>
      </x:c>
      <x:c r="C929" s="32" t="str">
        <x:v>P14</x:v>
      </x:c>
      <x:c r="D929" s="32" t="str">
        <x:v>B3-W0-V2</x:v>
      </x:c>
      <x:c r="E929" s="32" t="str">
        <x:v>B3</x:v>
      </x:c>
      <x:c r="F929" s="32" t="str">
        <x:v>W0</x:v>
      </x:c>
      <x:c r="G929" s="32" t="str">
        <x:v>V2</x:v>
      </x:c>
      <x:c r="H929" s="32" t="str">
        <x:v>water_soil</x:v>
      </x:c>
      <x:c r="I929" s="32" t="str">
        <x:v>862323089930714</x:v>
      </x:c>
      <x:c r="J929" s="82" t="n">
        <x:v>32.6</x:v>
      </x:c>
      <x:c r="K929" s="82"/>
      <x:c r="L929" s="82" t="n">
        <x:v>39.4</x:v>
      </x:c>
      <x:c r="M929" s="82" t="n">
        <x:v>25</x:v>
      </x:c>
      <x:c r="N929" s="86" t="n">
        <x:v>938</x:v>
      </x:c>
      <x:c r="O929" s="90" t="n">
        <x:v>6.49</x:v>
      </x:c>
      <x:c r="P929" s="150" t="n">
        <x:v>3.956</x:v>
      </x:c>
      <x:c r="Q929" s="86" t="n">
        <x:v>23</x:v>
      </x:c>
      <x:c r="R929" s="32" t="str">
        <x:v>ok</x:v>
      </x:c>
      <x:c r="S929" s="32"/>
      <x:c r="T929" s="32" t="str">
        <x:v>ok</x:v>
      </x:c>
      <x:c r="U929" s="32" t="str">
        <x:v>ok</x:v>
      </x:c>
      <x:c r="V929" s="32" t="str">
        <x:v>ok</x:v>
      </x:c>
      <x:c r="W929" s="154" t="str">
        <x:v>{"schema_version":1,"imei":"862323089930714","timestamp":1786026353,"report_sequence":39,"task_version":"rice_w0_water_soil_demo","sensor_mode":"water_soil","soil_moisture_percent":39.4,"soil_temperature_c":25,"soil_ec_us_cm":938,"soil_ph":6.49,"battery_mv":3956,"csq":23,"soil_rs485_status":"ok","cycle_status":"ok","water_level_mm":32.6,"water_4_20ma_status":"ok"}</x:v>
      </x:c>
    </x:row>
    <x:row r="930">
      <x:c r="A930" s="72" t="n">
        <x:v>46240.934641203705</x:v>
      </x:c>
      <x:c r="B930" s="72" t="n">
        <x:v>46240.93465509259</x:v>
      </x:c>
      <x:c r="C930" s="32" t="str">
        <x:v>P15</x:v>
      </x:c>
      <x:c r="D930" s="32" t="str">
        <x:v>B3-W1-V1</x:v>
      </x:c>
      <x:c r="E930" s="32" t="str">
        <x:v>B3</x:v>
      </x:c>
      <x:c r="F930" s="32" t="str">
        <x:v>W1</x:v>
      </x:c>
      <x:c r="G930" s="32" t="str">
        <x:v>V1</x:v>
      </x:c>
      <x:c r="H930" s="32" t="str">
        <x:v>tension_soil</x:v>
      </x:c>
      <x:c r="I930" s="32" t="str">
        <x:v>862323089930715</x:v>
      </x:c>
      <x:c r="J930" s="82"/>
      <x:c r="K930" s="82" t="n">
        <x:v>-22.9</x:v>
      </x:c>
      <x:c r="L930" s="82" t="n">
        <x:v>40.9</x:v>
      </x:c>
      <x:c r="M930" s="82" t="n">
        <x:v>25.1</x:v>
      </x:c>
      <x:c r="N930" s="86" t="n">
        <x:v>959</x:v>
      </x:c>
      <x:c r="O930" s="90" t="n">
        <x:v>6.3</x:v>
      </x:c>
      <x:c r="P930" s="150" t="n">
        <x:v>3.974</x:v>
      </x:c>
      <x:c r="Q930" s="86" t="n">
        <x:v>24</x:v>
      </x:c>
      <x:c r="R930" s="32"/>
      <x:c r="S930" s="32" t="str">
        <x:v>ok</x:v>
      </x:c>
      <x:c r="T930" s="32" t="str">
        <x:v>ok</x:v>
      </x:c>
      <x:c r="U930" s="32" t="str">
        <x:v>ok</x:v>
      </x:c>
      <x:c r="V930" s="32" t="str">
        <x:v>ok</x:v>
      </x:c>
      <x:c r="W930" s="154" t="str">
        <x:v>{"schema_version":1,"imei":"862323089930715","timestamp":1786026353,"report_sequence":39,"task_version":"rice_tension_soil_demo","sensor_mode":"tension_soil","soil_moisture_percent":40.9,"soil_temperature_c":25.1,"soil_ec_us_cm":959,"soil_ph":6.3,"battery_mv":3974,"csq":24,"soil_rs485_status":"ok","cycle_status":"ok","soil_tension_kpa":-22.9,"soil_tension_rs485_status":"ok"}</x:v>
      </x:c>
    </x:row>
    <x:row r="931">
      <x:c r="A931" s="72" t="n">
        <x:v>46240.934641203705</x:v>
      </x:c>
      <x:c r="B931" s="72" t="n">
        <x:v>46240.93465509259</x:v>
      </x:c>
      <x:c r="C931" s="32" t="str">
        <x:v>P16</x:v>
      </x:c>
      <x:c r="D931" s="32" t="str">
        <x:v>B3-W1-V2</x:v>
      </x:c>
      <x:c r="E931" s="32" t="str">
        <x:v>B3</x:v>
      </x:c>
      <x:c r="F931" s="32" t="str">
        <x:v>W1</x:v>
      </x:c>
      <x:c r="G931" s="32" t="str">
        <x:v>V2</x:v>
      </x:c>
      <x:c r="H931" s="32" t="str">
        <x:v>tension_soil</x:v>
      </x:c>
      <x:c r="I931" s="32" t="str">
        <x:v>862323089930716</x:v>
      </x:c>
      <x:c r="J931" s="82"/>
      <x:c r="K931" s="82" t="n">
        <x:v>-24.4</x:v>
      </x:c>
      <x:c r="L931" s="82" t="n">
        <x:v>34.4</x:v>
      </x:c>
      <x:c r="M931" s="82" t="n">
        <x:v>25.2</x:v>
      </x:c>
      <x:c r="N931" s="86" t="n">
        <x:v>980</x:v>
      </x:c>
      <x:c r="O931" s="90" t="n">
        <x:v>6.36</x:v>
      </x:c>
      <x:c r="P931" s="150" t="n">
        <x:v>3.992</x:v>
      </x:c>
      <x:c r="Q931" s="86" t="n">
        <x:v>17</x:v>
      </x:c>
      <x:c r="R931" s="32"/>
      <x:c r="S931" s="32" t="str">
        <x:v>ok</x:v>
      </x:c>
      <x:c r="T931" s="32" t="str">
        <x:v>ok</x:v>
      </x:c>
      <x:c r="U931" s="32" t="str">
        <x:v>ok</x:v>
      </x:c>
      <x:c r="V931" s="32" t="str">
        <x:v>ok</x:v>
      </x:c>
      <x:c r="W931" s="154" t="str">
        <x:v>{"schema_version":1,"imei":"862323089930716","timestamp":1786026353,"report_sequence":39,"task_version":"rice_tension_soil_demo","sensor_mode":"tension_soil","soil_moisture_percent":34.4,"soil_temperature_c":25.2,"soil_ec_us_cm":980,"soil_ph":6.36,"battery_mv":3992,"csq":17,"soil_rs485_status":"ok","cycle_status":"ok","soil_tension_kpa":-24.4,"soil_tension_rs485_status":"ok"}</x:v>
      </x:c>
    </x:row>
    <x:row r="932">
      <x:c r="A932" s="72" t="n">
        <x:v>46240.934641203705</x:v>
      </x:c>
      <x:c r="B932" s="72" t="n">
        <x:v>46240.93465509259</x:v>
      </x:c>
      <x:c r="C932" s="32" t="str">
        <x:v>P17</x:v>
      </x:c>
      <x:c r="D932" s="32" t="str">
        <x:v>B3-W2-V1</x:v>
      </x:c>
      <x:c r="E932" s="32" t="str">
        <x:v>B3</x:v>
      </x:c>
      <x:c r="F932" s="32" t="str">
        <x:v>W2</x:v>
      </x:c>
      <x:c r="G932" s="32" t="str">
        <x:v>V1</x:v>
      </x:c>
      <x:c r="H932" s="32" t="str">
        <x:v>tension_soil</x:v>
      </x:c>
      <x:c r="I932" s="32" t="str">
        <x:v>862323089930717</x:v>
      </x:c>
      <x:c r="J932" s="82"/>
      <x:c r="K932" s="82" t="n">
        <x:v>-36.9</x:v>
      </x:c>
      <x:c r="L932" s="82" t="n">
        <x:v>35.9</x:v>
      </x:c>
      <x:c r="M932" s="82" t="n">
        <x:v>25.3</x:v>
      </x:c>
      <x:c r="N932" s="86" t="n">
        <x:v>1000</x:v>
      </x:c>
      <x:c r="O932" s="90" t="n">
        <x:v>6.41</x:v>
      </x:c>
      <x:c r="P932" s="150" t="n">
        <x:v>4.01</x:v>
      </x:c>
      <x:c r="Q932" s="86" t="n">
        <x:v>18</x:v>
      </x:c>
      <x:c r="R932" s="32"/>
      <x:c r="S932" s="32" t="str">
        <x:v>ok</x:v>
      </x:c>
      <x:c r="T932" s="32" t="str">
        <x:v>ok</x:v>
      </x:c>
      <x:c r="U932" s="32" t="str">
        <x:v>ok</x:v>
      </x:c>
      <x:c r="V932" s="32" t="str">
        <x:v>ok</x:v>
      </x:c>
      <x:c r="W932" s="154" t="str">
        <x:v>{"schema_version":1,"imei":"862323089930717","timestamp":1786026353,"report_sequence":39,"task_version":"rice_tension_soil_demo","sensor_mode":"tension_soil","soil_moisture_percent":35.9,"soil_temperature_c":25.3,"soil_ec_us_cm":1000,"soil_ph":6.41,"battery_mv":4010,"csq":18,"soil_rs485_status":"ok","cycle_status":"ok","soil_tension_kpa":-36.9,"soil_tension_rs485_status":"ok"}</x:v>
      </x:c>
    </x:row>
    <x:row r="933">
      <x:c r="A933" s="72" t="n">
        <x:v>46240.934641203705</x:v>
      </x:c>
      <x:c r="B933" s="72" t="n">
        <x:v>46240.93465509259</x:v>
      </x:c>
      <x:c r="C933" s="32" t="str">
        <x:v>P18</x:v>
      </x:c>
      <x:c r="D933" s="32" t="str">
        <x:v>B3-W2-V2</x:v>
      </x:c>
      <x:c r="E933" s="32" t="str">
        <x:v>B3</x:v>
      </x:c>
      <x:c r="F933" s="32" t="str">
        <x:v>W2</x:v>
      </x:c>
      <x:c r="G933" s="32" t="str">
        <x:v>V2</x:v>
      </x:c>
      <x:c r="H933" s="32" t="str">
        <x:v>tension_soil</x:v>
      </x:c>
      <x:c r="I933" s="32" t="str">
        <x:v>862323089930718</x:v>
      </x:c>
      <x:c r="J933" s="82"/>
      <x:c r="K933" s="82" t="n">
        <x:v>-38.3</x:v>
      </x:c>
      <x:c r="L933" s="82" t="n">
        <x:v>37.3</x:v>
      </x:c>
      <x:c r="M933" s="82" t="n">
        <x:v>25.4</x:v>
      </x:c>
      <x:c r="N933" s="86" t="n">
        <x:v>1019</x:v>
      </x:c>
      <x:c r="O933" s="90" t="n">
        <x:v>6.47</x:v>
      </x:c>
      <x:c r="P933" s="150" t="n">
        <x:v>3.92</x:v>
      </x:c>
      <x:c r="Q933" s="86" t="n">
        <x:v>19</x:v>
      </x:c>
      <x:c r="R933" s="32"/>
      <x:c r="S933" s="32" t="str">
        <x:v>ok</x:v>
      </x:c>
      <x:c r="T933" s="32" t="str">
        <x:v>ok</x:v>
      </x:c>
      <x:c r="U933" s="32" t="str">
        <x:v>ok</x:v>
      </x:c>
      <x:c r="V933" s="32" t="str">
        <x:v>ok</x:v>
      </x:c>
      <x:c r="W933" s="154" t="str">
        <x:v>{"schema_version":1,"imei":"862323089930718","timestamp":1786026353,"report_sequence":39,"task_version":"rice_tension_soil_demo","sensor_mode":"tension_soil","soil_moisture_percent":37.3,"soil_temperature_c":25.4,"soil_ec_us_cm":1019,"soil_ph":6.47,"battery_mv":3920,"csq":19,"soil_rs485_status":"ok","cycle_status":"ok","soil_tension_kpa":-38.3,"soil_tension_rs485_status":"ok"}</x:v>
      </x:c>
    </x:row>
    <x:row r="934">
      <x:c r="A934" s="72" t="n">
        <x:v>46240.934641203705</x:v>
      </x:c>
      <x:c r="B934" s="72" t="n">
        <x:v>46240.93465509259</x:v>
      </x:c>
      <x:c r="C934" s="32" t="str">
        <x:v>P19</x:v>
      </x:c>
      <x:c r="D934" s="32" t="str">
        <x:v>B4-W0-V1</x:v>
      </x:c>
      <x:c r="E934" s="32" t="str">
        <x:v>B4</x:v>
      </x:c>
      <x:c r="F934" s="32" t="str">
        <x:v>W0</x:v>
      </x:c>
      <x:c r="G934" s="32" t="str">
        <x:v>V1</x:v>
      </x:c>
      <x:c r="H934" s="32" t="str">
        <x:v>water_soil</x:v>
      </x:c>
      <x:c r="I934" s="32" t="str">
        <x:v>862323089930719</x:v>
      </x:c>
      <x:c r="J934" s="82" t="n">
        <x:v>41.1</x:v>
      </x:c>
      <x:c r="K934" s="82"/>
      <x:c r="L934" s="82" t="n">
        <x:v>38.6</x:v>
      </x:c>
      <x:c r="M934" s="82" t="n">
        <x:v>25.5</x:v>
      </x:c>
      <x:c r="N934" s="86" t="n">
        <x:v>1037</x:v>
      </x:c>
      <x:c r="O934" s="90" t="n">
        <x:v>6.52</x:v>
      </x:c>
      <x:c r="P934" s="150" t="n">
        <x:v>3.938</x:v>
      </x:c>
      <x:c r="Q934" s="86" t="n">
        <x:v>20</x:v>
      </x:c>
      <x:c r="R934" s="32" t="str">
        <x:v>ok</x:v>
      </x:c>
      <x:c r="S934" s="32"/>
      <x:c r="T934" s="32" t="str">
        <x:v>ok</x:v>
      </x:c>
      <x:c r="U934" s="32" t="str">
        <x:v>ok</x:v>
      </x:c>
      <x:c r="V934" s="32" t="str">
        <x:v>ok</x:v>
      </x:c>
      <x:c r="W934" s="154" t="str">
        <x:v>{"schema_version":1,"imei":"862323089930719","timestamp":1786026353,"report_sequence":39,"task_version":"rice_w0_water_soil_demo","sensor_mode":"water_soil","soil_moisture_percent":38.6,"soil_temperature_c":25.5,"soil_ec_us_cm":1037,"soil_ph":6.52,"battery_mv":3938,"csq":20,"soil_rs485_status":"ok","cycle_status":"ok","water_level_mm":41.1,"water_4_20ma_status":"ok"}</x:v>
      </x:c>
    </x:row>
    <x:row r="935">
      <x:c r="A935" s="72" t="n">
        <x:v>46240.934641203705</x:v>
      </x:c>
      <x:c r="B935" s="72" t="n">
        <x:v>46240.93465509259</x:v>
      </x:c>
      <x:c r="C935" s="32" t="str">
        <x:v>P20</x:v>
      </x:c>
      <x:c r="D935" s="32" t="str">
        <x:v>B4-W0-V2</x:v>
      </x:c>
      <x:c r="E935" s="32" t="str">
        <x:v>B4</x:v>
      </x:c>
      <x:c r="F935" s="32" t="str">
        <x:v>W0</x:v>
      </x:c>
      <x:c r="G935" s="32" t="str">
        <x:v>V2</x:v>
      </x:c>
      <x:c r="H935" s="32" t="str">
        <x:v>water_soil</x:v>
      </x:c>
      <x:c r="I935" s="32" t="str">
        <x:v>862323089930720</x:v>
      </x:c>
      <x:c r="J935" s="82" t="n">
        <x:v>32.7</x:v>
      </x:c>
      <x:c r="K935" s="82"/>
      <x:c r="L935" s="82" t="n">
        <x:v>39.9</x:v>
      </x:c>
      <x:c r="M935" s="82" t="n">
        <x:v>25.6</x:v>
      </x:c>
      <x:c r="N935" s="86" t="n">
        <x:v>1053</x:v>
      </x:c>
      <x:c r="O935" s="90" t="n">
        <x:v>6.33</x:v>
      </x:c>
      <x:c r="P935" s="150" t="n">
        <x:v>3.956</x:v>
      </x:c>
      <x:c r="Q935" s="86" t="n">
        <x:v>21</x:v>
      </x:c>
      <x:c r="R935" s="32" t="str">
        <x:v>ok</x:v>
      </x:c>
      <x:c r="S935" s="32"/>
      <x:c r="T935" s="32" t="str">
        <x:v>ok</x:v>
      </x:c>
      <x:c r="U935" s="32" t="str">
        <x:v>ok</x:v>
      </x:c>
      <x:c r="V935" s="32" t="str">
        <x:v>ok</x:v>
      </x:c>
      <x:c r="W935" s="154" t="str">
        <x:v>{"schema_version":1,"imei":"862323089930720","timestamp":1786026353,"report_sequence":39,"task_version":"rice_w0_water_soil_demo","sensor_mode":"water_soil","soil_moisture_percent":39.9,"soil_temperature_c":25.6,"soil_ec_us_cm":1053,"soil_ph":6.33,"battery_mv":3956,"csq":21,"soil_rs485_status":"ok","cycle_status":"ok","water_level_mm":32.7,"water_4_20ma_status":"ok"}</x:v>
      </x:c>
    </x:row>
    <x:row r="936">
      <x:c r="A936" s="72" t="n">
        <x:v>46240.934641203705</x:v>
      </x:c>
      <x:c r="B936" s="72" t="n">
        <x:v>46240.93465509259</x:v>
      </x:c>
      <x:c r="C936" s="32" t="str">
        <x:v>P21</x:v>
      </x:c>
      <x:c r="D936" s="32" t="str">
        <x:v>B4-W1-V1</x:v>
      </x:c>
      <x:c r="E936" s="32" t="str">
        <x:v>B4</x:v>
      </x:c>
      <x:c r="F936" s="32" t="str">
        <x:v>W1</x:v>
      </x:c>
      <x:c r="G936" s="32" t="str">
        <x:v>V1</x:v>
      </x:c>
      <x:c r="H936" s="32" t="str">
        <x:v>tension_soil</x:v>
      </x:c>
      <x:c r="I936" s="32" t="str">
        <x:v>862323089930721</x:v>
      </x:c>
      <x:c r="J936" s="82"/>
      <x:c r="K936" s="82" t="n">
        <x:v>-26</x:v>
      </x:c>
      <x:c r="L936" s="82" t="n">
        <x:v>41</x:v>
      </x:c>
      <x:c r="M936" s="82" t="n">
        <x:v>25.6</x:v>
      </x:c>
      <x:c r="N936" s="86" t="n">
        <x:v>1067</x:v>
      </x:c>
      <x:c r="O936" s="90" t="n">
        <x:v>6.38</x:v>
      </x:c>
      <x:c r="P936" s="150" t="n">
        <x:v>3.974</x:v>
      </x:c>
      <x:c r="Q936" s="86" t="n">
        <x:v>22</x:v>
      </x:c>
      <x:c r="R936" s="32"/>
      <x:c r="S936" s="32" t="str">
        <x:v>ok</x:v>
      </x:c>
      <x:c r="T936" s="32" t="str">
        <x:v>ok</x:v>
      </x:c>
      <x:c r="U936" s="32" t="str">
        <x:v>ok</x:v>
      </x:c>
      <x:c r="V936" s="32" t="str">
        <x:v>ok</x:v>
      </x:c>
      <x:c r="W936" s="154" t="str">
        <x:v>{"schema_version":1,"imei":"862323089930721","timestamp":1786026353,"report_sequence":39,"task_version":"rice_tension_soil_demo","sensor_mode":"tension_soil","soil_moisture_percent":41,"soil_temperature_c":25.6,"soil_ec_us_cm":1067,"soil_ph":6.38,"battery_mv":3974,"csq":22,"soil_rs485_status":"ok","cycle_status":"ok","soil_tension_kpa":-26,"soil_tension_rs485_status":"ok"}</x:v>
      </x:c>
    </x:row>
    <x:row r="937">
      <x:c r="A937" s="72" t="n">
        <x:v>46240.934641203705</x:v>
      </x:c>
      <x:c r="B937" s="72" t="n">
        <x:v>46240.93465509259</x:v>
      </x:c>
      <x:c r="C937" s="32" t="str">
        <x:v>P22</x:v>
      </x:c>
      <x:c r="D937" s="32" t="str">
        <x:v>B4-W1-V2</x:v>
      </x:c>
      <x:c r="E937" s="32" t="str">
        <x:v>B4</x:v>
      </x:c>
      <x:c r="F937" s="32" t="str">
        <x:v>W1</x:v>
      </x:c>
      <x:c r="G937" s="32" t="str">
        <x:v>V2</x:v>
      </x:c>
      <x:c r="H937" s="32" t="str">
        <x:v>tension_soil</x:v>
      </x:c>
      <x:c r="I937" s="32" t="str">
        <x:v>862323089930722</x:v>
      </x:c>
      <x:c r="J937" s="82"/>
      <x:c r="K937" s="82" t="n">
        <x:v>-27</x:v>
      </x:c>
      <x:c r="L937" s="82" t="n">
        <x:v>42</x:v>
      </x:c>
      <x:c r="M937" s="82" t="n">
        <x:v>25.6</x:v>
      </x:c>
      <x:c r="N937" s="86" t="n">
        <x:v>1079</x:v>
      </x:c>
      <x:c r="O937" s="90" t="n">
        <x:v>6.43</x:v>
      </x:c>
      <x:c r="P937" s="150" t="n">
        <x:v>3.992</x:v>
      </x:c>
      <x:c r="Q937" s="86" t="n">
        <x:v>23</x:v>
      </x:c>
      <x:c r="R937" s="32"/>
      <x:c r="S937" s="32" t="str">
        <x:v>ok</x:v>
      </x:c>
      <x:c r="T937" s="32" t="str">
        <x:v>ok</x:v>
      </x:c>
      <x:c r="U937" s="32" t="str">
        <x:v>ok</x:v>
      </x:c>
      <x:c r="V937" s="32" t="str">
        <x:v>ok</x:v>
      </x:c>
      <x:c r="W937" s="154" t="str">
        <x:v>{"schema_version":1,"imei":"862323089930722","timestamp":1786026353,"report_sequence":39,"task_version":"rice_tension_soil_demo","sensor_mode":"tension_soil","soil_moisture_percent":42,"soil_temperature_c":25.6,"soil_ec_us_cm":1079,"soil_ph":6.43,"battery_mv":3992,"csq":23,"soil_rs485_status":"ok","cycle_status":"ok","soil_tension_kpa":-27,"soil_tension_rs485_status":"ok"}</x:v>
      </x:c>
    </x:row>
    <x:row r="938">
      <x:c r="A938" s="72" t="n">
        <x:v>46240.934641203705</x:v>
      </x:c>
      <x:c r="B938" s="72" t="n">
        <x:v>46240.93465509259</x:v>
      </x:c>
      <x:c r="C938" s="32" t="str">
        <x:v>P23</x:v>
      </x:c>
      <x:c r="D938" s="32" t="str">
        <x:v>B4-W2-V1</x:v>
      </x:c>
      <x:c r="E938" s="32" t="str">
        <x:v>B4</x:v>
      </x:c>
      <x:c r="F938" s="32" t="str">
        <x:v>W2</x:v>
      </x:c>
      <x:c r="G938" s="32" t="str">
        <x:v>V1</x:v>
      </x:c>
      <x:c r="H938" s="32" t="str">
        <x:v>tension_soil</x:v>
      </x:c>
      <x:c r="I938" s="32" t="str">
        <x:v>862323089930723</x:v>
      </x:c>
      <x:c r="J938" s="82"/>
      <x:c r="K938" s="82" t="n">
        <x:v>-38.8</x:v>
      </x:c>
      <x:c r="L938" s="82" t="n">
        <x:v>42.8</x:v>
      </x:c>
      <x:c r="M938" s="82" t="n">
        <x:v>25.6</x:v>
      </x:c>
      <x:c r="N938" s="86" t="n">
        <x:v>1088</x:v>
      </x:c>
      <x:c r="O938" s="90" t="n">
        <x:v>6.48</x:v>
      </x:c>
      <x:c r="P938" s="150" t="n">
        <x:v>4.01</x:v>
      </x:c>
      <x:c r="Q938" s="86" t="n">
        <x:v>24</x:v>
      </x:c>
      <x:c r="R938" s="32"/>
      <x:c r="S938" s="32" t="str">
        <x:v>ok</x:v>
      </x:c>
      <x:c r="T938" s="32" t="str">
        <x:v>ok</x:v>
      </x:c>
      <x:c r="U938" s="32" t="str">
        <x:v>ok</x:v>
      </x:c>
      <x:c r="V938" s="32" t="str">
        <x:v>ok</x:v>
      </x:c>
      <x:c r="W938" s="154" t="str">
        <x:v>{"schema_version":1,"imei":"862323089930723","timestamp":1786026353,"report_sequence":39,"task_version":"rice_tension_soil_demo","sensor_mode":"tension_soil","soil_moisture_percent":42.8,"soil_temperature_c":25.6,"soil_ec_us_cm":1088,"soil_ph":6.48,"battery_mv":4010,"csq":24,"soil_rs485_status":"ok","cycle_status":"ok","soil_tension_kpa":-38.8,"soil_tension_rs485_status":"ok"}</x:v>
      </x:c>
    </x:row>
    <x:row r="939">
      <x:c r="A939" s="72" t="n">
        <x:v>46240.934641203705</x:v>
      </x:c>
      <x:c r="B939" s="72" t="n">
        <x:v>46240.93465509259</x:v>
      </x:c>
      <x:c r="C939" s="32" t="str">
        <x:v>P24</x:v>
      </x:c>
      <x:c r="D939" s="32" t="str">
        <x:v>B4-W2-V2</x:v>
      </x:c>
      <x:c r="E939" s="32" t="str">
        <x:v>B4</x:v>
      </x:c>
      <x:c r="F939" s="32" t="str">
        <x:v>W2</x:v>
      </x:c>
      <x:c r="G939" s="32" t="str">
        <x:v>V2</x:v>
      </x:c>
      <x:c r="H939" s="32" t="str">
        <x:v>tension_soil</x:v>
      </x:c>
      <x:c r="I939" s="32" t="str">
        <x:v>862323089930724</x:v>
      </x:c>
      <x:c r="J939" s="82"/>
      <x:c r="K939" s="82" t="n">
        <x:v>-39.6</x:v>
      </x:c>
      <x:c r="L939" s="82" t="n">
        <x:v>35.6</x:v>
      </x:c>
      <x:c r="M939" s="82" t="n">
        <x:v>25.5</x:v>
      </x:c>
      <x:c r="N939" s="86" t="n">
        <x:v>1096</x:v>
      </x:c>
      <x:c r="O939" s="90" t="n">
        <x:v>6.52</x:v>
      </x:c>
      <x:c r="P939" s="150" t="n">
        <x:v>3.92</x:v>
      </x:c>
      <x:c r="Q939" s="86" t="n">
        <x:v>17</x:v>
      </x:c>
      <x:c r="R939" s="32"/>
      <x:c r="S939" s="32" t="str">
        <x:v>ok</x:v>
      </x:c>
      <x:c r="T939" s="32" t="str">
        <x:v>ok</x:v>
      </x:c>
      <x:c r="U939" s="32" t="str">
        <x:v>ok</x:v>
      </x:c>
      <x:c r="V939" s="32" t="str">
        <x:v>ok</x:v>
      </x:c>
      <x:c r="W939" s="154" t="str">
        <x:v>{"schema_version":1,"imei":"862323089930724","timestamp":1786026353,"report_sequence":39,"task_version":"rice_tension_soil_demo","sensor_mode":"tension_soil","soil_moisture_percent":35.6,"soil_temperature_c":25.5,"soil_ec_us_cm":1096,"soil_ph":6.52,"battery_mv":3920,"csq":17,"soil_rs485_status":"ok","cycle_status":"ok","soil_tension_kpa":-39.6,"soil_tension_rs485_status":"ok"}</x:v>
      </x:c>
    </x:row>
    <x:row r="940">
      <x:c r="A940" s="72" t="n">
        <x:v>46240.938113425924</x:v>
      </x:c>
      <x:c r="B940" s="72" t="n">
        <x:v>46240.93812731482</x:v>
      </x:c>
      <x:c r="C940" s="32" t="str">
        <x:v>P01</x:v>
      </x:c>
      <x:c r="D940" s="32" t="str">
        <x:v>B1-W0-V1</x:v>
      </x:c>
      <x:c r="E940" s="32" t="str">
        <x:v>B1</x:v>
      </x:c>
      <x:c r="F940" s="32" t="str">
        <x:v>W0</x:v>
      </x:c>
      <x:c r="G940" s="32" t="str">
        <x:v>V1</x:v>
      </x:c>
      <x:c r="H940" s="32" t="str">
        <x:v>water_soil</x:v>
      </x:c>
      <x:c r="I940" s="32" t="str">
        <x:v>862323089930701</x:v>
      </x:c>
      <x:c r="J940" s="82" t="n">
        <x:v>34</x:v>
      </x:c>
      <x:c r="K940" s="82"/>
      <x:c r="L940" s="82" t="n">
        <x:v>36.2</x:v>
      </x:c>
      <x:c r="M940" s="82" t="n">
        <x:v>25.4</x:v>
      </x:c>
      <x:c r="N940" s="86" t="n">
        <x:v>813</x:v>
      </x:c>
      <x:c r="O940" s="90" t="n">
        <x:v>6.37</x:v>
      </x:c>
      <x:c r="P940" s="150" t="n">
        <x:v>3.938</x:v>
      </x:c>
      <x:c r="Q940" s="86" t="n">
        <x:v>18</x:v>
      </x:c>
      <x:c r="R940" s="32" t="str">
        <x:v>ok</x:v>
      </x:c>
      <x:c r="S940" s="32"/>
      <x:c r="T940" s="32" t="str">
        <x:v>ok</x:v>
      </x:c>
      <x:c r="U940" s="32" t="str">
        <x:v>ok</x:v>
      </x:c>
      <x:c r="V940" s="32" t="str">
        <x:v>ok</x:v>
      </x:c>
      <x:c r="W940" s="154" t="str">
        <x:v>{"schema_version":1,"imei":"862323089930701","timestamp":1786026653,"report_sequence":40,"task_version":"rice_w0_water_soil_demo","sensor_mode":"water_soil","soil_moisture_percent":36.2,"soil_temperature_c":25.4,"soil_ec_us_cm":813,"soil_ph":6.37,"battery_mv":3938,"csq":18,"soil_rs485_status":"ok","cycle_status":"ok","water_level_mm":34,"water_4_20ma_status":"ok"}</x:v>
      </x:c>
    </x:row>
    <x:row r="941">
      <x:c r="A941" s="72" t="n">
        <x:v>46240.938113425924</x:v>
      </x:c>
      <x:c r="B941" s="72" t="n">
        <x:v>46240.93812731482</x:v>
      </x:c>
      <x:c r="C941" s="32" t="str">
        <x:v>P02</x:v>
      </x:c>
      <x:c r="D941" s="32" t="str">
        <x:v>B1-W0-V2</x:v>
      </x:c>
      <x:c r="E941" s="32" t="str">
        <x:v>B1</x:v>
      </x:c>
      <x:c r="F941" s="32" t="str">
        <x:v>W0</x:v>
      </x:c>
      <x:c r="G941" s="32" t="str">
        <x:v>V2</x:v>
      </x:c>
      <x:c r="H941" s="32" t="str">
        <x:v>water_soil</x:v>
      </x:c>
      <x:c r="I941" s="32" t="str">
        <x:v>862323089930702</x:v>
      </x:c>
      <x:c r="J941" s="82" t="n">
        <x:v>35.9</x:v>
      </x:c>
      <x:c r="K941" s="82"/>
      <x:c r="L941" s="82" t="n">
        <x:v>36.8</x:v>
      </x:c>
      <x:c r="M941" s="82" t="n">
        <x:v>25.3</x:v>
      </x:c>
      <x:c r="N941" s="86" t="n">
        <x:v>817</x:v>
      </x:c>
      <x:c r="O941" s="90" t="n">
        <x:v>6.41</x:v>
      </x:c>
      <x:c r="P941" s="150" t="n">
        <x:v>3.956</x:v>
      </x:c>
      <x:c r="Q941" s="86" t="n">
        <x:v>19</x:v>
      </x:c>
      <x:c r="R941" s="32" t="str">
        <x:v>ok</x:v>
      </x:c>
      <x:c r="S941" s="32"/>
      <x:c r="T941" s="32" t="str">
        <x:v>ok</x:v>
      </x:c>
      <x:c r="U941" s="32" t="str">
        <x:v>ok</x:v>
      </x:c>
      <x:c r="V941" s="32" t="str">
        <x:v>ok</x:v>
      </x:c>
      <x:c r="W941" s="154" t="str">
        <x:v>{"schema_version":1,"imei":"862323089930702","timestamp":1786026653,"report_sequence":40,"task_version":"rice_w0_water_soil_demo","sensor_mode":"water_soil","soil_moisture_percent":36.8,"soil_temperature_c":25.3,"soil_ec_us_cm":817,"soil_ph":6.41,"battery_mv":3956,"csq":19,"soil_rs485_status":"ok","cycle_status":"ok","water_level_mm":35.9,"water_4_20ma_status":"ok"}</x:v>
      </x:c>
    </x:row>
    <x:row r="942">
      <x:c r="A942" s="72" t="n">
        <x:v>46240.938113425924</x:v>
      </x:c>
      <x:c r="B942" s="72" t="n">
        <x:v>46240.93812731482</x:v>
      </x:c>
      <x:c r="C942" s="32" t="str">
        <x:v>P03</x:v>
      </x:c>
      <x:c r="D942" s="32" t="str">
        <x:v>B1-W1-V1</x:v>
      </x:c>
      <x:c r="E942" s="32" t="str">
        <x:v>B1</x:v>
      </x:c>
      <x:c r="F942" s="32" t="str">
        <x:v>W1</x:v>
      </x:c>
      <x:c r="G942" s="32" t="str">
        <x:v>V1</x:v>
      </x:c>
      <x:c r="H942" s="32" t="str">
        <x:v>tension_soil</x:v>
      </x:c>
      <x:c r="I942" s="32" t="str">
        <x:v>862323089930703</x:v>
      </x:c>
      <x:c r="J942" s="82"/>
      <x:c r="K942" s="82" t="n">
        <x:v>-26.3</x:v>
      </x:c>
      <x:c r="L942" s="82" t="n">
        <x:v>37.3</x:v>
      </x:c>
      <x:c r="M942" s="82" t="n">
        <x:v>25.2</x:v>
      </x:c>
      <x:c r="N942" s="86" t="n">
        <x:v>821</x:v>
      </x:c>
      <x:c r="O942" s="90" t="n">
        <x:v>6.45</x:v>
      </x:c>
      <x:c r="P942" s="150" t="n">
        <x:v>3.974</x:v>
      </x:c>
      <x:c r="Q942" s="86" t="n">
        <x:v>20</x:v>
      </x:c>
      <x:c r="R942" s="32"/>
      <x:c r="S942" s="32" t="str">
        <x:v>ok</x:v>
      </x:c>
      <x:c r="T942" s="32" t="str">
        <x:v>ok</x:v>
      </x:c>
      <x:c r="U942" s="32" t="str">
        <x:v>ok</x:v>
      </x:c>
      <x:c r="V942" s="32" t="str">
        <x:v>ok</x:v>
      </x:c>
      <x:c r="W942" s="154" t="str">
        <x:v>{"schema_version":1,"imei":"862323089930703","timestamp":1786026653,"report_sequence":40,"task_version":"rice_tension_soil_demo","sensor_mode":"tension_soil","soil_moisture_percent":37.3,"soil_temperature_c":25.2,"soil_ec_us_cm":821,"soil_ph":6.45,"battery_mv":3974,"csq":20,"soil_rs485_status":"ok","cycle_status":"ok","soil_tension_kpa":-26.3,"soil_tension_rs485_status":"ok"}</x:v>
      </x:c>
    </x:row>
    <x:row r="943">
      <x:c r="A943" s="72" t="n">
        <x:v>46240.938113425924</x:v>
      </x:c>
      <x:c r="B943" s="72" t="n">
        <x:v>46240.93812731482</x:v>
      </x:c>
      <x:c r="C943" s="32" t="str">
        <x:v>P04</x:v>
      </x:c>
      <x:c r="D943" s="32" t="str">
        <x:v>B1-W1-V2</x:v>
      </x:c>
      <x:c r="E943" s="32" t="str">
        <x:v>B1</x:v>
      </x:c>
      <x:c r="F943" s="32" t="str">
        <x:v>W1</x:v>
      </x:c>
      <x:c r="G943" s="32" t="str">
        <x:v>V2</x:v>
      </x:c>
      <x:c r="H943" s="32" t="str">
        <x:v>tension_soil</x:v>
      </x:c>
      <x:c r="I943" s="32" t="str">
        <x:v>862323089930704</x:v>
      </x:c>
      <x:c r="J943" s="82"/>
      <x:c r="K943" s="82" t="n">
        <x:v>-26.8</x:v>
      </x:c>
      <x:c r="L943" s="82" t="n">
        <x:v>37.8</x:v>
      </x:c>
      <x:c r="M943" s="82" t="n">
        <x:v>25</x:v>
      </x:c>
      <x:c r="N943" s="86" t="n">
        <x:v>824</x:v>
      </x:c>
      <x:c r="O943" s="90" t="n">
        <x:v>6.5</x:v>
      </x:c>
      <x:c r="P943" s="150" t="n">
        <x:v>3.992</x:v>
      </x:c>
      <x:c r="Q943" s="86" t="n">
        <x:v>21</x:v>
      </x:c>
      <x:c r="R943" s="32"/>
      <x:c r="S943" s="32" t="str">
        <x:v>ok</x:v>
      </x:c>
      <x:c r="T943" s="32" t="str">
        <x:v>ok</x:v>
      </x:c>
      <x:c r="U943" s="32" t="str">
        <x:v>ok</x:v>
      </x:c>
      <x:c r="V943" s="32" t="str">
        <x:v>ok</x:v>
      </x:c>
      <x:c r="W943" s="154" t="str">
        <x:v>{"schema_version":1,"imei":"862323089930704","timestamp":1786026653,"report_sequence":40,"task_version":"rice_tension_soil_demo","sensor_mode":"tension_soil","soil_moisture_percent":37.8,"soil_temperature_c":25,"soil_ec_us_cm":824,"soil_ph":6.5,"battery_mv":3992,"csq":21,"soil_rs485_status":"ok","cycle_status":"ok","soil_tension_kpa":-26.8,"soil_tension_rs485_status":"ok"}</x:v>
      </x:c>
    </x:row>
    <x:row r="944">
      <x:c r="A944" s="72" t="n">
        <x:v>46240.938113425924</x:v>
      </x:c>
      <x:c r="B944" s="72" t="n">
        <x:v>46240.93812731482</x:v>
      </x:c>
      <x:c r="C944" s="32" t="str">
        <x:v>P05</x:v>
      </x:c>
      <x:c r="D944" s="32" t="str">
        <x:v>B1-W2-V1</x:v>
      </x:c>
      <x:c r="E944" s="32" t="str">
        <x:v>B1</x:v>
      </x:c>
      <x:c r="F944" s="32" t="str">
        <x:v>W2</x:v>
      </x:c>
      <x:c r="G944" s="32" t="str">
        <x:v>V1</x:v>
      </x:c>
      <x:c r="H944" s="32" t="str">
        <x:v>tension_soil</x:v>
      </x:c>
      <x:c r="I944" s="32" t="str">
        <x:v>862323089930705</x:v>
      </x:c>
      <x:c r="J944" s="82"/>
      <x:c r="K944" s="82" t="n">
        <x:v>-33.3</x:v>
      </x:c>
      <x:c r="L944" s="82" t="n">
        <x:v>38.3</x:v>
      </x:c>
      <x:c r="M944" s="82" t="n">
        <x:v>24.9</x:v>
      </x:c>
      <x:c r="N944" s="86" t="n">
        <x:v>828</x:v>
      </x:c>
      <x:c r="O944" s="90" t="n">
        <x:v>6.29</x:v>
      </x:c>
      <x:c r="P944" s="150" t="n">
        <x:v>4.01</x:v>
      </x:c>
      <x:c r="Q944" s="86" t="n">
        <x:v>22</x:v>
      </x:c>
      <x:c r="R944" s="32"/>
      <x:c r="S944" s="32" t="str">
        <x:v>ok</x:v>
      </x:c>
      <x:c r="T944" s="32" t="str">
        <x:v>ok</x:v>
      </x:c>
      <x:c r="U944" s="32" t="str">
        <x:v>ok</x:v>
      </x:c>
      <x:c r="V944" s="32" t="str">
        <x:v>ok</x:v>
      </x:c>
      <x:c r="W944" s="154" t="str">
        <x:v>{"schema_version":1,"imei":"862323089930705","timestamp":1786026653,"report_sequence":40,"task_version":"rice_tension_soil_demo","sensor_mode":"tension_soil","soil_moisture_percent":38.3,"soil_temperature_c":24.9,"soil_ec_us_cm":828,"soil_ph":6.29,"battery_mv":4010,"csq":22,"soil_rs485_status":"ok","cycle_status":"ok","soil_tension_kpa":-33.3,"soil_tension_rs485_status":"ok"}</x:v>
      </x:c>
    </x:row>
    <x:row r="945">
      <x:c r="A945" s="72" t="n">
        <x:v>46240.938113425924</x:v>
      </x:c>
      <x:c r="B945" s="72" t="n">
        <x:v>46240.93812731482</x:v>
      </x:c>
      <x:c r="C945" s="32" t="str">
        <x:v>P06</x:v>
      </x:c>
      <x:c r="D945" s="32" t="str">
        <x:v>B1-W2-V2</x:v>
      </x:c>
      <x:c r="E945" s="32" t="str">
        <x:v>B1</x:v>
      </x:c>
      <x:c r="F945" s="32" t="str">
        <x:v>W2</x:v>
      </x:c>
      <x:c r="G945" s="32" t="str">
        <x:v>V2</x:v>
      </x:c>
      <x:c r="H945" s="32" t="str">
        <x:v>tension_soil</x:v>
      </x:c>
      <x:c r="I945" s="32" t="str">
        <x:v>862323089930706</x:v>
      </x:c>
      <x:c r="J945" s="82"/>
      <x:c r="K945" s="82" t="n">
        <x:v>-33.9</x:v>
      </x:c>
      <x:c r="L945" s="82" t="n">
        <x:v>38.9</x:v>
      </x:c>
      <x:c r="M945" s="82" t="n">
        <x:v>24.8</x:v>
      </x:c>
      <x:c r="N945" s="86" t="n">
        <x:v>832</x:v>
      </x:c>
      <x:c r="O945" s="90" t="n">
        <x:v>6.33</x:v>
      </x:c>
      <x:c r="P945" s="150" t="n">
        <x:v>3.92</x:v>
      </x:c>
      <x:c r="Q945" s="86" t="n">
        <x:v>23</x:v>
      </x:c>
      <x:c r="R945" s="32"/>
      <x:c r="S945" s="32" t="str">
        <x:v>ok</x:v>
      </x:c>
      <x:c r="T945" s="32" t="str">
        <x:v>ok</x:v>
      </x:c>
      <x:c r="U945" s="32" t="str">
        <x:v>ok</x:v>
      </x:c>
      <x:c r="V945" s="32" t="str">
        <x:v>ok</x:v>
      </x:c>
      <x:c r="W945" s="154" t="str">
        <x:v>{"schema_version":1,"imei":"862323089930706","timestamp":1786026653,"report_sequence":40,"task_version":"rice_tension_soil_demo","sensor_mode":"tension_soil","soil_moisture_percent":38.9,"soil_temperature_c":24.8,"soil_ec_us_cm":832,"soil_ph":6.33,"battery_mv":3920,"csq":23,"soil_rs485_status":"ok","cycle_status":"ok","soil_tension_kpa":-33.9,"soil_tension_rs485_status":"ok"}</x:v>
      </x:c>
    </x:row>
    <x:row r="946">
      <x:c r="A946" s="72" t="n">
        <x:v>46240.938113425924</x:v>
      </x:c>
      <x:c r="B946" s="72" t="n">
        <x:v>46240.93812731482</x:v>
      </x:c>
      <x:c r="C946" s="32" t="str">
        <x:v>P07</x:v>
      </x:c>
      <x:c r="D946" s="32" t="str">
        <x:v>B2-W0-V1</x:v>
      </x:c>
      <x:c r="E946" s="32" t="str">
        <x:v>B2</x:v>
      </x:c>
      <x:c r="F946" s="32" t="str">
        <x:v>W0</x:v>
      </x:c>
      <x:c r="G946" s="32" t="str">
        <x:v>V1</x:v>
      </x:c>
      <x:c r="H946" s="32" t="str">
        <x:v>water_soil</x:v>
      </x:c>
      <x:c r="I946" s="32" t="str">
        <x:v>862323089930707</x:v>
      </x:c>
      <x:c r="J946" s="82" t="n">
        <x:v>33.2</x:v>
      </x:c>
      <x:c r="K946" s="82"/>
      <x:c r="L946" s="82" t="n">
        <x:v>39.5</x:v>
      </x:c>
      <x:c r="M946" s="82" t="n">
        <x:v>24.7</x:v>
      </x:c>
      <x:c r="N946" s="86" t="n">
        <x:v>838</x:v>
      </x:c>
      <x:c r="O946" s="90" t="n">
        <x:v>6.38</x:v>
      </x:c>
      <x:c r="P946" s="150" t="n">
        <x:v>3.938</x:v>
      </x:c>
      <x:c r="Q946" s="86" t="n">
        <x:v>24</x:v>
      </x:c>
      <x:c r="R946" s="32" t="str">
        <x:v>ok</x:v>
      </x:c>
      <x:c r="S946" s="32"/>
      <x:c r="T946" s="32" t="str">
        <x:v>ok</x:v>
      </x:c>
      <x:c r="U946" s="32" t="str">
        <x:v>ok</x:v>
      </x:c>
      <x:c r="V946" s="32" t="str">
        <x:v>ok</x:v>
      </x:c>
      <x:c r="W946" s="154" t="str">
        <x:v>{"schema_version":1,"imei":"862323089930707","timestamp":1786026653,"report_sequence":40,"task_version":"rice_w0_water_soil_demo","sensor_mode":"water_soil","soil_moisture_percent":39.5,"soil_temperature_c":24.7,"soil_ec_us_cm":838,"soil_ph":6.38,"battery_mv":3938,"csq":24,"soil_rs485_status":"ok","cycle_status":"ok","water_level_mm":33.2,"water_4_20ma_status":"ok"}</x:v>
      </x:c>
    </x:row>
    <x:row r="947">
      <x:c r="A947" s="72" t="n">
        <x:v>46240.938113425924</x:v>
      </x:c>
      <x:c r="B947" s="72" t="n">
        <x:v>46240.93812731482</x:v>
      </x:c>
      <x:c r="C947" s="32" t="str">
        <x:v>P08</x:v>
      </x:c>
      <x:c r="D947" s="32" t="str">
        <x:v>B2-W0-V2</x:v>
      </x:c>
      <x:c r="E947" s="32" t="str">
        <x:v>B2</x:v>
      </x:c>
      <x:c r="F947" s="32" t="str">
        <x:v>W0</x:v>
      </x:c>
      <x:c r="G947" s="32" t="str">
        <x:v>V2</x:v>
      </x:c>
      <x:c r="H947" s="32" t="str">
        <x:v>water_soil</x:v>
      </x:c>
      <x:c r="I947" s="32" t="str">
        <x:v>862323089930708</x:v>
      </x:c>
      <x:c r="J947" s="82" t="n">
        <x:v>23.5</x:v>
      </x:c>
      <x:c r="K947" s="82"/>
      <x:c r="L947" s="82" t="n">
        <x:v>32.2</x:v>
      </x:c>
      <x:c r="M947" s="82" t="n">
        <x:v>24.7</x:v>
      </x:c>
      <x:c r="N947" s="86" t="n">
        <x:v>845</x:v>
      </x:c>
      <x:c r="O947" s="90" t="n">
        <x:v>6.42</x:v>
      </x:c>
      <x:c r="P947" s="150" t="n">
        <x:v>3.956</x:v>
      </x:c>
      <x:c r="Q947" s="86" t="n">
        <x:v>17</x:v>
      </x:c>
      <x:c r="R947" s="32" t="str">
        <x:v>ok</x:v>
      </x:c>
      <x:c r="S947" s="32"/>
      <x:c r="T947" s="32" t="str">
        <x:v>ok</x:v>
      </x:c>
      <x:c r="U947" s="32" t="str">
        <x:v>ok</x:v>
      </x:c>
      <x:c r="V947" s="32" t="str">
        <x:v>ok</x:v>
      </x:c>
      <x:c r="W947" s="154" t="str">
        <x:v>{"schema_version":1,"imei":"862323089930708","timestamp":1786026653,"report_sequence":40,"task_version":"rice_w0_water_soil_demo","sensor_mode":"water_soil","soil_moisture_percent":32.2,"soil_temperature_c":24.7,"soil_ec_us_cm":845,"soil_ph":6.42,"battery_mv":3956,"csq":17,"soil_rs485_status":"ok","cycle_status":"ok","water_level_mm":23.5,"water_4_20ma_status":"ok"}</x:v>
      </x:c>
    </x:row>
    <x:row r="948">
      <x:c r="A948" s="72" t="n">
        <x:v>46240.938113425924</x:v>
      </x:c>
      <x:c r="B948" s="72" t="n">
        <x:v>46240.93812731482</x:v>
      </x:c>
      <x:c r="C948" s="32" t="str">
        <x:v>P09</x:v>
      </x:c>
      <x:c r="D948" s="32" t="str">
        <x:v>B2-W1-V1</x:v>
      </x:c>
      <x:c r="E948" s="32" t="str">
        <x:v>B2</x:v>
      </x:c>
      <x:c r="F948" s="32" t="str">
        <x:v>W1</x:v>
      </x:c>
      <x:c r="G948" s="32" t="str">
        <x:v>V1</x:v>
      </x:c>
      <x:c r="H948" s="32" t="str">
        <x:v>tension_soil</x:v>
      </x:c>
      <x:c r="I948" s="32" t="str">
        <x:v>862323089930709</x:v>
      </x:c>
      <x:c r="J948" s="82"/>
      <x:c r="K948" s="82" t="n">
        <x:v>-25</x:v>
      </x:c>
      <x:c r="L948" s="82" t="n">
        <x:v>33</x:v>
      </x:c>
      <x:c r="M948" s="82" t="n">
        <x:v>24.6</x:v>
      </x:c>
      <x:c r="N948" s="86" t="n">
        <x:v>854</x:v>
      </x:c>
      <x:c r="O948" s="90" t="n">
        <x:v>6.47</x:v>
      </x:c>
      <x:c r="P948" s="150" t="n">
        <x:v>3.974</x:v>
      </x:c>
      <x:c r="Q948" s="86" t="n">
        <x:v>18</x:v>
      </x:c>
      <x:c r="R948" s="32"/>
      <x:c r="S948" s="32" t="str">
        <x:v>ok</x:v>
      </x:c>
      <x:c r="T948" s="32" t="str">
        <x:v>ok</x:v>
      </x:c>
      <x:c r="U948" s="32" t="str">
        <x:v>ok</x:v>
      </x:c>
      <x:c r="V948" s="32" t="str">
        <x:v>ok</x:v>
      </x:c>
      <x:c r="W948" s="154" t="str">
        <x:v>{"schema_version":1,"imei":"862323089930709","timestamp":1786026653,"report_sequence":40,"task_version":"rice_tension_soil_demo","sensor_mode":"tension_soil","soil_moisture_percent":33,"soil_temperature_c":24.6,"soil_ec_us_cm":854,"soil_ph":6.47,"battery_mv":3974,"csq":18,"soil_rs485_status":"ok","cycle_status":"ok","soil_tension_kpa":-25,"soil_tension_rs485_status":"ok"}</x:v>
      </x:c>
    </x:row>
    <x:row r="949">
      <x:c r="A949" s="72" t="n">
        <x:v>46240.938113425924</x:v>
      </x:c>
      <x:c r="B949" s="72" t="n">
        <x:v>46240.93812731482</x:v>
      </x:c>
      <x:c r="C949" s="32" t="str">
        <x:v>P10</x:v>
      </x:c>
      <x:c r="D949" s="32" t="str">
        <x:v>B2-W1-V2</x:v>
      </x:c>
      <x:c r="E949" s="32" t="str">
        <x:v>B2</x:v>
      </x:c>
      <x:c r="F949" s="32" t="str">
        <x:v>W1</x:v>
      </x:c>
      <x:c r="G949" s="32" t="str">
        <x:v>V2</x:v>
      </x:c>
      <x:c r="H949" s="32" t="str">
        <x:v>tension_soil</x:v>
      </x:c>
      <x:c r="I949" s="32" t="str">
        <x:v>862323089930710</x:v>
      </x:c>
      <x:c r="J949" s="82"/>
      <x:c r="K949" s="82" t="n">
        <x:v>-21</x:v>
      </x:c>
      <x:c r="L949" s="82" t="n">
        <x:v>34</x:v>
      </x:c>
      <x:c r="M949" s="82" t="n">
        <x:v>24.6</x:v>
      </x:c>
      <x:c r="N949" s="86" t="n">
        <x:v>865</x:v>
      </x:c>
      <x:c r="O949" s="90" t="n">
        <x:v>6.27</x:v>
      </x:c>
      <x:c r="P949" s="150" t="n">
        <x:v>3.992</x:v>
      </x:c>
      <x:c r="Q949" s="86" t="n">
        <x:v>19</x:v>
      </x:c>
      <x:c r="R949" s="32"/>
      <x:c r="S949" s="32" t="str">
        <x:v>ok</x:v>
      </x:c>
      <x:c r="T949" s="32" t="str">
        <x:v>ok</x:v>
      </x:c>
      <x:c r="U949" s="32" t="str">
        <x:v>ok</x:v>
      </x:c>
      <x:c r="V949" s="32" t="str">
        <x:v>ok</x:v>
      </x:c>
      <x:c r="W949" s="154" t="str">
        <x:v>{"schema_version":1,"imei":"862323089930710","timestamp":1786026653,"report_sequence":40,"task_version":"rice_tension_soil_demo","sensor_mode":"tension_soil","soil_moisture_percent":34,"soil_temperature_c":24.6,"soil_ec_us_cm":865,"soil_ph":6.27,"battery_mv":3992,"csq":19,"soil_rs485_status":"ok","cycle_status":"ok","soil_tension_kpa":-21,"soil_tension_rs485_status":"ok"}</x:v>
      </x:c>
    </x:row>
    <x:row r="950">
      <x:c r="A950" s="72" t="n">
        <x:v>46240.938113425924</x:v>
      </x:c>
      <x:c r="B950" s="72" t="n">
        <x:v>46240.93812731482</x:v>
      </x:c>
      <x:c r="C950" s="32" t="str">
        <x:v>P11</x:v>
      </x:c>
      <x:c r="D950" s="32" t="str">
        <x:v>B2-W2-V1</x:v>
      </x:c>
      <x:c r="E950" s="32" t="str">
        <x:v>B2</x:v>
      </x:c>
      <x:c r="F950" s="32" t="str">
        <x:v>W2</x:v>
      </x:c>
      <x:c r="G950" s="32" t="str">
        <x:v>V1</x:v>
      </x:c>
      <x:c r="H950" s="32" t="str">
        <x:v>tension_soil</x:v>
      </x:c>
      <x:c r="I950" s="32" t="str">
        <x:v>862323089930711</x:v>
      </x:c>
      <x:c r="J950" s="82"/>
      <x:c r="K950" s="82" t="n">
        <x:v>-33.1</x:v>
      </x:c>
      <x:c r="L950" s="82" t="n">
        <x:v>35.1</x:v>
      </x:c>
      <x:c r="M950" s="82" t="n">
        <x:v>24.6</x:v>
      </x:c>
      <x:c r="N950" s="86" t="n">
        <x:v>878</x:v>
      </x:c>
      <x:c r="O950" s="90" t="n">
        <x:v>6.32</x:v>
      </x:c>
      <x:c r="P950" s="150" t="n">
        <x:v>4.01</x:v>
      </x:c>
      <x:c r="Q950" s="86" t="n">
        <x:v>20</x:v>
      </x:c>
      <x:c r="R950" s="32"/>
      <x:c r="S950" s="32" t="str">
        <x:v>ok</x:v>
      </x:c>
      <x:c r="T950" s="32" t="str">
        <x:v>ok</x:v>
      </x:c>
      <x:c r="U950" s="32" t="str">
        <x:v>ok</x:v>
      </x:c>
      <x:c r="V950" s="32" t="str">
        <x:v>ok</x:v>
      </x:c>
      <x:c r="W950" s="154" t="str">
        <x:v>{"schema_version":1,"imei":"862323089930711","timestamp":1786026653,"report_sequence":40,"task_version":"rice_tension_soil_demo","sensor_mode":"tension_soil","soil_moisture_percent":35.1,"soil_temperature_c":24.6,"soil_ec_us_cm":878,"soil_ph":6.32,"battery_mv":4010,"csq":20,"soil_rs485_status":"ok","cycle_status":"ok","soil_tension_kpa":-33.1,"soil_tension_rs485_status":"ok"}</x:v>
      </x:c>
    </x:row>
    <x:row r="951">
      <x:c r="A951" s="72" t="n">
        <x:v>46240.938113425924</x:v>
      </x:c>
      <x:c r="B951" s="72" t="n">
        <x:v>46240.93812731482</x:v>
      </x:c>
      <x:c r="C951" s="32" t="str">
        <x:v>P12</x:v>
      </x:c>
      <x:c r="D951" s="32" t="str">
        <x:v>B2-W2-V2</x:v>
      </x:c>
      <x:c r="E951" s="32" t="str">
        <x:v>B2</x:v>
      </x:c>
      <x:c r="F951" s="32" t="str">
        <x:v>W2</x:v>
      </x:c>
      <x:c r="G951" s="32" t="str">
        <x:v>V2</x:v>
      </x:c>
      <x:c r="H951" s="32" t="str">
        <x:v>tension_soil</x:v>
      </x:c>
      <x:c r="I951" s="32" t="str">
        <x:v>862323089930712</x:v>
      </x:c>
      <x:c r="J951" s="82"/>
      <x:c r="K951" s="82" t="n">
        <x:v>-34.3</x:v>
      </x:c>
      <x:c r="L951" s="82" t="n">
        <x:v>36.3</x:v>
      </x:c>
      <x:c r="M951" s="82" t="n">
        <x:v>24.7</x:v>
      </x:c>
      <x:c r="N951" s="86" t="n">
        <x:v>894</x:v>
      </x:c>
      <x:c r="O951" s="90" t="n">
        <x:v>6.37</x:v>
      </x:c>
      <x:c r="P951" s="150" t="n">
        <x:v>3.92</x:v>
      </x:c>
      <x:c r="Q951" s="86" t="n">
        <x:v>21</x:v>
      </x:c>
      <x:c r="R951" s="32"/>
      <x:c r="S951" s="32" t="str">
        <x:v>ok</x:v>
      </x:c>
      <x:c r="T951" s="32" t="str">
        <x:v>ok</x:v>
      </x:c>
      <x:c r="U951" s="32" t="str">
        <x:v>ok</x:v>
      </x:c>
      <x:c r="V951" s="32" t="str">
        <x:v>ok</x:v>
      </x:c>
      <x:c r="W951" s="154" t="str">
        <x:v>{"schema_version":1,"imei":"862323089930712","timestamp":1786026653,"report_sequence":40,"task_version":"rice_tension_soil_demo","sensor_mode":"tension_soil","soil_moisture_percent":36.3,"soil_temperature_c":24.7,"soil_ec_us_cm":894,"soil_ph":6.37,"battery_mv":3920,"csq":21,"soil_rs485_status":"ok","cycle_status":"ok","soil_tension_kpa":-34.3,"soil_tension_rs485_status":"ok"}</x:v>
      </x:c>
    </x:row>
    <x:row r="952">
      <x:c r="A952" s="72" t="n">
        <x:v>46240.938113425924</x:v>
      </x:c>
      <x:c r="B952" s="72" t="n">
        <x:v>46240.93812731482</x:v>
      </x:c>
      <x:c r="C952" s="32" t="str">
        <x:v>P13</x:v>
      </x:c>
      <x:c r="D952" s="32" t="str">
        <x:v>B3-W0-V1</x:v>
      </x:c>
      <x:c r="E952" s="32" t="str">
        <x:v>B3</x:v>
      </x:c>
      <x:c r="F952" s="32" t="str">
        <x:v>W0</x:v>
      </x:c>
      <x:c r="G952" s="32" t="str">
        <x:v>V1</x:v>
      </x:c>
      <x:c r="H952" s="32" t="str">
        <x:v>water_soil</x:v>
      </x:c>
      <x:c r="I952" s="32" t="str">
        <x:v>862323089930713</x:v>
      </x:c>
      <x:c r="J952" s="82" t="n">
        <x:v>27.5</x:v>
      </x:c>
      <x:c r="K952" s="82"/>
      <x:c r="L952" s="82" t="n">
        <x:v>37.6</x:v>
      </x:c>
      <x:c r="M952" s="82" t="n">
        <x:v>24.7</x:v>
      </x:c>
      <x:c r="N952" s="86" t="n">
        <x:v>911</x:v>
      </x:c>
      <x:c r="O952" s="90" t="n">
        <x:v>6.43</x:v>
      </x:c>
      <x:c r="P952" s="150" t="n">
        <x:v>3.938</x:v>
      </x:c>
      <x:c r="Q952" s="86" t="n">
        <x:v>22</x:v>
      </x:c>
      <x:c r="R952" s="32" t="str">
        <x:v>ok</x:v>
      </x:c>
      <x:c r="S952" s="32"/>
      <x:c r="T952" s="32" t="str">
        <x:v>ok</x:v>
      </x:c>
      <x:c r="U952" s="32" t="str">
        <x:v>ok</x:v>
      </x:c>
      <x:c r="V952" s="32" t="str">
        <x:v>ok</x:v>
      </x:c>
      <x:c r="W952" s="154" t="str">
        <x:v>{"schema_version":1,"imei":"862323089930713","timestamp":1786026653,"report_sequence":40,"task_version":"rice_w0_water_soil_demo","sensor_mode":"water_soil","soil_moisture_percent":37.6,"soil_temperature_c":24.7,"soil_ec_us_cm":911,"soil_ph":6.43,"battery_mv":3938,"csq":22,"soil_rs485_status":"ok","cycle_status":"ok","water_level_mm":27.5,"water_4_20ma_status":"ok"}</x:v>
      </x:c>
    </x:row>
    <x:row r="953">
      <x:c r="A953" s="72" t="n">
        <x:v>46240.938113425924</x:v>
      </x:c>
      <x:c r="B953" s="72" t="n">
        <x:v>46240.93812731482</x:v>
      </x:c>
      <x:c r="C953" s="32" t="str">
        <x:v>P14</x:v>
      </x:c>
      <x:c r="D953" s="32" t="str">
        <x:v>B3-W0-V2</x:v>
      </x:c>
      <x:c r="E953" s="32" t="str">
        <x:v>B3</x:v>
      </x:c>
      <x:c r="F953" s="32" t="str">
        <x:v>W0</x:v>
      </x:c>
      <x:c r="G953" s="32" t="str">
        <x:v>V2</x:v>
      </x:c>
      <x:c r="H953" s="32" t="str">
        <x:v>water_soil</x:v>
      </x:c>
      <x:c r="I953" s="32" t="str">
        <x:v>862323089930714</x:v>
      </x:c>
      <x:c r="J953" s="82" t="n">
        <x:v>31.5</x:v>
      </x:c>
      <x:c r="K953" s="82"/>
      <x:c r="L953" s="82" t="n">
        <x:v>39</x:v>
      </x:c>
      <x:c r="M953" s="82" t="n">
        <x:v>24.8</x:v>
      </x:c>
      <x:c r="N953" s="86" t="n">
        <x:v>930</x:v>
      </x:c>
      <x:c r="O953" s="90" t="n">
        <x:v>6.48</x:v>
      </x:c>
      <x:c r="P953" s="150" t="n">
        <x:v>3.956</x:v>
      </x:c>
      <x:c r="Q953" s="86" t="n">
        <x:v>23</x:v>
      </x:c>
      <x:c r="R953" s="32" t="str">
        <x:v>ok</x:v>
      </x:c>
      <x:c r="S953" s="32"/>
      <x:c r="T953" s="32" t="str">
        <x:v>ok</x:v>
      </x:c>
      <x:c r="U953" s="32" t="str">
        <x:v>ok</x:v>
      </x:c>
      <x:c r="V953" s="32" t="str">
        <x:v>ok</x:v>
      </x:c>
      <x:c r="W953" s="154" t="str">
        <x:v>{"schema_version":1,"imei":"862323089930714","timestamp":1786026653,"report_sequence":40,"task_version":"rice_w0_water_soil_demo","sensor_mode":"water_soil","soil_moisture_percent":39,"soil_temperature_c":24.8,"soil_ec_us_cm":930,"soil_ph":6.48,"battery_mv":3956,"csq":23,"soil_rs485_status":"ok","cycle_status":"ok","water_level_mm":31.5,"water_4_20ma_status":"ok"}</x:v>
      </x:c>
    </x:row>
    <x:row r="954">
      <x:c r="A954" s="72" t="n">
        <x:v>46240.938113425924</x:v>
      </x:c>
      <x:c r="B954" s="72" t="n">
        <x:v>46240.93812731482</x:v>
      </x:c>
      <x:c r="C954" s="32" t="str">
        <x:v>P15</x:v>
      </x:c>
      <x:c r="D954" s="32" t="str">
        <x:v>B3-W1-V1</x:v>
      </x:c>
      <x:c r="E954" s="32" t="str">
        <x:v>B3</x:v>
      </x:c>
      <x:c r="F954" s="32" t="str">
        <x:v>W1</x:v>
      </x:c>
      <x:c r="G954" s="32" t="str">
        <x:v>V1</x:v>
      </x:c>
      <x:c r="H954" s="32" t="str">
        <x:v>tension_soil</x:v>
      </x:c>
      <x:c r="I954" s="32" t="str">
        <x:v>862323089930715</x:v>
      </x:c>
      <x:c r="J954" s="82"/>
      <x:c r="K954" s="82" t="n">
        <x:v>-22.4</x:v>
      </x:c>
      <x:c r="L954" s="82" t="n">
        <x:v>40.4</x:v>
      </x:c>
      <x:c r="M954" s="82" t="n">
        <x:v>25</x:v>
      </x:c>
      <x:c r="N954" s="86" t="n">
        <x:v>950</x:v>
      </x:c>
      <x:c r="O954" s="90" t="n">
        <x:v>6.29</x:v>
      </x:c>
      <x:c r="P954" s="150" t="n">
        <x:v>3.974</x:v>
      </x:c>
      <x:c r="Q954" s="86" t="n">
        <x:v>24</x:v>
      </x:c>
      <x:c r="R954" s="32"/>
      <x:c r="S954" s="32" t="str">
        <x:v>ok</x:v>
      </x:c>
      <x:c r="T954" s="32" t="str">
        <x:v>ok</x:v>
      </x:c>
      <x:c r="U954" s="32" t="str">
        <x:v>ok</x:v>
      </x:c>
      <x:c r="V954" s="32" t="str">
        <x:v>ok</x:v>
      </x:c>
      <x:c r="W954" s="154" t="str">
        <x:v>{"schema_version":1,"imei":"862323089930715","timestamp":1786026653,"report_sequence":40,"task_version":"rice_tension_soil_demo","sensor_mode":"tension_soil","soil_moisture_percent":40.4,"soil_temperature_c":25,"soil_ec_us_cm":950,"soil_ph":6.29,"battery_mv":3974,"csq":24,"soil_rs485_status":"ok","cycle_status":"ok","soil_tension_kpa":-22.4,"soil_tension_rs485_status":"ok"}</x:v>
      </x:c>
    </x:row>
    <x:row r="955">
      <x:c r="A955" s="72" t="n">
        <x:v>46240.938113425924</x:v>
      </x:c>
      <x:c r="B955" s="72" t="n">
        <x:v>46240.93812731482</x:v>
      </x:c>
      <x:c r="C955" s="32" t="str">
        <x:v>P16</x:v>
      </x:c>
      <x:c r="D955" s="32" t="str">
        <x:v>B3-W1-V2</x:v>
      </x:c>
      <x:c r="E955" s="32" t="str">
        <x:v>B3</x:v>
      </x:c>
      <x:c r="F955" s="32" t="str">
        <x:v>W1</x:v>
      </x:c>
      <x:c r="G955" s="32" t="str">
        <x:v>V2</x:v>
      </x:c>
      <x:c r="H955" s="32" t="str">
        <x:v>tension_soil</x:v>
      </x:c>
      <x:c r="I955" s="32" t="str">
        <x:v>862323089930716</x:v>
      </x:c>
      <x:c r="J955" s="82"/>
      <x:c r="K955" s="82" t="n">
        <x:v>-23.9</x:v>
      </x:c>
      <x:c r="L955" s="82" t="n">
        <x:v>33.9</x:v>
      </x:c>
      <x:c r="M955" s="82" t="n">
        <x:v>25.1</x:v>
      </x:c>
      <x:c r="N955" s="86" t="n">
        <x:v>971</x:v>
      </x:c>
      <x:c r="O955" s="90" t="n">
        <x:v>6.35</x:v>
      </x:c>
      <x:c r="P955" s="150" t="n">
        <x:v>3.992</x:v>
      </x:c>
      <x:c r="Q955" s="86" t="n">
        <x:v>17</x:v>
      </x:c>
      <x:c r="R955" s="32"/>
      <x:c r="S955" s="32" t="str">
        <x:v>ok</x:v>
      </x:c>
      <x:c r="T955" s="32" t="str">
        <x:v>ok</x:v>
      </x:c>
      <x:c r="U955" s="32" t="str">
        <x:v>ok</x:v>
      </x:c>
      <x:c r="V955" s="32" t="str">
        <x:v>ok</x:v>
      </x:c>
      <x:c r="W955" s="154" t="str">
        <x:v>{"schema_version":1,"imei":"862323089930716","timestamp":1786026653,"report_sequence":40,"task_version":"rice_tension_soil_demo","sensor_mode":"tension_soil","soil_moisture_percent":33.9,"soil_temperature_c":25.1,"soil_ec_us_cm":971,"soil_ph":6.35,"battery_mv":3992,"csq":17,"soil_rs485_status":"ok","cycle_status":"ok","soil_tension_kpa":-23.9,"soil_tension_rs485_status":"ok"}</x:v>
      </x:c>
    </x:row>
    <x:row r="956">
      <x:c r="A956" s="72" t="n">
        <x:v>46240.938113425924</x:v>
      </x:c>
      <x:c r="B956" s="72" t="n">
        <x:v>46240.93812731482</x:v>
      </x:c>
      <x:c r="C956" s="32" t="str">
        <x:v>P17</x:v>
      </x:c>
      <x:c r="D956" s="32" t="str">
        <x:v>B3-W2-V1</x:v>
      </x:c>
      <x:c r="E956" s="32" t="str">
        <x:v>B3</x:v>
      </x:c>
      <x:c r="F956" s="32" t="str">
        <x:v>W2</x:v>
      </x:c>
      <x:c r="G956" s="32" t="str">
        <x:v>V1</x:v>
      </x:c>
      <x:c r="H956" s="32" t="str">
        <x:v>tension_soil</x:v>
      </x:c>
      <x:c r="I956" s="32" t="str">
        <x:v>862323089930717</x:v>
      </x:c>
      <x:c r="J956" s="82"/>
      <x:c r="K956" s="82" t="n">
        <x:v>-36.4</x:v>
      </x:c>
      <x:c r="L956" s="82" t="n">
        <x:v>35.4</x:v>
      </x:c>
      <x:c r="M956" s="82" t="n">
        <x:v>25.2</x:v>
      </x:c>
      <x:c r="N956" s="86" t="n">
        <x:v>992</x:v>
      </x:c>
      <x:c r="O956" s="90" t="n">
        <x:v>6.41</x:v>
      </x:c>
      <x:c r="P956" s="150" t="n">
        <x:v>4.01</x:v>
      </x:c>
      <x:c r="Q956" s="86" t="n">
        <x:v>18</x:v>
      </x:c>
      <x:c r="R956" s="32"/>
      <x:c r="S956" s="32" t="str">
        <x:v>ok</x:v>
      </x:c>
      <x:c r="T956" s="32" t="str">
        <x:v>ok</x:v>
      </x:c>
      <x:c r="U956" s="32" t="str">
        <x:v>ok</x:v>
      </x:c>
      <x:c r="V956" s="32" t="str">
        <x:v>ok</x:v>
      </x:c>
      <x:c r="W956" s="154" t="str">
        <x:v>{"schema_version":1,"imei":"862323089930717","timestamp":1786026653,"report_sequence":40,"task_version":"rice_tension_soil_demo","sensor_mode":"tension_soil","soil_moisture_percent":35.4,"soil_temperature_c":25.2,"soil_ec_us_cm":992,"soil_ph":6.41,"battery_mv":4010,"csq":18,"soil_rs485_status":"ok","cycle_status":"ok","soil_tension_kpa":-36.4,"soil_tension_rs485_status":"ok"}</x:v>
      </x:c>
    </x:row>
    <x:row r="957">
      <x:c r="A957" s="72" t="n">
        <x:v>46240.938113425924</x:v>
      </x:c>
      <x:c r="B957" s="72" t="n">
        <x:v>46240.93812731482</x:v>
      </x:c>
      <x:c r="C957" s="32" t="str">
        <x:v>P18</x:v>
      </x:c>
      <x:c r="D957" s="32" t="str">
        <x:v>B3-W2-V2</x:v>
      </x:c>
      <x:c r="E957" s="32" t="str">
        <x:v>B3</x:v>
      </x:c>
      <x:c r="F957" s="32" t="str">
        <x:v>W2</x:v>
      </x:c>
      <x:c r="G957" s="32" t="str">
        <x:v>V2</x:v>
      </x:c>
      <x:c r="H957" s="32" t="str">
        <x:v>tension_soil</x:v>
      </x:c>
      <x:c r="I957" s="32" t="str">
        <x:v>862323089930718</x:v>
      </x:c>
      <x:c r="J957" s="82"/>
      <x:c r="K957" s="82" t="n">
        <x:v>-37.9</x:v>
      </x:c>
      <x:c r="L957" s="82" t="n">
        <x:v>36.9</x:v>
      </x:c>
      <x:c r="M957" s="82" t="n">
        <x:v>25.3</x:v>
      </x:c>
      <x:c r="N957" s="86" t="n">
        <x:v>1012</x:v>
      </x:c>
      <x:c r="O957" s="90" t="n">
        <x:v>6.46</x:v>
      </x:c>
      <x:c r="P957" s="150" t="n">
        <x:v>3.92</x:v>
      </x:c>
      <x:c r="Q957" s="86" t="n">
        <x:v>19</x:v>
      </x:c>
      <x:c r="R957" s="32"/>
      <x:c r="S957" s="32" t="str">
        <x:v>ok</x:v>
      </x:c>
      <x:c r="T957" s="32" t="str">
        <x:v>ok</x:v>
      </x:c>
      <x:c r="U957" s="32" t="str">
        <x:v>ok</x:v>
      </x:c>
      <x:c r="V957" s="32" t="str">
        <x:v>ok</x:v>
      </x:c>
      <x:c r="W957" s="154" t="str">
        <x:v>{"schema_version":1,"imei":"862323089930718","timestamp":1786026653,"report_sequence":40,"task_version":"rice_tension_soil_demo","sensor_mode":"tension_soil","soil_moisture_percent":36.9,"soil_temperature_c":25.3,"soil_ec_us_cm":1012,"soil_ph":6.46,"battery_mv":3920,"csq":19,"soil_rs485_status":"ok","cycle_status":"ok","soil_tension_kpa":-37.9,"soil_tension_rs485_status":"ok"}</x:v>
      </x:c>
    </x:row>
    <x:row r="958">
      <x:c r="A958" s="72" t="n">
        <x:v>46240.938113425924</x:v>
      </x:c>
      <x:c r="B958" s="72" t="n">
        <x:v>46240.93812731482</x:v>
      </x:c>
      <x:c r="C958" s="32" t="str">
        <x:v>P19</x:v>
      </x:c>
      <x:c r="D958" s="32" t="str">
        <x:v>B4-W0-V1</x:v>
      </x:c>
      <x:c r="E958" s="32" t="str">
        <x:v>B4</x:v>
      </x:c>
      <x:c r="F958" s="32" t="str">
        <x:v>W0</x:v>
      </x:c>
      <x:c r="G958" s="32" t="str">
        <x:v>V1</x:v>
      </x:c>
      <x:c r="H958" s="32" t="str">
        <x:v>water_soil</x:v>
      </x:c>
      <x:c r="I958" s="32" t="str">
        <x:v>862323089930719</x:v>
      </x:c>
      <x:c r="J958" s="82" t="n">
        <x:v>40.3</x:v>
      </x:c>
      <x:c r="K958" s="82"/>
      <x:c r="L958" s="82" t="n">
        <x:v>38.3</x:v>
      </x:c>
      <x:c r="M958" s="82" t="n">
        <x:v>25.4</x:v>
      </x:c>
      <x:c r="N958" s="86" t="n">
        <x:v>1031</x:v>
      </x:c>
      <x:c r="O958" s="90" t="n">
        <x:v>6.52</x:v>
      </x:c>
      <x:c r="P958" s="150" t="n">
        <x:v>3.938</x:v>
      </x:c>
      <x:c r="Q958" s="86" t="n">
        <x:v>20</x:v>
      </x:c>
      <x:c r="R958" s="32" t="str">
        <x:v>ok</x:v>
      </x:c>
      <x:c r="S958" s="32"/>
      <x:c r="T958" s="32" t="str">
        <x:v>ok</x:v>
      </x:c>
      <x:c r="U958" s="32" t="str">
        <x:v>ok</x:v>
      </x:c>
      <x:c r="V958" s="32" t="str">
        <x:v>ok</x:v>
      </x:c>
      <x:c r="W958" s="154" t="str">
        <x:v>{"schema_version":1,"imei":"862323089930719","timestamp":1786026653,"report_sequence":40,"task_version":"rice_w0_water_soil_demo","sensor_mode":"water_soil","soil_moisture_percent":38.3,"soil_temperature_c":25.4,"soil_ec_us_cm":1031,"soil_ph":6.52,"battery_mv":3938,"csq":20,"soil_rs485_status":"ok","cycle_status":"ok","water_level_mm":40.3,"water_4_20ma_status":"ok"}</x:v>
      </x:c>
    </x:row>
    <x:row r="959">
      <x:c r="A959" s="72" t="n">
        <x:v>46240.938113425924</x:v>
      </x:c>
      <x:c r="B959" s="72" t="n">
        <x:v>46240.93812731482</x:v>
      </x:c>
      <x:c r="C959" s="32" t="str">
        <x:v>P20</x:v>
      </x:c>
      <x:c r="D959" s="32" t="str">
        <x:v>B4-W0-V2</x:v>
      </x:c>
      <x:c r="E959" s="32" t="str">
        <x:v>B4</x:v>
      </x:c>
      <x:c r="F959" s="32" t="str">
        <x:v>W0</x:v>
      </x:c>
      <x:c r="G959" s="32" t="str">
        <x:v>V2</x:v>
      </x:c>
      <x:c r="H959" s="32" t="str">
        <x:v>water_soil</x:v>
      </x:c>
      <x:c r="I959" s="32" t="str">
        <x:v>862323089930720</x:v>
      </x:c>
      <x:c r="J959" s="82" t="n">
        <x:v>32.1</x:v>
      </x:c>
      <x:c r="K959" s="82"/>
      <x:c r="L959" s="82" t="n">
        <x:v>39.6</x:v>
      </x:c>
      <x:c r="M959" s="82" t="n">
        <x:v>25.5</x:v>
      </x:c>
      <x:c r="N959" s="86" t="n">
        <x:v>1049</x:v>
      </x:c>
      <x:c r="O959" s="90" t="n">
        <x:v>6.32</x:v>
      </x:c>
      <x:c r="P959" s="150" t="n">
        <x:v>3.956</x:v>
      </x:c>
      <x:c r="Q959" s="86" t="n">
        <x:v>21</x:v>
      </x:c>
      <x:c r="R959" s="32" t="str">
        <x:v>ok</x:v>
      </x:c>
      <x:c r="S959" s="32"/>
      <x:c r="T959" s="32" t="str">
        <x:v>ok</x:v>
      </x:c>
      <x:c r="U959" s="32" t="str">
        <x:v>ok</x:v>
      </x:c>
      <x:c r="V959" s="32" t="str">
        <x:v>ok</x:v>
      </x:c>
      <x:c r="W959" s="154" t="str">
        <x:v>{"schema_version":1,"imei":"862323089930720","timestamp":1786026653,"report_sequence":40,"task_version":"rice_w0_water_soil_demo","sensor_mode":"water_soil","soil_moisture_percent":39.6,"soil_temperature_c":25.5,"soil_ec_us_cm":1049,"soil_ph":6.32,"battery_mv":3956,"csq":21,"soil_rs485_status":"ok","cycle_status":"ok","water_level_mm":32.1,"water_4_20ma_status":"ok"}</x:v>
      </x:c>
    </x:row>
    <x:row r="960">
      <x:c r="A960" s="72" t="n">
        <x:v>46240.938113425924</x:v>
      </x:c>
      <x:c r="B960" s="72" t="n">
        <x:v>46240.93812731482</x:v>
      </x:c>
      <x:c r="C960" s="32" t="str">
        <x:v>P21</x:v>
      </x:c>
      <x:c r="D960" s="32" t="str">
        <x:v>B4-W1-V1</x:v>
      </x:c>
      <x:c r="E960" s="32" t="str">
        <x:v>B4</x:v>
      </x:c>
      <x:c r="F960" s="32" t="str">
        <x:v>W1</x:v>
      </x:c>
      <x:c r="G960" s="32" t="str">
        <x:v>V1</x:v>
      </x:c>
      <x:c r="H960" s="32" t="str">
        <x:v>tension_soil</x:v>
      </x:c>
      <x:c r="I960" s="32" t="str">
        <x:v>862323089930721</x:v>
      </x:c>
      <x:c r="J960" s="82"/>
      <x:c r="K960" s="82" t="n">
        <x:v>-25.9</x:v>
      </x:c>
      <x:c r="L960" s="82" t="n">
        <x:v>40.9</x:v>
      </x:c>
      <x:c r="M960" s="82" t="n">
        <x:v>25.6</x:v>
      </x:c>
      <x:c r="N960" s="86" t="n">
        <x:v>1065</x:v>
      </x:c>
      <x:c r="O960" s="90" t="n">
        <x:v>6.38</x:v>
      </x:c>
      <x:c r="P960" s="150" t="n">
        <x:v>3.974</x:v>
      </x:c>
      <x:c r="Q960" s="86" t="n">
        <x:v>22</x:v>
      </x:c>
      <x:c r="R960" s="32"/>
      <x:c r="S960" s="32" t="str">
        <x:v>ok</x:v>
      </x:c>
      <x:c r="T960" s="32" t="str">
        <x:v>ok</x:v>
      </x:c>
      <x:c r="U960" s="32" t="str">
        <x:v>ok</x:v>
      </x:c>
      <x:c r="V960" s="32" t="str">
        <x:v>ok</x:v>
      </x:c>
      <x:c r="W960" s="154" t="str">
        <x:v>{"schema_version":1,"imei":"862323089930721","timestamp":1786026653,"report_sequence":40,"task_version":"rice_tension_soil_demo","sensor_mode":"tension_soil","soil_moisture_percent":40.9,"soil_temperature_c":25.6,"soil_ec_us_cm":1065,"soil_ph":6.38,"battery_mv":3974,"csq":22,"soil_rs485_status":"ok","cycle_status":"ok","soil_tension_kpa":-25.9,"soil_tension_rs485_status":"ok"}</x:v>
      </x:c>
    </x:row>
    <x:row r="961">
      <x:c r="A961" s="72" t="n">
        <x:v>46240.938113425924</x:v>
      </x:c>
      <x:c r="B961" s="72" t="n">
        <x:v>46240.93812731482</x:v>
      </x:c>
      <x:c r="C961" s="32" t="str">
        <x:v>P22</x:v>
      </x:c>
      <x:c r="D961" s="32" t="str">
        <x:v>B4-W1-V2</x:v>
      </x:c>
      <x:c r="E961" s="32" t="str">
        <x:v>B4</x:v>
      </x:c>
      <x:c r="F961" s="32" t="str">
        <x:v>W1</x:v>
      </x:c>
      <x:c r="G961" s="32" t="str">
        <x:v>V2</x:v>
      </x:c>
      <x:c r="H961" s="32" t="str">
        <x:v>tension_soil</x:v>
      </x:c>
      <x:c r="I961" s="32" t="str">
        <x:v>862323089930722</x:v>
      </x:c>
      <x:c r="J961" s="82"/>
      <x:c r="K961" s="82" t="n">
        <x:v>-27</x:v>
      </x:c>
      <x:c r="L961" s="82" t="n">
        <x:v>42</x:v>
      </x:c>
      <x:c r="M961" s="82" t="n">
        <x:v>25.6</x:v>
      </x:c>
      <x:c r="N961" s="86" t="n">
        <x:v>1079</x:v>
      </x:c>
      <x:c r="O961" s="90" t="n">
        <x:v>6.43</x:v>
      </x:c>
      <x:c r="P961" s="150" t="n">
        <x:v>3.992</x:v>
      </x:c>
      <x:c r="Q961" s="86" t="n">
        <x:v>23</x:v>
      </x:c>
      <x:c r="R961" s="32"/>
      <x:c r="S961" s="32" t="str">
        <x:v>ok</x:v>
      </x:c>
      <x:c r="T961" s="32" t="str">
        <x:v>ok</x:v>
      </x:c>
      <x:c r="U961" s="32" t="str">
        <x:v>ok</x:v>
      </x:c>
      <x:c r="V961" s="32" t="str">
        <x:v>ok</x:v>
      </x:c>
      <x:c r="W961" s="154" t="str">
        <x:v>{"schema_version":1,"imei":"862323089930722","timestamp":1786026653,"report_sequence":40,"task_version":"rice_tension_soil_demo","sensor_mode":"tension_soil","soil_moisture_percent":42,"soil_temperature_c":25.6,"soil_ec_us_cm":1079,"soil_ph":6.43,"battery_mv":3992,"csq":23,"soil_rs485_status":"ok","cycle_status":"ok","soil_tension_kpa":-27,"soil_tension_rs485_status":"ok"}</x:v>
      </x:c>
    </x:row>
    <x:row r="962">
      <x:c r="A962" s="72" t="n">
        <x:v>46240.938113425924</x:v>
      </x:c>
      <x:c r="B962" s="72" t="n">
        <x:v>46240.93812731482</x:v>
      </x:c>
      <x:c r="C962" s="32" t="str">
        <x:v>P23</x:v>
      </x:c>
      <x:c r="D962" s="32" t="str">
        <x:v>B4-W2-V1</x:v>
      </x:c>
      <x:c r="E962" s="32" t="str">
        <x:v>B4</x:v>
      </x:c>
      <x:c r="F962" s="32" t="str">
        <x:v>W2</x:v>
      </x:c>
      <x:c r="G962" s="32" t="str">
        <x:v>V1</x:v>
      </x:c>
      <x:c r="H962" s="32" t="str">
        <x:v>tension_soil</x:v>
      </x:c>
      <x:c r="I962" s="32" t="str">
        <x:v>862323089930723</x:v>
      </x:c>
      <x:c r="J962" s="82"/>
      <x:c r="K962" s="82" t="n">
        <x:v>-39</x:v>
      </x:c>
      <x:c r="L962" s="82" t="n">
        <x:v>43</x:v>
      </x:c>
      <x:c r="M962" s="82" t="n">
        <x:v>25.6</x:v>
      </x:c>
      <x:c r="N962" s="86" t="n">
        <x:v>1091</x:v>
      </x:c>
      <x:c r="O962" s="90" t="n">
        <x:v>6.48</x:v>
      </x:c>
      <x:c r="P962" s="150" t="n">
        <x:v>4.01</x:v>
      </x:c>
      <x:c r="Q962" s="86" t="n">
        <x:v>24</x:v>
      </x:c>
      <x:c r="R962" s="32"/>
      <x:c r="S962" s="32" t="str">
        <x:v>ok</x:v>
      </x:c>
      <x:c r="T962" s="32" t="str">
        <x:v>ok</x:v>
      </x:c>
      <x:c r="U962" s="32" t="str">
        <x:v>ok</x:v>
      </x:c>
      <x:c r="V962" s="32" t="str">
        <x:v>ok</x:v>
      </x:c>
      <x:c r="W962" s="154" t="str">
        <x:v>{"schema_version":1,"imei":"862323089930723","timestamp":1786026653,"report_sequence":40,"task_version":"rice_tension_soil_demo","sensor_mode":"tension_soil","soil_moisture_percent":43,"soil_temperature_c":25.6,"soil_ec_us_cm":1091,"soil_ph":6.48,"battery_mv":4010,"csq":24,"soil_rs485_status":"ok","cycle_status":"ok","soil_tension_kpa":-39,"soil_tension_rs485_status":"ok"}</x:v>
      </x:c>
    </x:row>
    <x:row r="963">
      <x:c r="A963" s="72" t="n">
        <x:v>46240.938113425924</x:v>
      </x:c>
      <x:c r="B963" s="72" t="n">
        <x:v>46240.93812731482</x:v>
      </x:c>
      <x:c r="C963" s="32" t="str">
        <x:v>P24</x:v>
      </x:c>
      <x:c r="D963" s="32" t="str">
        <x:v>B4-W2-V2</x:v>
      </x:c>
      <x:c r="E963" s="32" t="str">
        <x:v>B4</x:v>
      </x:c>
      <x:c r="F963" s="32" t="str">
        <x:v>W2</x:v>
      </x:c>
      <x:c r="G963" s="32" t="str">
        <x:v>V2</x:v>
      </x:c>
      <x:c r="H963" s="32" t="str">
        <x:v>tension_soil</x:v>
      </x:c>
      <x:c r="I963" s="32" t="str">
        <x:v>862323089930724</x:v>
      </x:c>
      <x:c r="J963" s="82"/>
      <x:c r="K963" s="82" t="n">
        <x:v>-39.8</x:v>
      </x:c>
      <x:c r="L963" s="82" t="n">
        <x:v>35.8</x:v>
      </x:c>
      <x:c r="M963" s="82" t="n">
        <x:v>25.6</x:v>
      </x:c>
      <x:c r="N963" s="86" t="n">
        <x:v>1100</x:v>
      </x:c>
      <x:c r="O963" s="90" t="n">
        <x:v>6.53</x:v>
      </x:c>
      <x:c r="P963" s="150" t="n">
        <x:v>3.92</x:v>
      </x:c>
      <x:c r="Q963" s="86" t="n">
        <x:v>17</x:v>
      </x:c>
      <x:c r="R963" s="32"/>
      <x:c r="S963" s="32" t="str">
        <x:v>ok</x:v>
      </x:c>
      <x:c r="T963" s="32" t="str">
        <x:v>ok</x:v>
      </x:c>
      <x:c r="U963" s="32" t="str">
        <x:v>ok</x:v>
      </x:c>
      <x:c r="V963" s="32" t="str">
        <x:v>ok</x:v>
      </x:c>
      <x:c r="W963" s="154" t="str">
        <x:v>{"schema_version":1,"imei":"862323089930724","timestamp":1786026653,"report_sequence":40,"task_version":"rice_tension_soil_demo","sensor_mode":"tension_soil","soil_moisture_percent":35.8,"soil_temperature_c":25.6,"soil_ec_us_cm":1100,"soil_ph":6.53,"battery_mv":3920,"csq":17,"soil_rs485_status":"ok","cycle_status":"ok","soil_tension_kpa":-39.8,"soil_tension_rs485_status":"ok"}</x:v>
      </x:c>
    </x:row>
    <x:row r="964">
      <x:c r="A964" s="72" t="n">
        <x:v>46240.94158564815</x:v>
      </x:c>
      <x:c r="B964" s="72" t="n">
        <x:v>46240.94159953704</x:v>
      </x:c>
      <x:c r="C964" s="32" t="str">
        <x:v>P01</x:v>
      </x:c>
      <x:c r="D964" s="32" t="str">
        <x:v>B1-W0-V1</x:v>
      </x:c>
      <x:c r="E964" s="32" t="str">
        <x:v>B1</x:v>
      </x:c>
      <x:c r="F964" s="32" t="str">
        <x:v>W0</x:v>
      </x:c>
      <x:c r="G964" s="32" t="str">
        <x:v>V1</x:v>
      </x:c>
      <x:c r="H964" s="32" t="str">
        <x:v>water_soil</x:v>
      </x:c>
      <x:c r="I964" s="32" t="str">
        <x:v>862323089930701</x:v>
      </x:c>
      <x:c r="J964" s="82" t="n">
        <x:v>34.9</x:v>
      </x:c>
      <x:c r="K964" s="82"/>
      <x:c r="L964" s="82" t="n">
        <x:v>36.6</x:v>
      </x:c>
      <x:c r="M964" s="82" t="n">
        <x:v>25.5</x:v>
      </x:c>
      <x:c r="N964" s="86" t="n">
        <x:v>819</x:v>
      </x:c>
      <x:c r="O964" s="90" t="n">
        <x:v>6.37</x:v>
      </x:c>
      <x:c r="P964" s="150" t="n">
        <x:v>3.938</x:v>
      </x:c>
      <x:c r="Q964" s="86" t="n">
        <x:v>18</x:v>
      </x:c>
      <x:c r="R964" s="32" t="str">
        <x:v>ok</x:v>
      </x:c>
      <x:c r="S964" s="32"/>
      <x:c r="T964" s="32" t="str">
        <x:v>ok</x:v>
      </x:c>
      <x:c r="U964" s="32" t="str">
        <x:v>ok</x:v>
      </x:c>
      <x:c r="V964" s="32" t="str">
        <x:v>ok</x:v>
      </x:c>
      <x:c r="W964" s="154" t="str">
        <x:v>{"schema_version":1,"imei":"862323089930701","timestamp":1786026953,"report_sequence":41,"task_version":"rice_w0_water_soil_demo","sensor_mode":"water_soil","soil_moisture_percent":36.6,"soil_temperature_c":25.5,"soil_ec_us_cm":819,"soil_ph":6.37,"battery_mv":3938,"csq":18,"soil_rs485_status":"ok","cycle_status":"ok","water_level_mm":34.9,"water_4_20ma_status":"ok"}</x:v>
      </x:c>
    </x:row>
    <x:row r="965">
      <x:c r="A965" s="72" t="n">
        <x:v>46240.94158564815</x:v>
      </x:c>
      <x:c r="B965" s="72" t="n">
        <x:v>46240.94159953704</x:v>
      </x:c>
      <x:c r="C965" s="32" t="str">
        <x:v>P02</x:v>
      </x:c>
      <x:c r="D965" s="32" t="str">
        <x:v>B1-W0-V2</x:v>
      </x:c>
      <x:c r="E965" s="32" t="str">
        <x:v>B1</x:v>
      </x:c>
      <x:c r="F965" s="32" t="str">
        <x:v>W0</x:v>
      </x:c>
      <x:c r="G965" s="32" t="str">
        <x:v>V2</x:v>
      </x:c>
      <x:c r="H965" s="32" t="str">
        <x:v>water_soil</x:v>
      </x:c>
      <x:c r="I965" s="32" t="str">
        <x:v>862323089930702</x:v>
      </x:c>
      <x:c r="J965" s="82" t="n">
        <x:v>37</x:v>
      </x:c>
      <x:c r="K965" s="82"/>
      <x:c r="L965" s="82" t="n">
        <x:v>37.2</x:v>
      </x:c>
      <x:c r="M965" s="82" t="n">
        <x:v>25.4</x:v>
      </x:c>
      <x:c r="N965" s="86" t="n">
        <x:v>825</x:v>
      </x:c>
      <x:c r="O965" s="90" t="n">
        <x:v>6.42</x:v>
      </x:c>
      <x:c r="P965" s="150" t="n">
        <x:v>3.956</x:v>
      </x:c>
      <x:c r="Q965" s="86" t="n">
        <x:v>19</x:v>
      </x:c>
      <x:c r="R965" s="32" t="str">
        <x:v>ok</x:v>
      </x:c>
      <x:c r="S965" s="32"/>
      <x:c r="T965" s="32" t="str">
        <x:v>ok</x:v>
      </x:c>
      <x:c r="U965" s="32" t="str">
        <x:v>ok</x:v>
      </x:c>
      <x:c r="V965" s="32" t="str">
        <x:v>ok</x:v>
      </x:c>
      <x:c r="W965" s="154" t="str">
        <x:v>{"schema_version":1,"imei":"862323089930702","timestamp":1786026953,"report_sequence":41,"task_version":"rice_w0_water_soil_demo","sensor_mode":"water_soil","soil_moisture_percent":37.2,"soil_temperature_c":25.4,"soil_ec_us_cm":825,"soil_ph":6.42,"battery_mv":3956,"csq":19,"soil_rs485_status":"ok","cycle_status":"ok","water_level_mm":37,"water_4_20ma_status":"ok"}</x:v>
      </x:c>
    </x:row>
    <x:row r="966">
      <x:c r="A966" s="72" t="n">
        <x:v>46240.94158564815</x:v>
      </x:c>
      <x:c r="B966" s="72" t="n">
        <x:v>46240.94159953704</x:v>
      </x:c>
      <x:c r="C966" s="32" t="str">
        <x:v>P03</x:v>
      </x:c>
      <x:c r="D966" s="32" t="str">
        <x:v>B1-W1-V1</x:v>
      </x:c>
      <x:c r="E966" s="32" t="str">
        <x:v>B1</x:v>
      </x:c>
      <x:c r="F966" s="32" t="str">
        <x:v>W1</x:v>
      </x:c>
      <x:c r="G966" s="32" t="str">
        <x:v>V1</x:v>
      </x:c>
      <x:c r="H966" s="32" t="str">
        <x:v>tension_soil</x:v>
      </x:c>
      <x:c r="I966" s="32" t="str">
        <x:v>862323089930703</x:v>
      </x:c>
      <x:c r="J966" s="82"/>
      <x:c r="K966" s="82" t="n">
        <x:v>-26.8</x:v>
      </x:c>
      <x:c r="L966" s="82" t="n">
        <x:v>37.8</x:v>
      </x:c>
      <x:c r="M966" s="82" t="n">
        <x:v>25.3</x:v>
      </x:c>
      <x:c r="N966" s="86" t="n">
        <x:v>829</x:v>
      </x:c>
      <x:c r="O966" s="90" t="n">
        <x:v>6.46</x:v>
      </x:c>
      <x:c r="P966" s="150" t="n">
        <x:v>3.974</x:v>
      </x:c>
      <x:c r="Q966" s="86" t="n">
        <x:v>20</x:v>
      </x:c>
      <x:c r="R966" s="32"/>
      <x:c r="S966" s="32" t="str">
        <x:v>ok</x:v>
      </x:c>
      <x:c r="T966" s="32" t="str">
        <x:v>ok</x:v>
      </x:c>
      <x:c r="U966" s="32" t="str">
        <x:v>ok</x:v>
      </x:c>
      <x:c r="V966" s="32" t="str">
        <x:v>ok</x:v>
      </x:c>
      <x:c r="W966" s="154" t="str">
        <x:v>{"schema_version":1,"imei":"862323089930703","timestamp":1786026953,"report_sequence":41,"task_version":"rice_tension_soil_demo","sensor_mode":"tension_soil","soil_moisture_percent":37.8,"soil_temperature_c":25.3,"soil_ec_us_cm":829,"soil_ph":6.46,"battery_mv":3974,"csq":20,"soil_rs485_status":"ok","cycle_status":"ok","soil_tension_kpa":-26.8,"soil_tension_rs485_status":"ok"}</x:v>
      </x:c>
    </x:row>
    <x:row r="967">
      <x:c r="A967" s="72" t="n">
        <x:v>46240.94158564815</x:v>
      </x:c>
      <x:c r="B967" s="72" t="n">
        <x:v>46240.94159953704</x:v>
      </x:c>
      <x:c r="C967" s="32" t="str">
        <x:v>P04</x:v>
      </x:c>
      <x:c r="D967" s="32" t="str">
        <x:v>B1-W1-V2</x:v>
      </x:c>
      <x:c r="E967" s="32" t="str">
        <x:v>B1</x:v>
      </x:c>
      <x:c r="F967" s="32" t="str">
        <x:v>W1</x:v>
      </x:c>
      <x:c r="G967" s="32" t="str">
        <x:v>V2</x:v>
      </x:c>
      <x:c r="H967" s="32" t="str">
        <x:v>tension_soil</x:v>
      </x:c>
      <x:c r="I967" s="32" t="str">
        <x:v>862323089930704</x:v>
      </x:c>
      <x:c r="J967" s="82"/>
      <x:c r="K967" s="82" t="n">
        <x:v>-27.3</x:v>
      </x:c>
      <x:c r="L967" s="82" t="n">
        <x:v>38.3</x:v>
      </x:c>
      <x:c r="M967" s="82" t="n">
        <x:v>25.2</x:v>
      </x:c>
      <x:c r="N967" s="86" t="n">
        <x:v>833</x:v>
      </x:c>
      <x:c r="O967" s="90" t="n">
        <x:v>6.5</x:v>
      </x:c>
      <x:c r="P967" s="150" t="n">
        <x:v>3.992</x:v>
      </x:c>
      <x:c r="Q967" s="86" t="n">
        <x:v>21</x:v>
      </x:c>
      <x:c r="R967" s="32"/>
      <x:c r="S967" s="32" t="str">
        <x:v>ok</x:v>
      </x:c>
      <x:c r="T967" s="32" t="str">
        <x:v>ok</x:v>
      </x:c>
      <x:c r="U967" s="32" t="str">
        <x:v>ok</x:v>
      </x:c>
      <x:c r="V967" s="32" t="str">
        <x:v>ok</x:v>
      </x:c>
      <x:c r="W967" s="154" t="str">
        <x:v>{"schema_version":1,"imei":"862323089930704","timestamp":1786026953,"report_sequence":41,"task_version":"rice_tension_soil_demo","sensor_mode":"tension_soil","soil_moisture_percent":38.3,"soil_temperature_c":25.2,"soil_ec_us_cm":833,"soil_ph":6.5,"battery_mv":3992,"csq":21,"soil_rs485_status":"ok","cycle_status":"ok","soil_tension_kpa":-27.3,"soil_tension_rs485_status":"ok"}</x:v>
      </x:c>
    </x:row>
    <x:row r="968">
      <x:c r="A968" s="72" t="n">
        <x:v>46240.94158564815</x:v>
      </x:c>
      <x:c r="B968" s="72" t="n">
        <x:v>46240.94159953704</x:v>
      </x:c>
      <x:c r="C968" s="32" t="str">
        <x:v>P05</x:v>
      </x:c>
      <x:c r="D968" s="32" t="str">
        <x:v>B1-W2-V1</x:v>
      </x:c>
      <x:c r="E968" s="32" t="str">
        <x:v>B1</x:v>
      </x:c>
      <x:c r="F968" s="32" t="str">
        <x:v>W2</x:v>
      </x:c>
      <x:c r="G968" s="32" t="str">
        <x:v>V1</x:v>
      </x:c>
      <x:c r="H968" s="32" t="str">
        <x:v>tension_soil</x:v>
      </x:c>
      <x:c r="I968" s="32" t="str">
        <x:v>862323089930705</x:v>
      </x:c>
      <x:c r="J968" s="82"/>
      <x:c r="K968" s="82" t="n">
        <x:v>-33.8</x:v>
      </x:c>
      <x:c r="L968" s="82" t="n">
        <x:v>38.8</x:v>
      </x:c>
      <x:c r="M968" s="82" t="n">
        <x:v>25</x:v>
      </x:c>
      <x:c r="N968" s="86" t="n">
        <x:v>836</x:v>
      </x:c>
      <x:c r="O968" s="90" t="n">
        <x:v>6.3</x:v>
      </x:c>
      <x:c r="P968" s="150" t="n">
        <x:v>4.01</x:v>
      </x:c>
      <x:c r="Q968" s="86" t="n">
        <x:v>22</x:v>
      </x:c>
      <x:c r="R968" s="32"/>
      <x:c r="S968" s="32" t="str">
        <x:v>ok</x:v>
      </x:c>
      <x:c r="T968" s="32" t="str">
        <x:v>ok</x:v>
      </x:c>
      <x:c r="U968" s="32" t="str">
        <x:v>ok</x:v>
      </x:c>
      <x:c r="V968" s="32" t="str">
        <x:v>ok</x:v>
      </x:c>
      <x:c r="W968" s="154" t="str">
        <x:v>{"schema_version":1,"imei":"862323089930705","timestamp":1786026953,"report_sequence":41,"task_version":"rice_tension_soil_demo","sensor_mode":"tension_soil","soil_moisture_percent":38.8,"soil_temperature_c":25,"soil_ec_us_cm":836,"soil_ph":6.3,"battery_mv":4010,"csq":22,"soil_rs485_status":"ok","cycle_status":"ok","soil_tension_kpa":-33.8,"soil_tension_rs485_status":"ok"}</x:v>
      </x:c>
    </x:row>
    <x:row r="969">
      <x:c r="A969" s="72" t="n">
        <x:v>46240.94158564815</x:v>
      </x:c>
      <x:c r="B969" s="72" t="n">
        <x:v>46240.94159953704</x:v>
      </x:c>
      <x:c r="C969" s="32" t="str">
        <x:v>P06</x:v>
      </x:c>
      <x:c r="D969" s="32" t="str">
        <x:v>B1-W2-V2</x:v>
      </x:c>
      <x:c r="E969" s="32" t="str">
        <x:v>B1</x:v>
      </x:c>
      <x:c r="F969" s="32" t="str">
        <x:v>W2</x:v>
      </x:c>
      <x:c r="G969" s="32" t="str">
        <x:v>V2</x:v>
      </x:c>
      <x:c r="H969" s="32" t="str">
        <x:v>tension_soil</x:v>
      </x:c>
      <x:c r="I969" s="32" t="str">
        <x:v>862323089930706</x:v>
      </x:c>
      <x:c r="J969" s="82"/>
      <x:c r="K969" s="82" t="n">
        <x:v>-34.3</x:v>
      </x:c>
      <x:c r="L969" s="82" t="n">
        <x:v>39.3</x:v>
      </x:c>
      <x:c r="M969" s="82" t="n">
        <x:v>24.9</x:v>
      </x:c>
      <x:c r="N969" s="86" t="n">
        <x:v>840</x:v>
      </x:c>
      <x:c r="O969" s="90" t="n">
        <x:v>6.34</x:v>
      </x:c>
      <x:c r="P969" s="150" t="n">
        <x:v>3.92</x:v>
      </x:c>
      <x:c r="Q969" s="86" t="n">
        <x:v>23</x:v>
      </x:c>
      <x:c r="R969" s="32"/>
      <x:c r="S969" s="32" t="str">
        <x:v>ok</x:v>
      </x:c>
      <x:c r="T969" s="32" t="str">
        <x:v>ok</x:v>
      </x:c>
      <x:c r="U969" s="32" t="str">
        <x:v>ok</x:v>
      </x:c>
      <x:c r="V969" s="32" t="str">
        <x:v>ok</x:v>
      </x:c>
      <x:c r="W969" s="154" t="str">
        <x:v>{"schema_version":1,"imei":"862323089930706","timestamp":1786026953,"report_sequence":41,"task_version":"rice_tension_soil_demo","sensor_mode":"tension_soil","soil_moisture_percent":39.3,"soil_temperature_c":24.9,"soil_ec_us_cm":840,"soil_ph":6.34,"battery_mv":3920,"csq":23,"soil_rs485_status":"ok","cycle_status":"ok","soil_tension_kpa":-34.3,"soil_tension_rs485_status":"ok"}</x:v>
      </x:c>
    </x:row>
    <x:row r="970">
      <x:c r="A970" s="72" t="n">
        <x:v>46240.94158564815</x:v>
      </x:c>
      <x:c r="B970" s="72" t="n">
        <x:v>46240.94159953704</x:v>
      </x:c>
      <x:c r="C970" s="32" t="str">
        <x:v>P07</x:v>
      </x:c>
      <x:c r="D970" s="32" t="str">
        <x:v>B2-W0-V1</x:v>
      </x:c>
      <x:c r="E970" s="32" t="str">
        <x:v>B2</x:v>
      </x:c>
      <x:c r="F970" s="32" t="str">
        <x:v>W0</x:v>
      </x:c>
      <x:c r="G970" s="32" t="str">
        <x:v>V1</x:v>
      </x:c>
      <x:c r="H970" s="32" t="str">
        <x:v>water_soil</x:v>
      </x:c>
      <x:c r="I970" s="32" t="str">
        <x:v>862323089930707</x:v>
      </x:c>
      <x:c r="J970" s="82" t="n">
        <x:v>34.1</x:v>
      </x:c>
      <x:c r="K970" s="82"/>
      <x:c r="L970" s="82" t="n">
        <x:v>39.9</x:v>
      </x:c>
      <x:c r="M970" s="82" t="n">
        <x:v>24.8</x:v>
      </x:c>
      <x:c r="N970" s="86" t="n">
        <x:v>844</x:v>
      </x:c>
      <x:c r="O970" s="90" t="n">
        <x:v>6.38</x:v>
      </x:c>
      <x:c r="P970" s="150" t="n">
        <x:v>3.938</x:v>
      </x:c>
      <x:c r="Q970" s="86" t="n">
        <x:v>24</x:v>
      </x:c>
      <x:c r="R970" s="32" t="str">
        <x:v>ok</x:v>
      </x:c>
      <x:c r="S970" s="32"/>
      <x:c r="T970" s="32" t="str">
        <x:v>ok</x:v>
      </x:c>
      <x:c r="U970" s="32" t="str">
        <x:v>ok</x:v>
      </x:c>
      <x:c r="V970" s="32" t="str">
        <x:v>ok</x:v>
      </x:c>
      <x:c r="W970" s="154" t="str">
        <x:v>{"schema_version":1,"imei":"862323089930707","timestamp":1786026953,"report_sequence":41,"task_version":"rice_w0_water_soil_demo","sensor_mode":"water_soil","soil_moisture_percent":39.9,"soil_temperature_c":24.8,"soil_ec_us_cm":844,"soil_ph":6.38,"battery_mv":3938,"csq":24,"soil_rs485_status":"ok","cycle_status":"ok","water_level_mm":34.1,"water_4_20ma_status":"ok"}</x:v>
      </x:c>
    </x:row>
    <x:row r="971">
      <x:c r="A971" s="72" t="n">
        <x:v>46240.94158564815</x:v>
      </x:c>
      <x:c r="B971" s="72" t="n">
        <x:v>46240.94159953704</x:v>
      </x:c>
      <x:c r="C971" s="32" t="str">
        <x:v>P08</x:v>
      </x:c>
      <x:c r="D971" s="32" t="str">
        <x:v>B2-W0-V2</x:v>
      </x:c>
      <x:c r="E971" s="32" t="str">
        <x:v>B2</x:v>
      </x:c>
      <x:c r="F971" s="32" t="str">
        <x:v>W0</x:v>
      </x:c>
      <x:c r="G971" s="32" t="str">
        <x:v>V2</x:v>
      </x:c>
      <x:c r="H971" s="32" t="str">
        <x:v>water_soil</x:v>
      </x:c>
      <x:c r="I971" s="32" t="str">
        <x:v>862323089930708</x:v>
      </x:c>
      <x:c r="J971" s="82" t="n">
        <x:v>24.2</x:v>
      </x:c>
      <x:c r="K971" s="82"/>
      <x:c r="L971" s="82" t="n">
        <x:v>32.5</x:v>
      </x:c>
      <x:c r="M971" s="82" t="n">
        <x:v>24.7</x:v>
      </x:c>
      <x:c r="N971" s="86" t="n">
        <x:v>850</x:v>
      </x:c>
      <x:c r="O971" s="90" t="n">
        <x:v>6.43</x:v>
      </x:c>
      <x:c r="P971" s="150" t="n">
        <x:v>3.956</x:v>
      </x:c>
      <x:c r="Q971" s="86" t="n">
        <x:v>17</x:v>
      </x:c>
      <x:c r="R971" s="32" t="str">
        <x:v>ok</x:v>
      </x:c>
      <x:c r="S971" s="32"/>
      <x:c r="T971" s="32" t="str">
        <x:v>ok</x:v>
      </x:c>
      <x:c r="U971" s="32" t="str">
        <x:v>ok</x:v>
      </x:c>
      <x:c r="V971" s="32" t="str">
        <x:v>ok</x:v>
      </x:c>
      <x:c r="W971" s="154" t="str">
        <x:v>{"schema_version":1,"imei":"862323089930708","timestamp":1786026953,"report_sequence":41,"task_version":"rice_w0_water_soil_demo","sensor_mode":"water_soil","soil_moisture_percent":32.5,"soil_temperature_c":24.7,"soil_ec_us_cm":850,"soil_ph":6.43,"battery_mv":3956,"csq":17,"soil_rs485_status":"ok","cycle_status":"ok","water_level_mm":24.2,"water_4_20ma_status":"ok"}</x:v>
      </x:c>
    </x:row>
    <x:row r="972">
      <x:c r="A972" s="72" t="n">
        <x:v>46240.94158564815</x:v>
      </x:c>
      <x:c r="B972" s="72" t="n">
        <x:v>46240.94159953704</x:v>
      </x:c>
      <x:c r="C972" s="32" t="str">
        <x:v>P09</x:v>
      </x:c>
      <x:c r="D972" s="32" t="str">
        <x:v>B2-W1-V1</x:v>
      </x:c>
      <x:c r="E972" s="32" t="str">
        <x:v>B2</x:v>
      </x:c>
      <x:c r="F972" s="32" t="str">
        <x:v>W1</x:v>
      </x:c>
      <x:c r="G972" s="32" t="str">
        <x:v>V1</x:v>
      </x:c>
      <x:c r="H972" s="32" t="str">
        <x:v>tension_soil</x:v>
      </x:c>
      <x:c r="I972" s="32" t="str">
        <x:v>862323089930709</x:v>
      </x:c>
      <x:c r="J972" s="82"/>
      <x:c r="K972" s="82" t="n">
        <x:v>-25.2</x:v>
      </x:c>
      <x:c r="L972" s="82" t="n">
        <x:v>33.2</x:v>
      </x:c>
      <x:c r="M972" s="82" t="n">
        <x:v>24.7</x:v>
      </x:c>
      <x:c r="N972" s="86" t="n">
        <x:v>857</x:v>
      </x:c>
      <x:c r="O972" s="90" t="n">
        <x:v>6.47</x:v>
      </x:c>
      <x:c r="P972" s="150" t="n">
        <x:v>3.974</x:v>
      </x:c>
      <x:c r="Q972" s="86" t="n">
        <x:v>18</x:v>
      </x:c>
      <x:c r="R972" s="32"/>
      <x:c r="S972" s="32" t="str">
        <x:v>ok</x:v>
      </x:c>
      <x:c r="T972" s="32" t="str">
        <x:v>ok</x:v>
      </x:c>
      <x:c r="U972" s="32" t="str">
        <x:v>ok</x:v>
      </x:c>
      <x:c r="V972" s="32" t="str">
        <x:v>ok</x:v>
      </x:c>
      <x:c r="W972" s="154" t="str">
        <x:v>{"schema_version":1,"imei":"862323089930709","timestamp":1786026953,"report_sequence":41,"task_version":"rice_tension_soil_demo","sensor_mode":"tension_soil","soil_moisture_percent":33.2,"soil_temperature_c":24.7,"soil_ec_us_cm":857,"soil_ph":6.47,"battery_mv":3974,"csq":18,"soil_rs485_status":"ok","cycle_status":"ok","soil_tension_kpa":-25.2,"soil_tension_rs485_status":"ok"}</x:v>
      </x:c>
    </x:row>
    <x:row r="973">
      <x:c r="A973" s="72" t="n">
        <x:v>46240.94158564815</x:v>
      </x:c>
      <x:c r="B973" s="72" t="n">
        <x:v>46240.94159953704</x:v>
      </x:c>
      <x:c r="C973" s="32" t="str">
        <x:v>P10</x:v>
      </x:c>
      <x:c r="D973" s="32" t="str">
        <x:v>B2-W1-V2</x:v>
      </x:c>
      <x:c r="E973" s="32" t="str">
        <x:v>B2</x:v>
      </x:c>
      <x:c r="F973" s="32" t="str">
        <x:v>W1</x:v>
      </x:c>
      <x:c r="G973" s="32" t="str">
        <x:v>V2</x:v>
      </x:c>
      <x:c r="H973" s="32" t="str">
        <x:v>tension_soil</x:v>
      </x:c>
      <x:c r="I973" s="32" t="str">
        <x:v>862323089930710</x:v>
      </x:c>
      <x:c r="J973" s="82"/>
      <x:c r="K973" s="82" t="n">
        <x:v>-21</x:v>
      </x:c>
      <x:c r="L973" s="82" t="n">
        <x:v>34</x:v>
      </x:c>
      <x:c r="M973" s="82" t="n">
        <x:v>24.6</x:v>
      </x:c>
      <x:c r="N973" s="86" t="n">
        <x:v>866</x:v>
      </x:c>
      <x:c r="O973" s="90" t="n">
        <x:v>6.27</x:v>
      </x:c>
      <x:c r="P973" s="150" t="n">
        <x:v>3.992</x:v>
      </x:c>
      <x:c r="Q973" s="86" t="n">
        <x:v>19</x:v>
      </x:c>
      <x:c r="R973" s="32"/>
      <x:c r="S973" s="32" t="str">
        <x:v>ok</x:v>
      </x:c>
      <x:c r="T973" s="32" t="str">
        <x:v>ok</x:v>
      </x:c>
      <x:c r="U973" s="32" t="str">
        <x:v>ok</x:v>
      </x:c>
      <x:c r="V973" s="32" t="str">
        <x:v>ok</x:v>
      </x:c>
      <x:c r="W973" s="154" t="str">
        <x:v>{"schema_version":1,"imei":"862323089930710","timestamp":1786026953,"report_sequence":41,"task_version":"rice_tension_soil_demo","sensor_mode":"tension_soil","soil_moisture_percent":34,"soil_temperature_c":24.6,"soil_ec_us_cm":866,"soil_ph":6.27,"battery_mv":3992,"csq":19,"soil_rs485_status":"ok","cycle_status":"ok","soil_tension_kpa":-21,"soil_tension_rs485_status":"ok"}</x:v>
      </x:c>
    </x:row>
    <x:row r="974">
      <x:c r="A974" s="72" t="n">
        <x:v>46240.94158564815</x:v>
      </x:c>
      <x:c r="B974" s="72" t="n">
        <x:v>46240.94159953704</x:v>
      </x:c>
      <x:c r="C974" s="32" t="str">
        <x:v>P11</x:v>
      </x:c>
      <x:c r="D974" s="32" t="str">
        <x:v>B2-W2-V1</x:v>
      </x:c>
      <x:c r="E974" s="32" t="str">
        <x:v>B2</x:v>
      </x:c>
      <x:c r="F974" s="32" t="str">
        <x:v>W2</x:v>
      </x:c>
      <x:c r="G974" s="32" t="str">
        <x:v>V1</x:v>
      </x:c>
      <x:c r="H974" s="32" t="str">
        <x:v>tension_soil</x:v>
      </x:c>
      <x:c r="I974" s="32" t="str">
        <x:v>862323089930711</x:v>
      </x:c>
      <x:c r="J974" s="82"/>
      <x:c r="K974" s="82" t="n">
        <x:v>-33</x:v>
      </x:c>
      <x:c r="L974" s="82" t="n">
        <x:v>35</x:v>
      </x:c>
      <x:c r="M974" s="82" t="n">
        <x:v>24.6</x:v>
      </x:c>
      <x:c r="N974" s="86" t="n">
        <x:v>877</x:v>
      </x:c>
      <x:c r="O974" s="90" t="n">
        <x:v>6.32</x:v>
      </x:c>
      <x:c r="P974" s="150" t="n">
        <x:v>4.01</x:v>
      </x:c>
      <x:c r="Q974" s="86" t="n">
        <x:v>20</x:v>
      </x:c>
      <x:c r="R974" s="32"/>
      <x:c r="S974" s="32" t="str">
        <x:v>ok</x:v>
      </x:c>
      <x:c r="T974" s="32" t="str">
        <x:v>ok</x:v>
      </x:c>
      <x:c r="U974" s="32" t="str">
        <x:v>ok</x:v>
      </x:c>
      <x:c r="V974" s="32" t="str">
        <x:v>ok</x:v>
      </x:c>
      <x:c r="W974" s="154" t="str">
        <x:v>{"schema_version":1,"imei":"862323089930711","timestamp":1786026953,"report_sequence":41,"task_version":"rice_tension_soil_demo","sensor_mode":"tension_soil","soil_moisture_percent":35,"soil_temperature_c":24.6,"soil_ec_us_cm":877,"soil_ph":6.32,"battery_mv":4010,"csq":20,"soil_rs485_status":"ok","cycle_status":"ok","soil_tension_kpa":-33,"soil_tension_rs485_status":"ok"}</x:v>
      </x:c>
    </x:row>
    <x:row r="975">
      <x:c r="A975" s="72" t="n">
        <x:v>46240.94158564815</x:v>
      </x:c>
      <x:c r="B975" s="72" t="n">
        <x:v>46240.94159953704</x:v>
      </x:c>
      <x:c r="C975" s="32" t="str">
        <x:v>P12</x:v>
      </x:c>
      <x:c r="D975" s="32" t="str">
        <x:v>B2-W2-V2</x:v>
      </x:c>
      <x:c r="E975" s="32" t="str">
        <x:v>B2</x:v>
      </x:c>
      <x:c r="F975" s="32" t="str">
        <x:v>W2</x:v>
      </x:c>
      <x:c r="G975" s="32" t="str">
        <x:v>V2</x:v>
      </x:c>
      <x:c r="H975" s="32" t="str">
        <x:v>tension_soil</x:v>
      </x:c>
      <x:c r="I975" s="32" t="str">
        <x:v>862323089930712</x:v>
      </x:c>
      <x:c r="J975" s="82"/>
      <x:c r="K975" s="82" t="n">
        <x:v>-34.1</x:v>
      </x:c>
      <x:c r="L975" s="82" t="n">
        <x:v>36.1</x:v>
      </x:c>
      <x:c r="M975" s="82" t="n">
        <x:v>24.6</x:v>
      </x:c>
      <x:c r="N975" s="86" t="n">
        <x:v>890</x:v>
      </x:c>
      <x:c r="O975" s="90" t="n">
        <x:v>6.37</x:v>
      </x:c>
      <x:c r="P975" s="150" t="n">
        <x:v>3.92</x:v>
      </x:c>
      <x:c r="Q975" s="86" t="n">
        <x:v>21</x:v>
      </x:c>
      <x:c r="R975" s="32"/>
      <x:c r="S975" s="32" t="str">
        <x:v>ok</x:v>
      </x:c>
      <x:c r="T975" s="32" t="str">
        <x:v>ok</x:v>
      </x:c>
      <x:c r="U975" s="32" t="str">
        <x:v>ok</x:v>
      </x:c>
      <x:c r="V975" s="32" t="str">
        <x:v>ok</x:v>
      </x:c>
      <x:c r="W975" s="154" t="str">
        <x:v>{"schema_version":1,"imei":"862323089930712","timestamp":1786026953,"report_sequence":41,"task_version":"rice_tension_soil_demo","sensor_mode":"tension_soil","soil_moisture_percent":36.1,"soil_temperature_c":24.6,"soil_ec_us_cm":890,"soil_ph":6.37,"battery_mv":3920,"csq":21,"soil_rs485_status":"ok","cycle_status":"ok","soil_tension_kpa":-34.1,"soil_tension_rs485_status":"ok"}</x:v>
      </x:c>
    </x:row>
    <x:row r="976">
      <x:c r="A976" s="72" t="n">
        <x:v>46240.94158564815</x:v>
      </x:c>
      <x:c r="B976" s="72" t="n">
        <x:v>46240.94159953704</x:v>
      </x:c>
      <x:c r="C976" s="32" t="str">
        <x:v>P13</x:v>
      </x:c>
      <x:c r="D976" s="32" t="str">
        <x:v>B3-W0-V1</x:v>
      </x:c>
      <x:c r="E976" s="32" t="str">
        <x:v>B3</x:v>
      </x:c>
      <x:c r="F976" s="32" t="str">
        <x:v>W0</x:v>
      </x:c>
      <x:c r="G976" s="32" t="str">
        <x:v>V1</x:v>
      </x:c>
      <x:c r="H976" s="32" t="str">
        <x:v>water_soil</x:v>
      </x:c>
      <x:c r="I976" s="32" t="str">
        <x:v>862323089930713</x:v>
      </x:c>
      <x:c r="J976" s="82" t="n">
        <x:v>26.7</x:v>
      </x:c>
      <x:c r="K976" s="82"/>
      <x:c r="L976" s="82" t="n">
        <x:v>37.3</x:v>
      </x:c>
      <x:c r="M976" s="82" t="n">
        <x:v>24.7</x:v>
      </x:c>
      <x:c r="N976" s="86" t="n">
        <x:v>906</x:v>
      </x:c>
      <x:c r="O976" s="90" t="n">
        <x:v>6.42</x:v>
      </x:c>
      <x:c r="P976" s="150" t="n">
        <x:v>3.938</x:v>
      </x:c>
      <x:c r="Q976" s="86" t="n">
        <x:v>22</x:v>
      </x:c>
      <x:c r="R976" s="32" t="str">
        <x:v>ok</x:v>
      </x:c>
      <x:c r="S976" s="32"/>
      <x:c r="T976" s="32" t="str">
        <x:v>ok</x:v>
      </x:c>
      <x:c r="U976" s="32" t="str">
        <x:v>ok</x:v>
      </x:c>
      <x:c r="V976" s="32" t="str">
        <x:v>ok</x:v>
      </x:c>
      <x:c r="W976" s="154" t="str">
        <x:v>{"schema_version":1,"imei":"862323089930713","timestamp":1786026953,"report_sequence":41,"task_version":"rice_w0_water_soil_demo","sensor_mode":"water_soil","soil_moisture_percent":37.3,"soil_temperature_c":24.7,"soil_ec_us_cm":906,"soil_ph":6.42,"battery_mv":3938,"csq":22,"soil_rs485_status":"ok","cycle_status":"ok","water_level_mm":26.7,"water_4_20ma_status":"ok"}</x:v>
      </x:c>
    </x:row>
    <x:row r="977">
      <x:c r="A977" s="72" t="n">
        <x:v>46240.94158564815</x:v>
      </x:c>
      <x:c r="B977" s="72" t="n">
        <x:v>46240.94159953704</x:v>
      </x:c>
      <x:c r="C977" s="32" t="str">
        <x:v>P14</x:v>
      </x:c>
      <x:c r="D977" s="32" t="str">
        <x:v>B3-W0-V2</x:v>
      </x:c>
      <x:c r="E977" s="32" t="str">
        <x:v>B3</x:v>
      </x:c>
      <x:c r="F977" s="32" t="str">
        <x:v>W0</x:v>
      </x:c>
      <x:c r="G977" s="32" t="str">
        <x:v>V2</x:v>
      </x:c>
      <x:c r="H977" s="32" t="str">
        <x:v>water_soil</x:v>
      </x:c>
      <x:c r="I977" s="32" t="str">
        <x:v>862323089930714</x:v>
      </x:c>
      <x:c r="J977" s="82" t="n">
        <x:v>30.5</x:v>
      </x:c>
      <x:c r="K977" s="82"/>
      <x:c r="L977" s="82" t="n">
        <x:v>38.6</x:v>
      </x:c>
      <x:c r="M977" s="82" t="n">
        <x:v>24.7</x:v>
      </x:c>
      <x:c r="N977" s="86" t="n">
        <x:v>923</x:v>
      </x:c>
      <x:c r="O977" s="90" t="n">
        <x:v>6.48</x:v>
      </x:c>
      <x:c r="P977" s="150" t="n">
        <x:v>3.956</x:v>
      </x:c>
      <x:c r="Q977" s="86" t="n">
        <x:v>23</x:v>
      </x:c>
      <x:c r="R977" s="32" t="str">
        <x:v>ok</x:v>
      </x:c>
      <x:c r="S977" s="32"/>
      <x:c r="T977" s="32" t="str">
        <x:v>ok</x:v>
      </x:c>
      <x:c r="U977" s="32" t="str">
        <x:v>ok</x:v>
      </x:c>
      <x:c r="V977" s="32" t="str">
        <x:v>ok</x:v>
      </x:c>
      <x:c r="W977" s="154" t="str">
        <x:v>{"schema_version":1,"imei":"862323089930714","timestamp":1786026953,"report_sequence":41,"task_version":"rice_w0_water_soil_demo","sensor_mode":"water_soil","soil_moisture_percent":38.6,"soil_temperature_c":24.7,"soil_ec_us_cm":923,"soil_ph":6.48,"battery_mv":3956,"csq":23,"soil_rs485_status":"ok","cycle_status":"ok","water_level_mm":30.5,"water_4_20ma_status":"ok"}</x:v>
      </x:c>
    </x:row>
    <x:row r="978">
      <x:c r="A978" s="72" t="n">
        <x:v>46240.94158564815</x:v>
      </x:c>
      <x:c r="B978" s="72" t="n">
        <x:v>46240.94159953704</x:v>
      </x:c>
      <x:c r="C978" s="32" t="str">
        <x:v>P15</x:v>
      </x:c>
      <x:c r="D978" s="32" t="str">
        <x:v>B3-W1-V1</x:v>
      </x:c>
      <x:c r="E978" s="32" t="str">
        <x:v>B3</x:v>
      </x:c>
      <x:c r="F978" s="32" t="str">
        <x:v>W1</x:v>
      </x:c>
      <x:c r="G978" s="32" t="str">
        <x:v>V1</x:v>
      </x:c>
      <x:c r="H978" s="32" t="str">
        <x:v>tension_soil</x:v>
      </x:c>
      <x:c r="I978" s="32" t="str">
        <x:v>862323089930715</x:v>
      </x:c>
      <x:c r="J978" s="82"/>
      <x:c r="K978" s="82" t="n">
        <x:v>-22</x:v>
      </x:c>
      <x:c r="L978" s="82" t="n">
        <x:v>40</x:v>
      </x:c>
      <x:c r="M978" s="82" t="n">
        <x:v>24.8</x:v>
      </x:c>
      <x:c r="N978" s="86" t="n">
        <x:v>942</x:v>
      </x:c>
      <x:c r="O978" s="90" t="n">
        <x:v>6.28</x:v>
      </x:c>
      <x:c r="P978" s="150" t="n">
        <x:v>3.974</x:v>
      </x:c>
      <x:c r="Q978" s="86" t="n">
        <x:v>24</x:v>
      </x:c>
      <x:c r="R978" s="32"/>
      <x:c r="S978" s="32" t="str">
        <x:v>ok</x:v>
      </x:c>
      <x:c r="T978" s="32" t="str">
        <x:v>ok</x:v>
      </x:c>
      <x:c r="U978" s="32" t="str">
        <x:v>ok</x:v>
      </x:c>
      <x:c r="V978" s="32" t="str">
        <x:v>ok</x:v>
      </x:c>
      <x:c r="W978" s="154" t="str">
        <x:v>{"schema_version":1,"imei":"862323089930715","timestamp":1786026953,"report_sequence":41,"task_version":"rice_tension_soil_demo","sensor_mode":"tension_soil","soil_moisture_percent":40,"soil_temperature_c":24.8,"soil_ec_us_cm":942,"soil_ph":6.28,"battery_mv":3974,"csq":24,"soil_rs485_status":"ok","cycle_status":"ok","soil_tension_kpa":-22,"soil_tension_rs485_status":"ok"}</x:v>
      </x:c>
    </x:row>
    <x:row r="979">
      <x:c r="A979" s="72" t="n">
        <x:v>46240.94158564815</x:v>
      </x:c>
      <x:c r="B979" s="72" t="n">
        <x:v>46240.94159953704</x:v>
      </x:c>
      <x:c r="C979" s="32" t="str">
        <x:v>P16</x:v>
      </x:c>
      <x:c r="D979" s="32" t="str">
        <x:v>B3-W1-V2</x:v>
      </x:c>
      <x:c r="E979" s="32" t="str">
        <x:v>B3</x:v>
      </x:c>
      <x:c r="F979" s="32" t="str">
        <x:v>W1</x:v>
      </x:c>
      <x:c r="G979" s="32" t="str">
        <x:v>V2</x:v>
      </x:c>
      <x:c r="H979" s="32" t="str">
        <x:v>tension_soil</x:v>
      </x:c>
      <x:c r="I979" s="32" t="str">
        <x:v>862323089930716</x:v>
      </x:c>
      <x:c r="J979" s="82"/>
      <x:c r="K979" s="82" t="n">
        <x:v>-23.4</x:v>
      </x:c>
      <x:c r="L979" s="82" t="n">
        <x:v>33.4</x:v>
      </x:c>
      <x:c r="M979" s="82" t="n">
        <x:v>25</x:v>
      </x:c>
      <x:c r="N979" s="86" t="n">
        <x:v>962</x:v>
      </x:c>
      <x:c r="O979" s="90" t="n">
        <x:v>6.34</x:v>
      </x:c>
      <x:c r="P979" s="150" t="n">
        <x:v>3.992</x:v>
      </x:c>
      <x:c r="Q979" s="86" t="n">
        <x:v>17</x:v>
      </x:c>
      <x:c r="R979" s="32"/>
      <x:c r="S979" s="32" t="str">
        <x:v>ok</x:v>
      </x:c>
      <x:c r="T979" s="32" t="str">
        <x:v>ok</x:v>
      </x:c>
      <x:c r="U979" s="32" t="str">
        <x:v>ok</x:v>
      </x:c>
      <x:c r="V979" s="32" t="str">
        <x:v>ok</x:v>
      </x:c>
      <x:c r="W979" s="154" t="str">
        <x:v>{"schema_version":1,"imei":"862323089930716","timestamp":1786026953,"report_sequence":41,"task_version":"rice_tension_soil_demo","sensor_mode":"tension_soil","soil_moisture_percent":33.4,"soil_temperature_c":25,"soil_ec_us_cm":962,"soil_ph":6.34,"battery_mv":3992,"csq":17,"soil_rs485_status":"ok","cycle_status":"ok","soil_tension_kpa":-23.4,"soil_tension_rs485_status":"ok"}</x:v>
      </x:c>
    </x:row>
    <x:row r="980">
      <x:c r="A980" s="72" t="n">
        <x:v>46240.94158564815</x:v>
      </x:c>
      <x:c r="B980" s="72" t="n">
        <x:v>46240.94159953704</x:v>
      </x:c>
      <x:c r="C980" s="32" t="str">
        <x:v>P17</x:v>
      </x:c>
      <x:c r="D980" s="32" t="str">
        <x:v>B3-W2-V1</x:v>
      </x:c>
      <x:c r="E980" s="32" t="str">
        <x:v>B3</x:v>
      </x:c>
      <x:c r="F980" s="32" t="str">
        <x:v>W2</x:v>
      </x:c>
      <x:c r="G980" s="32" t="str">
        <x:v>V1</x:v>
      </x:c>
      <x:c r="H980" s="32" t="str">
        <x:v>tension_soil</x:v>
      </x:c>
      <x:c r="I980" s="32" t="str">
        <x:v>862323089930717</x:v>
      </x:c>
      <x:c r="J980" s="82"/>
      <x:c r="K980" s="82" t="n">
        <x:v>-35.9</x:v>
      </x:c>
      <x:c r="L980" s="82" t="n">
        <x:v>34.9</x:v>
      </x:c>
      <x:c r="M980" s="82" t="n">
        <x:v>25.1</x:v>
      </x:c>
      <x:c r="N980" s="86" t="n">
        <x:v>983</x:v>
      </x:c>
      <x:c r="O980" s="90" t="n">
        <x:v>6.4</x:v>
      </x:c>
      <x:c r="P980" s="150" t="n">
        <x:v>4.01</x:v>
      </x:c>
      <x:c r="Q980" s="86" t="n">
        <x:v>18</x:v>
      </x:c>
      <x:c r="R980" s="32"/>
      <x:c r="S980" s="32" t="str">
        <x:v>ok</x:v>
      </x:c>
      <x:c r="T980" s="32" t="str">
        <x:v>ok</x:v>
      </x:c>
      <x:c r="U980" s="32" t="str">
        <x:v>ok</x:v>
      </x:c>
      <x:c r="V980" s="32" t="str">
        <x:v>ok</x:v>
      </x:c>
      <x:c r="W980" s="154" t="str">
        <x:v>{"schema_version":1,"imei":"862323089930717","timestamp":1786026953,"report_sequence":41,"task_version":"rice_tension_soil_demo","sensor_mode":"tension_soil","soil_moisture_percent":34.9,"soil_temperature_c":25.1,"soil_ec_us_cm":983,"soil_ph":6.4,"battery_mv":4010,"csq":18,"soil_rs485_status":"ok","cycle_status":"ok","soil_tension_kpa":-35.9,"soil_tension_rs485_status":"ok"}</x:v>
      </x:c>
    </x:row>
    <x:row r="981">
      <x:c r="A981" s="72" t="n">
        <x:v>46240.94158564815</x:v>
      </x:c>
      <x:c r="B981" s="72" t="n">
        <x:v>46240.94159953704</x:v>
      </x:c>
      <x:c r="C981" s="32" t="str">
        <x:v>P18</x:v>
      </x:c>
      <x:c r="D981" s="32" t="str">
        <x:v>B3-W2-V2</x:v>
      </x:c>
      <x:c r="E981" s="32" t="str">
        <x:v>B3</x:v>
      </x:c>
      <x:c r="F981" s="32" t="str">
        <x:v>W2</x:v>
      </x:c>
      <x:c r="G981" s="32" t="str">
        <x:v>V2</x:v>
      </x:c>
      <x:c r="H981" s="32" t="str">
        <x:v>tension_soil</x:v>
      </x:c>
      <x:c r="I981" s="32" t="str">
        <x:v>862323089930718</x:v>
      </x:c>
      <x:c r="J981" s="82"/>
      <x:c r="K981" s="82" t="n">
        <x:v>-37.4</x:v>
      </x:c>
      <x:c r="L981" s="82" t="n">
        <x:v>36.4</x:v>
      </x:c>
      <x:c r="M981" s="82" t="n">
        <x:v>25.2</x:v>
      </x:c>
      <x:c r="N981" s="86" t="n">
        <x:v>1004</x:v>
      </x:c>
      <x:c r="O981" s="90" t="n">
        <x:v>6.46</x:v>
      </x:c>
      <x:c r="P981" s="150" t="n">
        <x:v>3.92</x:v>
      </x:c>
      <x:c r="Q981" s="86" t="n">
        <x:v>19</x:v>
      </x:c>
      <x:c r="R981" s="32"/>
      <x:c r="S981" s="32" t="str">
        <x:v>ok</x:v>
      </x:c>
      <x:c r="T981" s="32" t="str">
        <x:v>ok</x:v>
      </x:c>
      <x:c r="U981" s="32" t="str">
        <x:v>ok</x:v>
      </x:c>
      <x:c r="V981" s="32" t="str">
        <x:v>ok</x:v>
      </x:c>
      <x:c r="W981" s="154" t="str">
        <x:v>{"schema_version":1,"imei":"862323089930718","timestamp":1786026953,"report_sequence":41,"task_version":"rice_tension_soil_demo","sensor_mode":"tension_soil","soil_moisture_percent":36.4,"soil_temperature_c":25.2,"soil_ec_us_cm":1004,"soil_ph":6.46,"battery_mv":3920,"csq":19,"soil_rs485_status":"ok","cycle_status":"ok","soil_tension_kpa":-37.4,"soil_tension_rs485_status":"ok"}</x:v>
      </x:c>
    </x:row>
    <x:row r="982">
      <x:c r="A982" s="72" t="n">
        <x:v>46240.94158564815</x:v>
      </x:c>
      <x:c r="B982" s="72" t="n">
        <x:v>46240.94159953704</x:v>
      </x:c>
      <x:c r="C982" s="32" t="str">
        <x:v>P19</x:v>
      </x:c>
      <x:c r="D982" s="32" t="str">
        <x:v>B4-W0-V1</x:v>
      </x:c>
      <x:c r="E982" s="32" t="str">
        <x:v>B4</x:v>
      </x:c>
      <x:c r="F982" s="32" t="str">
        <x:v>W0</x:v>
      </x:c>
      <x:c r="G982" s="32" t="str">
        <x:v>V1</x:v>
      </x:c>
      <x:c r="H982" s="32" t="str">
        <x:v>water_soil</x:v>
      </x:c>
      <x:c r="I982" s="32" t="str">
        <x:v>862323089930719</x:v>
      </x:c>
      <x:c r="J982" s="82" t="n">
        <x:v>39.3</x:v>
      </x:c>
      <x:c r="K982" s="82"/>
      <x:c r="L982" s="82" t="n">
        <x:v>37.9</x:v>
      </x:c>
      <x:c r="M982" s="82" t="n">
        <x:v>25.3</x:v>
      </x:c>
      <x:c r="N982" s="86" t="n">
        <x:v>1024</x:v>
      </x:c>
      <x:c r="O982" s="90" t="n">
        <x:v>6.51</x:v>
      </x:c>
      <x:c r="P982" s="150" t="n">
        <x:v>3.938</x:v>
      </x:c>
      <x:c r="Q982" s="86" t="n">
        <x:v>20</x:v>
      </x:c>
      <x:c r="R982" s="32" t="str">
        <x:v>ok</x:v>
      </x:c>
      <x:c r="S982" s="32"/>
      <x:c r="T982" s="32" t="str">
        <x:v>ok</x:v>
      </x:c>
      <x:c r="U982" s="32" t="str">
        <x:v>ok</x:v>
      </x:c>
      <x:c r="V982" s="32" t="str">
        <x:v>ok</x:v>
      </x:c>
      <x:c r="W982" s="154" t="str">
        <x:v>{"schema_version":1,"imei":"862323089930719","timestamp":1786026953,"report_sequence":41,"task_version":"rice_w0_water_soil_demo","sensor_mode":"water_soil","soil_moisture_percent":37.9,"soil_temperature_c":25.3,"soil_ec_us_cm":1024,"soil_ph":6.51,"battery_mv":3938,"csq":20,"soil_rs485_status":"ok","cycle_status":"ok","water_level_mm":39.3,"water_4_20ma_status":"ok"}</x:v>
      </x:c>
    </x:row>
    <x:row r="983">
      <x:c r="A983" s="72" t="n">
        <x:v>46240.94158564815</x:v>
      </x:c>
      <x:c r="B983" s="72" t="n">
        <x:v>46240.94159953704</x:v>
      </x:c>
      <x:c r="C983" s="32" t="str">
        <x:v>P20</x:v>
      </x:c>
      <x:c r="D983" s="32" t="str">
        <x:v>B4-W0-V2</x:v>
      </x:c>
      <x:c r="E983" s="32" t="str">
        <x:v>B4</x:v>
      </x:c>
      <x:c r="F983" s="32" t="str">
        <x:v>W0</x:v>
      </x:c>
      <x:c r="G983" s="32" t="str">
        <x:v>V2</x:v>
      </x:c>
      <x:c r="H983" s="32" t="str">
        <x:v>water_soil</x:v>
      </x:c>
      <x:c r="I983" s="32" t="str">
        <x:v>862323089930720</x:v>
      </x:c>
      <x:c r="J983" s="82" t="n">
        <x:v>31.3</x:v>
      </x:c>
      <x:c r="K983" s="82"/>
      <x:c r="L983" s="82" t="n">
        <x:v>39.3</x:v>
      </x:c>
      <x:c r="M983" s="82" t="n">
        <x:v>25.4</x:v>
      </x:c>
      <x:c r="N983" s="86" t="n">
        <x:v>1043</x:v>
      </x:c>
      <x:c r="O983" s="90" t="n">
        <x:v>6.32</x:v>
      </x:c>
      <x:c r="P983" s="150" t="n">
        <x:v>3.956</x:v>
      </x:c>
      <x:c r="Q983" s="86" t="n">
        <x:v>21</x:v>
      </x:c>
      <x:c r="R983" s="32" t="str">
        <x:v>ok</x:v>
      </x:c>
      <x:c r="S983" s="32"/>
      <x:c r="T983" s="32" t="str">
        <x:v>ok</x:v>
      </x:c>
      <x:c r="U983" s="32" t="str">
        <x:v>ok</x:v>
      </x:c>
      <x:c r="V983" s="32" t="str">
        <x:v>ok</x:v>
      </x:c>
      <x:c r="W983" s="154" t="str">
        <x:v>{"schema_version":1,"imei":"862323089930720","timestamp":1786026953,"report_sequence":41,"task_version":"rice_w0_water_soil_demo","sensor_mode":"water_soil","soil_moisture_percent":39.3,"soil_temperature_c":25.4,"soil_ec_us_cm":1043,"soil_ph":6.32,"battery_mv":3956,"csq":21,"soil_rs485_status":"ok","cycle_status":"ok","water_level_mm":31.3,"water_4_20ma_status":"ok"}</x:v>
      </x:c>
    </x:row>
    <x:row r="984">
      <x:c r="A984" s="72" t="n">
        <x:v>46240.94158564815</x:v>
      </x:c>
      <x:c r="B984" s="72" t="n">
        <x:v>46240.94159953704</x:v>
      </x:c>
      <x:c r="C984" s="32" t="str">
        <x:v>P21</x:v>
      </x:c>
      <x:c r="D984" s="32" t="str">
        <x:v>B4-W1-V1</x:v>
      </x:c>
      <x:c r="E984" s="32" t="str">
        <x:v>B4</x:v>
      </x:c>
      <x:c r="F984" s="32" t="str">
        <x:v>W1</x:v>
      </x:c>
      <x:c r="G984" s="32" t="str">
        <x:v>V1</x:v>
      </x:c>
      <x:c r="H984" s="32" t="str">
        <x:v>tension_soil</x:v>
      </x:c>
      <x:c r="I984" s="32" t="str">
        <x:v>862323089930721</x:v>
      </x:c>
      <x:c r="J984" s="82"/>
      <x:c r="K984" s="82" t="n">
        <x:v>-25.6</x:v>
      </x:c>
      <x:c r="L984" s="82" t="n">
        <x:v>40.6</x:v>
      </x:c>
      <x:c r="M984" s="82" t="n">
        <x:v>25.5</x:v>
      </x:c>
      <x:c r="N984" s="86" t="n">
        <x:v>1061</x:v>
      </x:c>
      <x:c r="O984" s="90" t="n">
        <x:v>6.37</x:v>
      </x:c>
      <x:c r="P984" s="150" t="n">
        <x:v>3.974</x:v>
      </x:c>
      <x:c r="Q984" s="86" t="n">
        <x:v>22</x:v>
      </x:c>
      <x:c r="R984" s="32"/>
      <x:c r="S984" s="32" t="str">
        <x:v>ok</x:v>
      </x:c>
      <x:c r="T984" s="32" t="str">
        <x:v>ok</x:v>
      </x:c>
      <x:c r="U984" s="32" t="str">
        <x:v>ok</x:v>
      </x:c>
      <x:c r="V984" s="32" t="str">
        <x:v>ok</x:v>
      </x:c>
      <x:c r="W984" s="154" t="str">
        <x:v>{"schema_version":1,"imei":"862323089930721","timestamp":1786026953,"report_sequence":41,"task_version":"rice_tension_soil_demo","sensor_mode":"tension_soil","soil_moisture_percent":40.6,"soil_temperature_c":25.5,"soil_ec_us_cm":1061,"soil_ph":6.37,"battery_mv":3974,"csq":22,"soil_rs485_status":"ok","cycle_status":"ok","soil_tension_kpa":-25.6,"soil_tension_rs485_status":"ok"}</x:v>
      </x:c>
    </x:row>
    <x:row r="985">
      <x:c r="A985" s="72" t="n">
        <x:v>46240.94158564815</x:v>
      </x:c>
      <x:c r="B985" s="72" t="n">
        <x:v>46240.94159953704</x:v>
      </x:c>
      <x:c r="C985" s="32" t="str">
        <x:v>P22</x:v>
      </x:c>
      <x:c r="D985" s="32" t="str">
        <x:v>B4-W1-V2</x:v>
      </x:c>
      <x:c r="E985" s="32" t="str">
        <x:v>B4</x:v>
      </x:c>
      <x:c r="F985" s="32" t="str">
        <x:v>W1</x:v>
      </x:c>
      <x:c r="G985" s="32" t="str">
        <x:v>V2</x:v>
      </x:c>
      <x:c r="H985" s="32" t="str">
        <x:v>tension_soil</x:v>
      </x:c>
      <x:c r="I985" s="32" t="str">
        <x:v>862323089930722</x:v>
      </x:c>
      <x:c r="J985" s="82"/>
      <x:c r="K985" s="82" t="n">
        <x:v>-26.9</x:v>
      </x:c>
      <x:c r="L985" s="82" t="n">
        <x:v>41.9</x:v>
      </x:c>
      <x:c r="M985" s="82" t="n">
        <x:v>25.6</x:v>
      </x:c>
      <x:c r="N985" s="86" t="n">
        <x:v>1077</x:v>
      </x:c>
      <x:c r="O985" s="90" t="n">
        <x:v>6.43</x:v>
      </x:c>
      <x:c r="P985" s="150" t="n">
        <x:v>3.992</x:v>
      </x:c>
      <x:c r="Q985" s="86" t="n">
        <x:v>23</x:v>
      </x:c>
      <x:c r="R985" s="32"/>
      <x:c r="S985" s="32" t="str">
        <x:v>ok</x:v>
      </x:c>
      <x:c r="T985" s="32" t="str">
        <x:v>ok</x:v>
      </x:c>
      <x:c r="U985" s="32" t="str">
        <x:v>ok</x:v>
      </x:c>
      <x:c r="V985" s="32" t="str">
        <x:v>ok</x:v>
      </x:c>
      <x:c r="W985" s="154" t="str">
        <x:v>{"schema_version":1,"imei":"862323089930722","timestamp":1786026953,"report_sequence":41,"task_version":"rice_tension_soil_demo","sensor_mode":"tension_soil","soil_moisture_percent":41.9,"soil_temperature_c":25.6,"soil_ec_us_cm":1077,"soil_ph":6.43,"battery_mv":3992,"csq":23,"soil_rs485_status":"ok","cycle_status":"ok","soil_tension_kpa":-26.9,"soil_tension_rs485_status":"ok"}</x:v>
      </x:c>
    </x:row>
    <x:row r="986">
      <x:c r="A986" s="72" t="n">
        <x:v>46240.94158564815</x:v>
      </x:c>
      <x:c r="B986" s="72" t="n">
        <x:v>46240.94159953704</x:v>
      </x:c>
      <x:c r="C986" s="32" t="str">
        <x:v>P23</x:v>
      </x:c>
      <x:c r="D986" s="32" t="str">
        <x:v>B4-W2-V1</x:v>
      </x:c>
      <x:c r="E986" s="32" t="str">
        <x:v>B4</x:v>
      </x:c>
      <x:c r="F986" s="32" t="str">
        <x:v>W2</x:v>
      </x:c>
      <x:c r="G986" s="32" t="str">
        <x:v>V1</x:v>
      </x:c>
      <x:c r="H986" s="32" t="str">
        <x:v>tension_soil</x:v>
      </x:c>
      <x:c r="I986" s="32" t="str">
        <x:v>862323089930723</x:v>
      </x:c>
      <x:c r="J986" s="82"/>
      <x:c r="K986" s="82" t="n">
        <x:v>-39</x:v>
      </x:c>
      <x:c r="L986" s="82" t="n">
        <x:v>43</x:v>
      </x:c>
      <x:c r="M986" s="82" t="n">
        <x:v>25.6</x:v>
      </x:c>
      <x:c r="N986" s="86" t="n">
        <x:v>1091</x:v>
      </x:c>
      <x:c r="O986" s="90" t="n">
        <x:v>6.48</x:v>
      </x:c>
      <x:c r="P986" s="150" t="n">
        <x:v>4.01</x:v>
      </x:c>
      <x:c r="Q986" s="86" t="n">
        <x:v>24</x:v>
      </x:c>
      <x:c r="R986" s="32"/>
      <x:c r="S986" s="32" t="str">
        <x:v>ok</x:v>
      </x:c>
      <x:c r="T986" s="32" t="str">
        <x:v>ok</x:v>
      </x:c>
      <x:c r="U986" s="32" t="str">
        <x:v>ok</x:v>
      </x:c>
      <x:c r="V986" s="32" t="str">
        <x:v>ok</x:v>
      </x:c>
      <x:c r="W986" s="154" t="str">
        <x:v>{"schema_version":1,"imei":"862323089930723","timestamp":1786026953,"report_sequence":41,"task_version":"rice_tension_soil_demo","sensor_mode":"tension_soil","soil_moisture_percent":43,"soil_temperature_c":25.6,"soil_ec_us_cm":1091,"soil_ph":6.48,"battery_mv":4010,"csq":24,"soil_rs485_status":"ok","cycle_status":"ok","soil_tension_kpa":-39,"soil_tension_rs485_status":"ok"}</x:v>
      </x:c>
    </x:row>
    <x:row r="987">
      <x:c r="A987" s="72" t="n">
        <x:v>46240.94158564815</x:v>
      </x:c>
      <x:c r="B987" s="72" t="n">
        <x:v>46240.94159953704</x:v>
      </x:c>
      <x:c r="C987" s="32" t="str">
        <x:v>P24</x:v>
      </x:c>
      <x:c r="D987" s="32" t="str">
        <x:v>B4-W2-V2</x:v>
      </x:c>
      <x:c r="E987" s="32" t="str">
        <x:v>B4</x:v>
      </x:c>
      <x:c r="F987" s="32" t="str">
        <x:v>W2</x:v>
      </x:c>
      <x:c r="G987" s="32" t="str">
        <x:v>V2</x:v>
      </x:c>
      <x:c r="H987" s="32" t="str">
        <x:v>tension_soil</x:v>
      </x:c>
      <x:c r="I987" s="32" t="str">
        <x:v>862323089930724</x:v>
      </x:c>
      <x:c r="J987" s="82"/>
      <x:c r="K987" s="82" t="n">
        <x:v>-40</x:v>
      </x:c>
      <x:c r="L987" s="82" t="n">
        <x:v>36</x:v>
      </x:c>
      <x:c r="M987" s="82" t="n">
        <x:v>25.6</x:v>
      </x:c>
      <x:c r="N987" s="86" t="n">
        <x:v>1103</x:v>
      </x:c>
      <x:c r="O987" s="90" t="n">
        <x:v>6.53</x:v>
      </x:c>
      <x:c r="P987" s="150" t="n">
        <x:v>3.92</x:v>
      </x:c>
      <x:c r="Q987" s="86" t="n">
        <x:v>17</x:v>
      </x:c>
      <x:c r="R987" s="32"/>
      <x:c r="S987" s="32" t="str">
        <x:v>ok</x:v>
      </x:c>
      <x:c r="T987" s="32" t="str">
        <x:v>ok</x:v>
      </x:c>
      <x:c r="U987" s="32" t="str">
        <x:v>ok</x:v>
      </x:c>
      <x:c r="V987" s="32" t="str">
        <x:v>ok</x:v>
      </x:c>
      <x:c r="W987" s="154" t="str">
        <x:v>{"schema_version":1,"imei":"862323089930724","timestamp":1786026953,"report_sequence":41,"task_version":"rice_tension_soil_demo","sensor_mode":"tension_soil","soil_moisture_percent":36,"soil_temperature_c":25.6,"soil_ec_us_cm":1103,"soil_ph":6.53,"battery_mv":3920,"csq":17,"soil_rs485_status":"ok","cycle_status":"ok","soil_tension_kpa":-40,"soil_tension_rs485_status":"ok"}</x:v>
      </x:c>
    </x:row>
    <x:row r="988">
      <x:c r="A988" s="72" t="n">
        <x:v>46240.94505787037</x:v>
      </x:c>
      <x:c r="B988" s="72" t="n">
        <x:v>46240.94507175926</x:v>
      </x:c>
      <x:c r="C988" s="32" t="str">
        <x:v>P01</x:v>
      </x:c>
      <x:c r="D988" s="32" t="str">
        <x:v>B1-W0-V1</x:v>
      </x:c>
      <x:c r="E988" s="32" t="str">
        <x:v>B1</x:v>
      </x:c>
      <x:c r="F988" s="32" t="str">
        <x:v>W0</x:v>
      </x:c>
      <x:c r="G988" s="32" t="str">
        <x:v>V1</x:v>
      </x:c>
      <x:c r="H988" s="32" t="str">
        <x:v>water_soil</x:v>
      </x:c>
      <x:c r="I988" s="32" t="str">
        <x:v>862323089930701</x:v>
      </x:c>
      <x:c r="J988" s="82" t="n">
        <x:v>35.5</x:v>
      </x:c>
      <x:c r="K988" s="82"/>
      <x:c r="L988" s="82" t="n">
        <x:v>36.8</x:v>
      </x:c>
      <x:c r="M988" s="82" t="n">
        <x:v>25.6</x:v>
      </x:c>
      <x:c r="N988" s="86" t="n">
        <x:v>824</x:v>
      </x:c>
      <x:c r="O988" s="90" t="n">
        <x:v>6.38</x:v>
      </x:c>
      <x:c r="P988" s="150" t="n">
        <x:v>3.938</x:v>
      </x:c>
      <x:c r="Q988" s="86" t="n">
        <x:v>18</x:v>
      </x:c>
      <x:c r="R988" s="32" t="str">
        <x:v>ok</x:v>
      </x:c>
      <x:c r="S988" s="32"/>
      <x:c r="T988" s="32" t="str">
        <x:v>ok</x:v>
      </x:c>
      <x:c r="U988" s="32" t="str">
        <x:v>ok</x:v>
      </x:c>
      <x:c r="V988" s="32" t="str">
        <x:v>ok</x:v>
      </x:c>
      <x:c r="W988" s="154" t="str">
        <x:v>{"schema_version":1,"imei":"862323089930701","timestamp":1786027253,"report_sequence":42,"task_version":"rice_w0_water_soil_demo","sensor_mode":"water_soil","soil_moisture_percent":36.8,"soil_temperature_c":25.6,"soil_ec_us_cm":824,"soil_ph":6.38,"battery_mv":3938,"csq":18,"soil_rs485_status":"ok","cycle_status":"ok","water_level_mm":35.5,"water_4_20ma_status":"ok"}</x:v>
      </x:c>
    </x:row>
    <x:row r="989">
      <x:c r="A989" s="72" t="n">
        <x:v>46240.94505787037</x:v>
      </x:c>
      <x:c r="B989" s="72" t="n">
        <x:v>46240.94507175926</x:v>
      </x:c>
      <x:c r="C989" s="32" t="str">
        <x:v>P02</x:v>
      </x:c>
      <x:c r="D989" s="32" t="str">
        <x:v>B1-W0-V2</x:v>
      </x:c>
      <x:c r="E989" s="32" t="str">
        <x:v>B1</x:v>
      </x:c>
      <x:c r="F989" s="32" t="str">
        <x:v>W0</x:v>
      </x:c>
      <x:c r="G989" s="32" t="str">
        <x:v>V2</x:v>
      </x:c>
      <x:c r="H989" s="32" t="str">
        <x:v>water_soil</x:v>
      </x:c>
      <x:c r="I989" s="32" t="str">
        <x:v>862323089930702</x:v>
      </x:c>
      <x:c r="J989" s="82" t="n">
        <x:v>37.9</x:v>
      </x:c>
      <x:c r="K989" s="82"/>
      <x:c r="L989" s="82" t="n">
        <x:v>37.6</x:v>
      </x:c>
      <x:c r="M989" s="82" t="n">
        <x:v>25.5</x:v>
      </x:c>
      <x:c r="N989" s="86" t="n">
        <x:v>831</x:v>
      </x:c>
      <x:c r="O989" s="90" t="n">
        <x:v>6.42</x:v>
      </x:c>
      <x:c r="P989" s="150" t="n">
        <x:v>3.956</x:v>
      </x:c>
      <x:c r="Q989" s="86" t="n">
        <x:v>19</x:v>
      </x:c>
      <x:c r="R989" s="32" t="str">
        <x:v>ok</x:v>
      </x:c>
      <x:c r="S989" s="32"/>
      <x:c r="T989" s="32" t="str">
        <x:v>ok</x:v>
      </x:c>
      <x:c r="U989" s="32" t="str">
        <x:v>ok</x:v>
      </x:c>
      <x:c r="V989" s="32" t="str">
        <x:v>ok</x:v>
      </x:c>
      <x:c r="W989" s="154" t="str">
        <x:v>{"schema_version":1,"imei":"862323089930702","timestamp":1786027253,"report_sequence":42,"task_version":"rice_w0_water_soil_demo","sensor_mode":"water_soil","soil_moisture_percent":37.6,"soil_temperature_c":25.5,"soil_ec_us_cm":831,"soil_ph":6.42,"battery_mv":3956,"csq":19,"soil_rs485_status":"ok","cycle_status":"ok","water_level_mm":37.9,"water_4_20ma_status":"ok"}</x:v>
      </x:c>
    </x:row>
    <x:row r="990">
      <x:c r="A990" s="72" t="n">
        <x:v>46240.94505787037</x:v>
      </x:c>
      <x:c r="B990" s="72" t="n">
        <x:v>46240.94507175926</x:v>
      </x:c>
      <x:c r="C990" s="32" t="str">
        <x:v>P03</x:v>
      </x:c>
      <x:c r="D990" s="32" t="str">
        <x:v>B1-W1-V1</x:v>
      </x:c>
      <x:c r="E990" s="32" t="str">
        <x:v>B1</x:v>
      </x:c>
      <x:c r="F990" s="32" t="str">
        <x:v>W1</x:v>
      </x:c>
      <x:c r="G990" s="32" t="str">
        <x:v>V1</x:v>
      </x:c>
      <x:c r="H990" s="32" t="str">
        <x:v>tension_soil</x:v>
      </x:c>
      <x:c r="I990" s="32" t="str">
        <x:v>862323089930703</x:v>
      </x:c>
      <x:c r="J990" s="82"/>
      <x:c r="K990" s="82" t="n">
        <x:v>-27.2</x:v>
      </x:c>
      <x:c r="L990" s="82" t="n">
        <x:v>38.2</x:v>
      </x:c>
      <x:c r="M990" s="82" t="n">
        <x:v>25.4</x:v>
      </x:c>
      <x:c r="N990" s="86" t="n">
        <x:v>837</x:v>
      </x:c>
      <x:c r="O990" s="90" t="n">
        <x:v>6.47</x:v>
      </x:c>
      <x:c r="P990" s="150" t="n">
        <x:v>3.974</x:v>
      </x:c>
      <x:c r="Q990" s="86" t="n">
        <x:v>20</x:v>
      </x:c>
      <x:c r="R990" s="32"/>
      <x:c r="S990" s="32" t="str">
        <x:v>ok</x:v>
      </x:c>
      <x:c r="T990" s="32" t="str">
        <x:v>ok</x:v>
      </x:c>
      <x:c r="U990" s="32" t="str">
        <x:v>ok</x:v>
      </x:c>
      <x:c r="V990" s="32" t="str">
        <x:v>ok</x:v>
      </x:c>
      <x:c r="W990" s="154" t="str">
        <x:v>{"schema_version":1,"imei":"862323089930703","timestamp":1786027253,"report_sequence":42,"task_version":"rice_tension_soil_demo","sensor_mode":"tension_soil","soil_moisture_percent":38.2,"soil_temperature_c":25.4,"soil_ec_us_cm":837,"soil_ph":6.47,"battery_mv":3974,"csq":20,"soil_rs485_status":"ok","cycle_status":"ok","soil_tension_kpa":-27.2,"soil_tension_rs485_status":"ok"}</x:v>
      </x:c>
    </x:row>
    <x:row r="991">
      <x:c r="A991" s="72" t="n">
        <x:v>46240.94505787037</x:v>
      </x:c>
      <x:c r="B991" s="72" t="n">
        <x:v>46240.94507175926</x:v>
      </x:c>
      <x:c r="C991" s="32" t="str">
        <x:v>P04</x:v>
      </x:c>
      <x:c r="D991" s="32" t="str">
        <x:v>B1-W1-V2</x:v>
      </x:c>
      <x:c r="E991" s="32" t="str">
        <x:v>B1</x:v>
      </x:c>
      <x:c r="F991" s="32" t="str">
        <x:v>W1</x:v>
      </x:c>
      <x:c r="G991" s="32" t="str">
        <x:v>V2</x:v>
      </x:c>
      <x:c r="H991" s="32" t="str">
        <x:v>tension_soil</x:v>
      </x:c>
      <x:c r="I991" s="32" t="str">
        <x:v>862323089930704</x:v>
      </x:c>
      <x:c r="J991" s="82"/>
      <x:c r="K991" s="82" t="n">
        <x:v>-27.8</x:v>
      </x:c>
      <x:c r="L991" s="82" t="n">
        <x:v>38.8</x:v>
      </x:c>
      <x:c r="M991" s="82" t="n">
        <x:v>25.3</x:v>
      </x:c>
      <x:c r="N991" s="86" t="n">
        <x:v>841</x:v>
      </x:c>
      <x:c r="O991" s="90" t="n">
        <x:v>6.51</x:v>
      </x:c>
      <x:c r="P991" s="150" t="n">
        <x:v>3.992</x:v>
      </x:c>
      <x:c r="Q991" s="86" t="n">
        <x:v>21</x:v>
      </x:c>
      <x:c r="R991" s="32"/>
      <x:c r="S991" s="32" t="str">
        <x:v>ok</x:v>
      </x:c>
      <x:c r="T991" s="32" t="str">
        <x:v>ok</x:v>
      </x:c>
      <x:c r="U991" s="32" t="str">
        <x:v>ok</x:v>
      </x:c>
      <x:c r="V991" s="32" t="str">
        <x:v>ok</x:v>
      </x:c>
      <x:c r="W991" s="154" t="str">
        <x:v>{"schema_version":1,"imei":"862323089930704","timestamp":1786027253,"report_sequence":42,"task_version":"rice_tension_soil_demo","sensor_mode":"tension_soil","soil_moisture_percent":38.8,"soil_temperature_c":25.3,"soil_ec_us_cm":841,"soil_ph":6.51,"battery_mv":3992,"csq":21,"soil_rs485_status":"ok","cycle_status":"ok","soil_tension_kpa":-27.8,"soil_tension_rs485_status":"ok"}</x:v>
      </x:c>
    </x:row>
    <x:row r="992">
      <x:c r="A992" s="72" t="n">
        <x:v>46240.94505787037</x:v>
      </x:c>
      <x:c r="B992" s="72" t="n">
        <x:v>46240.94507175926</x:v>
      </x:c>
      <x:c r="C992" s="32" t="str">
        <x:v>P05</x:v>
      </x:c>
      <x:c r="D992" s="32" t="str">
        <x:v>B1-W2-V1</x:v>
      </x:c>
      <x:c r="E992" s="32" t="str">
        <x:v>B1</x:v>
      </x:c>
      <x:c r="F992" s="32" t="str">
        <x:v>W2</x:v>
      </x:c>
      <x:c r="G992" s="32" t="str">
        <x:v>V1</x:v>
      </x:c>
      <x:c r="H992" s="32" t="str">
        <x:v>tension_soil</x:v>
      </x:c>
      <x:c r="I992" s="32" t="str">
        <x:v>862323089930705</x:v>
      </x:c>
      <x:c r="J992" s="82"/>
      <x:c r="K992" s="82" t="n">
        <x:v>-34.3</x:v>
      </x:c>
      <x:c r="L992" s="82" t="n">
        <x:v>39.3</x:v>
      </x:c>
      <x:c r="M992" s="82" t="n">
        <x:v>25.2</x:v>
      </x:c>
      <x:c r="N992" s="86" t="n">
        <x:v>845</x:v>
      </x:c>
      <x:c r="O992" s="90" t="n">
        <x:v>6.3</x:v>
      </x:c>
      <x:c r="P992" s="150" t="n">
        <x:v>4.01</x:v>
      </x:c>
      <x:c r="Q992" s="86" t="n">
        <x:v>22</x:v>
      </x:c>
      <x:c r="R992" s="32"/>
      <x:c r="S992" s="32" t="str">
        <x:v>ok</x:v>
      </x:c>
      <x:c r="T992" s="32" t="str">
        <x:v>ok</x:v>
      </x:c>
      <x:c r="U992" s="32" t="str">
        <x:v>ok</x:v>
      </x:c>
      <x:c r="V992" s="32" t="str">
        <x:v>ok</x:v>
      </x:c>
      <x:c r="W992" s="154" t="str">
        <x:v>{"schema_version":1,"imei":"862323089930705","timestamp":1786027253,"report_sequence":42,"task_version":"rice_tension_soil_demo","sensor_mode":"tension_soil","soil_moisture_percent":39.3,"soil_temperature_c":25.2,"soil_ec_us_cm":845,"soil_ph":6.3,"battery_mv":4010,"csq":22,"soil_rs485_status":"ok","cycle_status":"ok","soil_tension_kpa":-34.3,"soil_tension_rs485_status":"ok"}</x:v>
      </x:c>
    </x:row>
    <x:row r="993">
      <x:c r="A993" s="72" t="n">
        <x:v>46240.94505787037</x:v>
      </x:c>
      <x:c r="B993" s="72" t="n">
        <x:v>46240.94507175926</x:v>
      </x:c>
      <x:c r="C993" s="32" t="str">
        <x:v>P06</x:v>
      </x:c>
      <x:c r="D993" s="32" t="str">
        <x:v>B1-W2-V2</x:v>
      </x:c>
      <x:c r="E993" s="32" t="str">
        <x:v>B1</x:v>
      </x:c>
      <x:c r="F993" s="32" t="str">
        <x:v>W2</x:v>
      </x:c>
      <x:c r="G993" s="32" t="str">
        <x:v>V2</x:v>
      </x:c>
      <x:c r="H993" s="32" t="str">
        <x:v>tension_soil</x:v>
      </x:c>
      <x:c r="I993" s="32" t="str">
        <x:v>862323089930706</x:v>
      </x:c>
      <x:c r="J993" s="82"/>
      <x:c r="K993" s="82" t="n">
        <x:v>-34.8</x:v>
      </x:c>
      <x:c r="L993" s="82" t="n">
        <x:v>39.8</x:v>
      </x:c>
      <x:c r="M993" s="82" t="n">
        <x:v>25</x:v>
      </x:c>
      <x:c r="N993" s="86" t="n">
        <x:v>848</x:v>
      </x:c>
      <x:c r="O993" s="90" t="n">
        <x:v>6.35</x:v>
      </x:c>
      <x:c r="P993" s="150" t="n">
        <x:v>3.92</x:v>
      </x:c>
      <x:c r="Q993" s="86" t="n">
        <x:v>23</x:v>
      </x:c>
      <x:c r="R993" s="32"/>
      <x:c r="S993" s="32" t="str">
        <x:v>ok</x:v>
      </x:c>
      <x:c r="T993" s="32" t="str">
        <x:v>ok</x:v>
      </x:c>
      <x:c r="U993" s="32" t="str">
        <x:v>ok</x:v>
      </x:c>
      <x:c r="V993" s="32" t="str">
        <x:v>ok</x:v>
      </x:c>
      <x:c r="W993" s="154" t="str">
        <x:v>{"schema_version":1,"imei":"862323089930706","timestamp":1786027253,"report_sequence":42,"task_version":"rice_tension_soil_demo","sensor_mode":"tension_soil","soil_moisture_percent":39.8,"soil_temperature_c":25,"soil_ec_us_cm":848,"soil_ph":6.35,"battery_mv":3920,"csq":23,"soil_rs485_status":"ok","cycle_status":"ok","soil_tension_kpa":-34.8,"soil_tension_rs485_status":"ok"}</x:v>
      </x:c>
    </x:row>
    <x:row r="994">
      <x:c r="A994" s="72" t="n">
        <x:v>46240.94505787037</x:v>
      </x:c>
      <x:c r="B994" s="72" t="n">
        <x:v>46240.94507175926</x:v>
      </x:c>
      <x:c r="C994" s="32" t="str">
        <x:v>P07</x:v>
      </x:c>
      <x:c r="D994" s="32" t="str">
        <x:v>B2-W0-V1</x:v>
      </x:c>
      <x:c r="E994" s="32" t="str">
        <x:v>B2</x:v>
      </x:c>
      <x:c r="F994" s="32" t="str">
        <x:v>W0</x:v>
      </x:c>
      <x:c r="G994" s="32" t="str">
        <x:v>V1</x:v>
      </x:c>
      <x:c r="H994" s="32" t="str">
        <x:v>water_soil</x:v>
      </x:c>
      <x:c r="I994" s="32" t="str">
        <x:v>862323089930707</x:v>
      </x:c>
      <x:c r="J994" s="82" t="n">
        <x:v>35.2</x:v>
      </x:c>
      <x:c r="K994" s="82"/>
      <x:c r="L994" s="82" t="n">
        <x:v>40.3</x:v>
      </x:c>
      <x:c r="M994" s="82" t="n">
        <x:v>24.9</x:v>
      </x:c>
      <x:c r="N994" s="86" t="n">
        <x:v>852</x:v>
      </x:c>
      <x:c r="O994" s="90" t="n">
        <x:v>6.39</x:v>
      </x:c>
      <x:c r="P994" s="150" t="n">
        <x:v>3.938</x:v>
      </x:c>
      <x:c r="Q994" s="86" t="n">
        <x:v>24</x:v>
      </x:c>
      <x:c r="R994" s="32" t="str">
        <x:v>ok</x:v>
      </x:c>
      <x:c r="S994" s="32"/>
      <x:c r="T994" s="32" t="str">
        <x:v>ok</x:v>
      </x:c>
      <x:c r="U994" s="32" t="str">
        <x:v>ok</x:v>
      </x:c>
      <x:c r="V994" s="32" t="str">
        <x:v>ok</x:v>
      </x:c>
      <x:c r="W994" s="154" t="str">
        <x:v>{"schema_version":1,"imei":"862323089930707","timestamp":1786027253,"report_sequence":42,"task_version":"rice_w0_water_soil_demo","sensor_mode":"water_soil","soil_moisture_percent":40.3,"soil_temperature_c":24.9,"soil_ec_us_cm":852,"soil_ph":6.39,"battery_mv":3938,"csq":24,"soil_rs485_status":"ok","cycle_status":"ok","water_level_mm":35.2,"water_4_20ma_status":"ok"}</x:v>
      </x:c>
    </x:row>
    <x:row r="995">
      <x:c r="A995" s="72" t="n">
        <x:v>46240.94505787037</x:v>
      </x:c>
      <x:c r="B995" s="72" t="n">
        <x:v>46240.94507175926</x:v>
      </x:c>
      <x:c r="C995" s="32" t="str">
        <x:v>P08</x:v>
      </x:c>
      <x:c r="D995" s="32" t="str">
        <x:v>B2-W0-V2</x:v>
      </x:c>
      <x:c r="E995" s="32" t="str">
        <x:v>B2</x:v>
      </x:c>
      <x:c r="F995" s="32" t="str">
        <x:v>W0</x:v>
      </x:c>
      <x:c r="G995" s="32" t="str">
        <x:v>V2</x:v>
      </x:c>
      <x:c r="H995" s="32" t="str">
        <x:v>water_soil</x:v>
      </x:c>
      <x:c r="I995" s="32" t="str">
        <x:v>862323089930708</x:v>
      </x:c>
      <x:c r="J995" s="82" t="n">
        <x:v>25.1</x:v>
      </x:c>
      <x:c r="K995" s="82"/>
      <x:c r="L995" s="82" t="n">
        <x:v>32.9</x:v>
      </x:c>
      <x:c r="M995" s="82" t="n">
        <x:v>24.8</x:v>
      </x:c>
      <x:c r="N995" s="86" t="n">
        <x:v>856</x:v>
      </x:c>
      <x:c r="O995" s="90" t="n">
        <x:v>6.43</x:v>
      </x:c>
      <x:c r="P995" s="150" t="n">
        <x:v>3.956</x:v>
      </x:c>
      <x:c r="Q995" s="86" t="n">
        <x:v>17</x:v>
      </x:c>
      <x:c r="R995" s="32" t="str">
        <x:v>ok</x:v>
      </x:c>
      <x:c r="S995" s="32"/>
      <x:c r="T995" s="32" t="str">
        <x:v>ok</x:v>
      </x:c>
      <x:c r="U995" s="32" t="str">
        <x:v>ok</x:v>
      </x:c>
      <x:c r="V995" s="32" t="str">
        <x:v>ok</x:v>
      </x:c>
      <x:c r="W995" s="154" t="str">
        <x:v>{"schema_version":1,"imei":"862323089930708","timestamp":1786027253,"report_sequence":42,"task_version":"rice_w0_water_soil_demo","sensor_mode":"water_soil","soil_moisture_percent":32.9,"soil_temperature_c":24.8,"soil_ec_us_cm":856,"soil_ph":6.43,"battery_mv":3956,"csq":17,"soil_rs485_status":"ok","cycle_status":"ok","water_level_mm":25.1,"water_4_20ma_status":"ok"}</x:v>
      </x:c>
    </x:row>
    <x:row r="996">
      <x:c r="A996" s="72" t="n">
        <x:v>46240.94505787037</x:v>
      </x:c>
      <x:c r="B996" s="72" t="n">
        <x:v>46240.94507175926</x:v>
      </x:c>
      <x:c r="C996" s="32" t="str">
        <x:v>P09</x:v>
      </x:c>
      <x:c r="D996" s="32" t="str">
        <x:v>B2-W1-V1</x:v>
      </x:c>
      <x:c r="E996" s="32" t="str">
        <x:v>B2</x:v>
      </x:c>
      <x:c r="F996" s="32" t="str">
        <x:v>W1</x:v>
      </x:c>
      <x:c r="G996" s="32" t="str">
        <x:v>V1</x:v>
      </x:c>
      <x:c r="H996" s="32" t="str">
        <x:v>tension_soil</x:v>
      </x:c>
      <x:c r="I996" s="32" t="str">
        <x:v>862323089930709</x:v>
      </x:c>
      <x:c r="J996" s="82"/>
      <x:c r="K996" s="82" t="n">
        <x:v>-25.5</x:v>
      </x:c>
      <x:c r="L996" s="82" t="n">
        <x:v>33.5</x:v>
      </x:c>
      <x:c r="M996" s="82" t="n">
        <x:v>24.7</x:v>
      </x:c>
      <x:c r="N996" s="86" t="n">
        <x:v>862</x:v>
      </x:c>
      <x:c r="O996" s="90" t="n">
        <x:v>6.48</x:v>
      </x:c>
      <x:c r="P996" s="150" t="n">
        <x:v>3.974</x:v>
      </x:c>
      <x:c r="Q996" s="86" t="n">
        <x:v>18</x:v>
      </x:c>
      <x:c r="R996" s="32"/>
      <x:c r="S996" s="32" t="str">
        <x:v>ok</x:v>
      </x:c>
      <x:c r="T996" s="32" t="str">
        <x:v>ok</x:v>
      </x:c>
      <x:c r="U996" s="32" t="str">
        <x:v>ok</x:v>
      </x:c>
      <x:c r="V996" s="32" t="str">
        <x:v>ok</x:v>
      </x:c>
      <x:c r="W996" s="154" t="str">
        <x:v>{"schema_version":1,"imei":"862323089930709","timestamp":1786027253,"report_sequence":42,"task_version":"rice_tension_soil_demo","sensor_mode":"tension_soil","soil_moisture_percent":33.5,"soil_temperature_c":24.7,"soil_ec_us_cm":862,"soil_ph":6.48,"battery_mv":3974,"csq":18,"soil_rs485_status":"ok","cycle_status":"ok","soil_tension_kpa":-25.5,"soil_tension_rs485_status":"ok"}</x:v>
      </x:c>
    </x:row>
    <x:row r="997">
      <x:c r="A997" s="72" t="n">
        <x:v>46240.94505787037</x:v>
      </x:c>
      <x:c r="B997" s="72" t="n">
        <x:v>46240.94507175926</x:v>
      </x:c>
      <x:c r="C997" s="32" t="str">
        <x:v>P10</x:v>
      </x:c>
      <x:c r="D997" s="32" t="str">
        <x:v>B2-W1-V2</x:v>
      </x:c>
      <x:c r="E997" s="32" t="str">
        <x:v>B2</x:v>
      </x:c>
      <x:c r="F997" s="32" t="str">
        <x:v>W1</x:v>
      </x:c>
      <x:c r="G997" s="32" t="str">
        <x:v>V2</x:v>
      </x:c>
      <x:c r="H997" s="32" t="str">
        <x:v>tension_soil</x:v>
      </x:c>
      <x:c r="I997" s="32" t="str">
        <x:v>862323089930710</x:v>
      </x:c>
      <x:c r="J997" s="82"/>
      <x:c r="K997" s="82" t="n">
        <x:v>-21.2</x:v>
      </x:c>
      <x:c r="L997" s="82" t="n">
        <x:v>34.2</x:v>
      </x:c>
      <x:c r="M997" s="82" t="n">
        <x:v>24.7</x:v>
      </x:c>
      <x:c r="N997" s="86" t="n">
        <x:v>869</x:v>
      </x:c>
      <x:c r="O997" s="90" t="n">
        <x:v>6.27</x:v>
      </x:c>
      <x:c r="P997" s="150" t="n">
        <x:v>3.992</x:v>
      </x:c>
      <x:c r="Q997" s="86" t="n">
        <x:v>19</x:v>
      </x:c>
      <x:c r="R997" s="32"/>
      <x:c r="S997" s="32" t="str">
        <x:v>ok</x:v>
      </x:c>
      <x:c r="T997" s="32" t="str">
        <x:v>ok</x:v>
      </x:c>
      <x:c r="U997" s="32" t="str">
        <x:v>ok</x:v>
      </x:c>
      <x:c r="V997" s="32" t="str">
        <x:v>ok</x:v>
      </x:c>
      <x:c r="W997" s="154" t="str">
        <x:v>{"schema_version":1,"imei":"862323089930710","timestamp":1786027253,"report_sequence":42,"task_version":"rice_tension_soil_demo","sensor_mode":"tension_soil","soil_moisture_percent":34.2,"soil_temperature_c":24.7,"soil_ec_us_cm":869,"soil_ph":6.27,"battery_mv":3992,"csq":19,"soil_rs485_status":"ok","cycle_status":"ok","soil_tension_kpa":-21.2,"soil_tension_rs485_status":"ok"}</x:v>
      </x:c>
    </x:row>
    <x:row r="998">
      <x:c r="A998" s="72" t="n">
        <x:v>46240.94505787037</x:v>
      </x:c>
      <x:c r="B998" s="72" t="n">
        <x:v>46240.94507175926</x:v>
      </x:c>
      <x:c r="C998" s="32" t="str">
        <x:v>P11</x:v>
      </x:c>
      <x:c r="D998" s="32" t="str">
        <x:v>B2-W2-V1</x:v>
      </x:c>
      <x:c r="E998" s="32" t="str">
        <x:v>B2</x:v>
      </x:c>
      <x:c r="F998" s="32" t="str">
        <x:v>W2</x:v>
      </x:c>
      <x:c r="G998" s="32" t="str">
        <x:v>V1</x:v>
      </x:c>
      <x:c r="H998" s="32" t="str">
        <x:v>tension_soil</x:v>
      </x:c>
      <x:c r="I998" s="32" t="str">
        <x:v>862323089930711</x:v>
      </x:c>
      <x:c r="J998" s="82"/>
      <x:c r="K998" s="82" t="n">
        <x:v>-33</x:v>
      </x:c>
      <x:c r="L998" s="82" t="n">
        <x:v>35</x:v>
      </x:c>
      <x:c r="M998" s="82" t="n">
        <x:v>24.6</x:v>
      </x:c>
      <x:c r="N998" s="86" t="n">
        <x:v>878</x:v>
      </x:c>
      <x:c r="O998" s="90" t="n">
        <x:v>6.32</x:v>
      </x:c>
      <x:c r="P998" s="150" t="n">
        <x:v>4.01</x:v>
      </x:c>
      <x:c r="Q998" s="86" t="n">
        <x:v>20</x:v>
      </x:c>
      <x:c r="R998" s="32"/>
      <x:c r="S998" s="32" t="str">
        <x:v>ok</x:v>
      </x:c>
      <x:c r="T998" s="32" t="str">
        <x:v>ok</x:v>
      </x:c>
      <x:c r="U998" s="32" t="str">
        <x:v>ok</x:v>
      </x:c>
      <x:c r="V998" s="32" t="str">
        <x:v>ok</x:v>
      </x:c>
      <x:c r="W998" s="154" t="str">
        <x:v>{"schema_version":1,"imei":"862323089930711","timestamp":1786027253,"report_sequence":42,"task_version":"rice_tension_soil_demo","sensor_mode":"tension_soil","soil_moisture_percent":35,"soil_temperature_c":24.6,"soil_ec_us_cm":878,"soil_ph":6.32,"battery_mv":4010,"csq":20,"soil_rs485_status":"ok","cycle_status":"ok","soil_tension_kpa":-33,"soil_tension_rs485_status":"ok"}</x:v>
      </x:c>
    </x:row>
    <x:row r="999">
      <x:c r="A999" s="72" t="n">
        <x:v>46240.94505787037</x:v>
      </x:c>
      <x:c r="B999" s="72" t="n">
        <x:v>46240.94507175926</x:v>
      </x:c>
      <x:c r="C999" s="32" t="str">
        <x:v>P12</x:v>
      </x:c>
      <x:c r="D999" s="32" t="str">
        <x:v>B2-W2-V2</x:v>
      </x:c>
      <x:c r="E999" s="32" t="str">
        <x:v>B2</x:v>
      </x:c>
      <x:c r="F999" s="32" t="str">
        <x:v>W2</x:v>
      </x:c>
      <x:c r="G999" s="32" t="str">
        <x:v>V2</x:v>
      </x:c>
      <x:c r="H999" s="32" t="str">
        <x:v>tension_soil</x:v>
      </x:c>
      <x:c r="I999" s="32" t="str">
        <x:v>862323089930712</x:v>
      </x:c>
      <x:c r="J999" s="82"/>
      <x:c r="K999" s="82" t="n">
        <x:v>-34</x:v>
      </x:c>
      <x:c r="L999" s="82" t="n">
        <x:v>36</x:v>
      </x:c>
      <x:c r="M999" s="82" t="n">
        <x:v>24.6</x:v>
      </x:c>
      <x:c r="N999" s="86" t="n">
        <x:v>889</x:v>
      </x:c>
      <x:c r="O999" s="90" t="n">
        <x:v>6.37</x:v>
      </x:c>
      <x:c r="P999" s="150" t="n">
        <x:v>3.92</x:v>
      </x:c>
      <x:c r="Q999" s="86" t="n">
        <x:v>21</x:v>
      </x:c>
      <x:c r="R999" s="32"/>
      <x:c r="S999" s="32" t="str">
        <x:v>ok</x:v>
      </x:c>
      <x:c r="T999" s="32" t="str">
        <x:v>ok</x:v>
      </x:c>
      <x:c r="U999" s="32" t="str">
        <x:v>ok</x:v>
      </x:c>
      <x:c r="V999" s="32" t="str">
        <x:v>ok</x:v>
      </x:c>
      <x:c r="W999" s="154" t="str">
        <x:v>{"schema_version":1,"imei":"862323089930712","timestamp":1786027253,"report_sequence":42,"task_version":"rice_tension_soil_demo","sensor_mode":"tension_soil","soil_moisture_percent":36,"soil_temperature_c":24.6,"soil_ec_us_cm":889,"soil_ph":6.37,"battery_mv":3920,"csq":21,"soil_rs485_status":"ok","cycle_status":"ok","soil_tension_kpa":-34,"soil_tension_rs485_status":"ok"}</x:v>
      </x:c>
    </x:row>
    <x:row r="1000">
      <x:c r="A1000" s="72" t="n">
        <x:v>46240.94505787037</x:v>
      </x:c>
      <x:c r="B1000" s="72" t="n">
        <x:v>46240.94507175926</x:v>
      </x:c>
      <x:c r="C1000" s="32" t="str">
        <x:v>P13</x:v>
      </x:c>
      <x:c r="D1000" s="32" t="str">
        <x:v>B3-W0-V1</x:v>
      </x:c>
      <x:c r="E1000" s="32" t="str">
        <x:v>B3</x:v>
      </x:c>
      <x:c r="F1000" s="32" t="str">
        <x:v>W0</x:v>
      </x:c>
      <x:c r="G1000" s="32" t="str">
        <x:v>V1</x:v>
      </x:c>
      <x:c r="H1000" s="32" t="str">
        <x:v>water_soil</x:v>
      </x:c>
      <x:c r="I1000" s="32" t="str">
        <x:v>862323089930713</x:v>
      </x:c>
      <x:c r="J1000" s="82" t="n">
        <x:v>26.2</x:v>
      </x:c>
      <x:c r="K1000" s="82"/>
      <x:c r="L1000" s="82" t="n">
        <x:v>37.1</x:v>
      </x:c>
      <x:c r="M1000" s="82" t="n">
        <x:v>24.6</x:v>
      </x:c>
      <x:c r="N1000" s="86" t="n">
        <x:v>902</x:v>
      </x:c>
      <x:c r="O1000" s="90" t="n">
        <x:v>6.42</x:v>
      </x:c>
      <x:c r="P1000" s="150" t="n">
        <x:v>3.938</x:v>
      </x:c>
      <x:c r="Q1000" s="86" t="n">
        <x:v>22</x:v>
      </x:c>
      <x:c r="R1000" s="32" t="str">
        <x:v>ok</x:v>
      </x:c>
      <x:c r="S1000" s="32"/>
      <x:c r="T1000" s="32" t="str">
        <x:v>ok</x:v>
      </x:c>
      <x:c r="U1000" s="32" t="str">
        <x:v>ok</x:v>
      </x:c>
      <x:c r="V1000" s="32" t="str">
        <x:v>ok</x:v>
      </x:c>
      <x:c r="W1000" s="154" t="str">
        <x:v>{"schema_version":1,"imei":"862323089930713","timestamp":1786027253,"report_sequence":42,"task_version":"rice_w0_water_soil_demo","sensor_mode":"water_soil","soil_moisture_percent":37.1,"soil_temperature_c":24.6,"soil_ec_us_cm":902,"soil_ph":6.42,"battery_mv":3938,"csq":22,"soil_rs485_status":"ok","cycle_status":"ok","water_level_mm":26.2,"water_4_20ma_status":"ok"}</x:v>
      </x:c>
    </x:row>
    <x:row r="1001">
      <x:c r="A1001" s="72" t="n">
        <x:v>46240.94505787037</x:v>
      </x:c>
      <x:c r="B1001" s="72" t="n">
        <x:v>46240.94507175926</x:v>
      </x:c>
      <x:c r="C1001" s="32" t="str">
        <x:v>P14</x:v>
      </x:c>
      <x:c r="D1001" s="32" t="str">
        <x:v>B3-W0-V2</x:v>
      </x:c>
      <x:c r="E1001" s="32" t="str">
        <x:v>B3</x:v>
      </x:c>
      <x:c r="F1001" s="32" t="str">
        <x:v>W0</x:v>
      </x:c>
      <x:c r="G1001" s="32" t="str">
        <x:v>V2</x:v>
      </x:c>
      <x:c r="H1001" s="32" t="str">
        <x:v>water_soil</x:v>
      </x:c>
      <x:c r="I1001" s="32" t="str">
        <x:v>862323089930714</x:v>
      </x:c>
      <x:c r="J1001" s="82" t="n">
        <x:v>29.7</x:v>
      </x:c>
      <x:c r="K1001" s="82"/>
      <x:c r="L1001" s="82" t="n">
        <x:v>38.3</x:v>
      </x:c>
      <x:c r="M1001" s="82" t="n">
        <x:v>24.7</x:v>
      </x:c>
      <x:c r="N1001" s="86" t="n">
        <x:v>918</x:v>
      </x:c>
      <x:c r="O1001" s="90" t="n">
        <x:v>6.47</x:v>
      </x:c>
      <x:c r="P1001" s="150" t="n">
        <x:v>3.956</x:v>
      </x:c>
      <x:c r="Q1001" s="86" t="n">
        <x:v>23</x:v>
      </x:c>
      <x:c r="R1001" s="32" t="str">
        <x:v>ok</x:v>
      </x:c>
      <x:c r="S1001" s="32"/>
      <x:c r="T1001" s="32" t="str">
        <x:v>ok</x:v>
      </x:c>
      <x:c r="U1001" s="32" t="str">
        <x:v>ok</x:v>
      </x:c>
      <x:c r="V1001" s="32" t="str">
        <x:v>ok</x:v>
      </x:c>
      <x:c r="W1001" s="154" t="str">
        <x:v>{"schema_version":1,"imei":"862323089930714","timestamp":1786027253,"report_sequence":42,"task_version":"rice_w0_water_soil_demo","sensor_mode":"water_soil","soil_moisture_percent":38.3,"soil_temperature_c":24.7,"soil_ec_us_cm":918,"soil_ph":6.47,"battery_mv":3956,"csq":23,"soil_rs485_status":"ok","cycle_status":"ok","water_level_mm":29.7,"water_4_20ma_status":"ok"}</x:v>
      </x:c>
    </x:row>
    <x:row r="1002">
      <x:c r="A1002" s="72" t="n">
        <x:v>46240.94505787037</x:v>
      </x:c>
      <x:c r="B1002" s="72" t="n">
        <x:v>46240.94507175926</x:v>
      </x:c>
      <x:c r="C1002" s="32" t="str">
        <x:v>P15</x:v>
      </x:c>
      <x:c r="D1002" s="32" t="str">
        <x:v>B3-W1-V1</x:v>
      </x:c>
      <x:c r="E1002" s="32" t="str">
        <x:v>B3</x:v>
      </x:c>
      <x:c r="F1002" s="32" t="str">
        <x:v>W1</x:v>
      </x:c>
      <x:c r="G1002" s="32" t="str">
        <x:v>V1</x:v>
      </x:c>
      <x:c r="H1002" s="32" t="str">
        <x:v>tension_soil</x:v>
      </x:c>
      <x:c r="I1002" s="32" t="str">
        <x:v>862323089930715</x:v>
      </x:c>
      <x:c r="J1002" s="82"/>
      <x:c r="K1002" s="82" t="n">
        <x:v>-21.6</x:v>
      </x:c>
      <x:c r="L1002" s="82" t="n">
        <x:v>39.6</x:v>
      </x:c>
      <x:c r="M1002" s="82" t="n">
        <x:v>24.7</x:v>
      </x:c>
      <x:c r="N1002" s="86" t="n">
        <x:v>935</x:v>
      </x:c>
      <x:c r="O1002" s="90" t="n">
        <x:v>6.28</x:v>
      </x:c>
      <x:c r="P1002" s="150" t="n">
        <x:v>3.974</x:v>
      </x:c>
      <x:c r="Q1002" s="86" t="n">
        <x:v>24</x:v>
      </x:c>
      <x:c r="R1002" s="32"/>
      <x:c r="S1002" s="32" t="str">
        <x:v>ok</x:v>
      </x:c>
      <x:c r="T1002" s="32" t="str">
        <x:v>ok</x:v>
      </x:c>
      <x:c r="U1002" s="32" t="str">
        <x:v>ok</x:v>
      </x:c>
      <x:c r="V1002" s="32" t="str">
        <x:v>ok</x:v>
      </x:c>
      <x:c r="W1002" s="154" t="str">
        <x:v>{"schema_version":1,"imei":"862323089930715","timestamp":1786027253,"report_sequence":42,"task_version":"rice_tension_soil_demo","sensor_mode":"tension_soil","soil_moisture_percent":39.6,"soil_temperature_c":24.7,"soil_ec_us_cm":935,"soil_ph":6.28,"battery_mv":3974,"csq":24,"soil_rs485_status":"ok","cycle_status":"ok","soil_tension_kpa":-21.6,"soil_tension_rs485_status":"ok"}</x:v>
      </x:c>
    </x:row>
    <x:row r="1003">
      <x:c r="A1003" s="72" t="n">
        <x:v>46240.94505787037</x:v>
      </x:c>
      <x:c r="B1003" s="72" t="n">
        <x:v>46240.94507175926</x:v>
      </x:c>
      <x:c r="C1003" s="32" t="str">
        <x:v>P16</x:v>
      </x:c>
      <x:c r="D1003" s="32" t="str">
        <x:v>B3-W1-V2</x:v>
      </x:c>
      <x:c r="E1003" s="32" t="str">
        <x:v>B3</x:v>
      </x:c>
      <x:c r="F1003" s="32" t="str">
        <x:v>W1</x:v>
      </x:c>
      <x:c r="G1003" s="32" t="str">
        <x:v>V2</x:v>
      </x:c>
      <x:c r="H1003" s="32" t="str">
        <x:v>tension_soil</x:v>
      </x:c>
      <x:c r="I1003" s="32" t="str">
        <x:v>862323089930716</x:v>
      </x:c>
      <x:c r="J1003" s="82"/>
      <x:c r="K1003" s="82" t="n">
        <x:v>-23</x:v>
      </x:c>
      <x:c r="L1003" s="82" t="n">
        <x:v>33</x:v>
      </x:c>
      <x:c r="M1003" s="82" t="n">
        <x:v>24.8</x:v>
      </x:c>
      <x:c r="N1003" s="86" t="n">
        <x:v>954</x:v>
      </x:c>
      <x:c r="O1003" s="90" t="n">
        <x:v>6.33</x:v>
      </x:c>
      <x:c r="P1003" s="150" t="n">
        <x:v>3.992</x:v>
      </x:c>
      <x:c r="Q1003" s="86" t="n">
        <x:v>17</x:v>
      </x:c>
      <x:c r="R1003" s="32"/>
      <x:c r="S1003" s="32" t="str">
        <x:v>ok</x:v>
      </x:c>
      <x:c r="T1003" s="32" t="str">
        <x:v>ok</x:v>
      </x:c>
      <x:c r="U1003" s="32" t="str">
        <x:v>ok</x:v>
      </x:c>
      <x:c r="V1003" s="32" t="str">
        <x:v>ok</x:v>
      </x:c>
      <x:c r="W1003" s="154" t="str">
        <x:v>{"schema_version":1,"imei":"862323089930716","timestamp":1786027253,"report_sequence":42,"task_version":"rice_tension_soil_demo","sensor_mode":"tension_soil","soil_moisture_percent":33,"soil_temperature_c":24.8,"soil_ec_us_cm":954,"soil_ph":6.33,"battery_mv":3992,"csq":17,"soil_rs485_status":"ok","cycle_status":"ok","soil_tension_kpa":-23,"soil_tension_rs485_status":"ok"}</x:v>
      </x:c>
    </x:row>
    <x:row r="1004">
      <x:c r="A1004" s="72" t="n">
        <x:v>46240.94505787037</x:v>
      </x:c>
      <x:c r="B1004" s="72" t="n">
        <x:v>46240.94507175926</x:v>
      </x:c>
      <x:c r="C1004" s="32" t="str">
        <x:v>P17</x:v>
      </x:c>
      <x:c r="D1004" s="32" t="str">
        <x:v>B3-W2-V1</x:v>
      </x:c>
      <x:c r="E1004" s="32" t="str">
        <x:v>B3</x:v>
      </x:c>
      <x:c r="F1004" s="32" t="str">
        <x:v>W2</x:v>
      </x:c>
      <x:c r="G1004" s="32" t="str">
        <x:v>V1</x:v>
      </x:c>
      <x:c r="H1004" s="32" t="str">
        <x:v>tension_soil</x:v>
      </x:c>
      <x:c r="I1004" s="32" t="str">
        <x:v>862323089930717</x:v>
      </x:c>
      <x:c r="J1004" s="82"/>
      <x:c r="K1004" s="82" t="n">
        <x:v>-35.4</x:v>
      </x:c>
      <x:c r="L1004" s="82" t="n">
        <x:v>34.4</x:v>
      </x:c>
      <x:c r="M1004" s="82" t="n">
        <x:v>25</x:v>
      </x:c>
      <x:c r="N1004" s="86" t="n">
        <x:v>974</x:v>
      </x:c>
      <x:c r="O1004" s="90" t="n">
        <x:v>6.39</x:v>
      </x:c>
      <x:c r="P1004" s="150" t="n">
        <x:v>4.01</x:v>
      </x:c>
      <x:c r="Q1004" s="86" t="n">
        <x:v>18</x:v>
      </x:c>
      <x:c r="R1004" s="32"/>
      <x:c r="S1004" s="32" t="str">
        <x:v>ok</x:v>
      </x:c>
      <x:c r="T1004" s="32" t="str">
        <x:v>ok</x:v>
      </x:c>
      <x:c r="U1004" s="32" t="str">
        <x:v>ok</x:v>
      </x:c>
      <x:c r="V1004" s="32" t="str">
        <x:v>ok</x:v>
      </x:c>
      <x:c r="W1004" s="154" t="str">
        <x:v>{"schema_version":1,"imei":"862323089930717","timestamp":1786027253,"report_sequence":42,"task_version":"rice_tension_soil_demo","sensor_mode":"tension_soil","soil_moisture_percent":34.4,"soil_temperature_c":25,"soil_ec_us_cm":974,"soil_ph":6.39,"battery_mv":4010,"csq":18,"soil_rs485_status":"ok","cycle_status":"ok","soil_tension_kpa":-35.4,"soil_tension_rs485_status":"ok"}</x:v>
      </x:c>
    </x:row>
    <x:row r="1005">
      <x:c r="A1005" s="72" t="n">
        <x:v>46240.94505787037</x:v>
      </x:c>
      <x:c r="B1005" s="72" t="n">
        <x:v>46240.94507175926</x:v>
      </x:c>
      <x:c r="C1005" s="32" t="str">
        <x:v>P18</x:v>
      </x:c>
      <x:c r="D1005" s="32" t="str">
        <x:v>B3-W2-V2</x:v>
      </x:c>
      <x:c r="E1005" s="32" t="str">
        <x:v>B3</x:v>
      </x:c>
      <x:c r="F1005" s="32" t="str">
        <x:v>W2</x:v>
      </x:c>
      <x:c r="G1005" s="32" t="str">
        <x:v>V2</x:v>
      </x:c>
      <x:c r="H1005" s="32" t="str">
        <x:v>tension_soil</x:v>
      </x:c>
      <x:c r="I1005" s="32" t="str">
        <x:v>862323089930718</x:v>
      </x:c>
      <x:c r="J1005" s="82"/>
      <x:c r="K1005" s="82" t="n">
        <x:v>-36.9</x:v>
      </x:c>
      <x:c r="L1005" s="82" t="n">
        <x:v>35.9</x:v>
      </x:c>
      <x:c r="M1005" s="82" t="n">
        <x:v>25.1</x:v>
      </x:c>
      <x:c r="N1005" s="86" t="n">
        <x:v>995</x:v>
      </x:c>
      <x:c r="O1005" s="90" t="n">
        <x:v>6.45</x:v>
      </x:c>
      <x:c r="P1005" s="150" t="n">
        <x:v>3.92</x:v>
      </x:c>
      <x:c r="Q1005" s="86" t="n">
        <x:v>19</x:v>
      </x:c>
      <x:c r="R1005" s="32"/>
      <x:c r="S1005" s="32" t="str">
        <x:v>ok</x:v>
      </x:c>
      <x:c r="T1005" s="32" t="str">
        <x:v>ok</x:v>
      </x:c>
      <x:c r="U1005" s="32" t="str">
        <x:v>ok</x:v>
      </x:c>
      <x:c r="V1005" s="32" t="str">
        <x:v>ok</x:v>
      </x:c>
      <x:c r="W1005" s="154" t="str">
        <x:v>{"schema_version":1,"imei":"862323089930718","timestamp":1786027253,"report_sequence":42,"task_version":"rice_tension_soil_demo","sensor_mode":"tension_soil","soil_moisture_percent":35.9,"soil_temperature_c":25.1,"soil_ec_us_cm":995,"soil_ph":6.45,"battery_mv":3920,"csq":19,"soil_rs485_status":"ok","cycle_status":"ok","soil_tension_kpa":-36.9,"soil_tension_rs485_status":"ok"}</x:v>
      </x:c>
    </x:row>
    <x:row r="1006">
      <x:c r="A1006" s="72" t="n">
        <x:v>46240.94505787037</x:v>
      </x:c>
      <x:c r="B1006" s="72" t="n">
        <x:v>46240.94507175926</x:v>
      </x:c>
      <x:c r="C1006" s="32" t="str">
        <x:v>P19</x:v>
      </x:c>
      <x:c r="D1006" s="32" t="str">
        <x:v>B4-W0-V1</x:v>
      </x:c>
      <x:c r="E1006" s="32" t="str">
        <x:v>B4</x:v>
      </x:c>
      <x:c r="F1006" s="32" t="str">
        <x:v>W0</x:v>
      </x:c>
      <x:c r="G1006" s="32" t="str">
        <x:v>V1</x:v>
      </x:c>
      <x:c r="H1006" s="32" t="str">
        <x:v>water_soil</x:v>
      </x:c>
      <x:c r="I1006" s="32" t="str">
        <x:v>862323089930719</x:v>
      </x:c>
      <x:c r="J1006" s="82" t="n">
        <x:v>38.1</x:v>
      </x:c>
      <x:c r="K1006" s="82"/>
      <x:c r="L1006" s="82" t="n">
        <x:v>37.4</x:v>
      </x:c>
      <x:c r="M1006" s="82" t="n">
        <x:v>25.2</x:v>
      </x:c>
      <x:c r="N1006" s="86" t="n">
        <x:v>1016</x:v>
      </x:c>
      <x:c r="O1006" s="90" t="n">
        <x:v>6.51</x:v>
      </x:c>
      <x:c r="P1006" s="150" t="n">
        <x:v>3.938</x:v>
      </x:c>
      <x:c r="Q1006" s="86" t="n">
        <x:v>20</x:v>
      </x:c>
      <x:c r="R1006" s="32" t="str">
        <x:v>ok</x:v>
      </x:c>
      <x:c r="S1006" s="32"/>
      <x:c r="T1006" s="32" t="str">
        <x:v>ok</x:v>
      </x:c>
      <x:c r="U1006" s="32" t="str">
        <x:v>ok</x:v>
      </x:c>
      <x:c r="V1006" s="32" t="str">
        <x:v>ok</x:v>
      </x:c>
      <x:c r="W1006" s="154" t="str">
        <x:v>{"schema_version":1,"imei":"862323089930719","timestamp":1786027253,"report_sequence":42,"task_version":"rice_w0_water_soil_demo","sensor_mode":"water_soil","soil_moisture_percent":37.4,"soil_temperature_c":25.2,"soil_ec_us_cm":1016,"soil_ph":6.51,"battery_mv":3938,"csq":20,"soil_rs485_status":"ok","cycle_status":"ok","water_level_mm":38.1,"water_4_20ma_status":"ok"}</x:v>
      </x:c>
    </x:row>
    <x:row r="1007">
      <x:c r="A1007" s="72" t="n">
        <x:v>46240.94505787037</x:v>
      </x:c>
      <x:c r="B1007" s="72" t="n">
        <x:v>46240.94507175926</x:v>
      </x:c>
      <x:c r="C1007" s="32" t="str">
        <x:v>P20</x:v>
      </x:c>
      <x:c r="D1007" s="32" t="str">
        <x:v>B4-W0-V2</x:v>
      </x:c>
      <x:c r="E1007" s="32" t="str">
        <x:v>B4</x:v>
      </x:c>
      <x:c r="F1007" s="32" t="str">
        <x:v>W0</x:v>
      </x:c>
      <x:c r="G1007" s="32" t="str">
        <x:v>V2</x:v>
      </x:c>
      <x:c r="H1007" s="32" t="str">
        <x:v>water_soil</x:v>
      </x:c>
      <x:c r="I1007" s="32" t="str">
        <x:v>862323089930720</x:v>
      </x:c>
      <x:c r="J1007" s="82" t="n">
        <x:v>30.3</x:v>
      </x:c>
      <x:c r="K1007" s="82"/>
      <x:c r="L1007" s="82" t="n">
        <x:v>38.9</x:v>
      </x:c>
      <x:c r="M1007" s="82" t="n">
        <x:v>25.3</x:v>
      </x:c>
      <x:c r="N1007" s="86" t="n">
        <x:v>1036</x:v>
      </x:c>
      <x:c r="O1007" s="90" t="n">
        <x:v>6.31</x:v>
      </x:c>
      <x:c r="P1007" s="150" t="n">
        <x:v>3.956</x:v>
      </x:c>
      <x:c r="Q1007" s="86" t="n">
        <x:v>21</x:v>
      </x:c>
      <x:c r="R1007" s="32" t="str">
        <x:v>ok</x:v>
      </x:c>
      <x:c r="S1007" s="32"/>
      <x:c r="T1007" s="32" t="str">
        <x:v>ok</x:v>
      </x:c>
      <x:c r="U1007" s="32" t="str">
        <x:v>ok</x:v>
      </x:c>
      <x:c r="V1007" s="32" t="str">
        <x:v>ok</x:v>
      </x:c>
      <x:c r="W1007" s="154" t="str">
        <x:v>{"schema_version":1,"imei":"862323089930720","timestamp":1786027253,"report_sequence":42,"task_version":"rice_w0_water_soil_demo","sensor_mode":"water_soil","soil_moisture_percent":38.9,"soil_temperature_c":25.3,"soil_ec_us_cm":1036,"soil_ph":6.31,"battery_mv":3956,"csq":21,"soil_rs485_status":"ok","cycle_status":"ok","water_level_mm":30.3,"water_4_20ma_status":"ok"}</x:v>
      </x:c>
    </x:row>
    <x:row r="1008">
      <x:c r="A1008" s="72" t="n">
        <x:v>46240.94505787037</x:v>
      </x:c>
      <x:c r="B1008" s="72" t="n">
        <x:v>46240.94507175926</x:v>
      </x:c>
      <x:c r="C1008" s="32" t="str">
        <x:v>P21</x:v>
      </x:c>
      <x:c r="D1008" s="32" t="str">
        <x:v>B4-W1-V1</x:v>
      </x:c>
      <x:c r="E1008" s="32" t="str">
        <x:v>B4</x:v>
      </x:c>
      <x:c r="F1008" s="32" t="str">
        <x:v>W1</x:v>
      </x:c>
      <x:c r="G1008" s="32" t="str">
        <x:v>V1</x:v>
      </x:c>
      <x:c r="H1008" s="32" t="str">
        <x:v>tension_soil</x:v>
      </x:c>
      <x:c r="I1008" s="32" t="str">
        <x:v>862323089930721</x:v>
      </x:c>
      <x:c r="J1008" s="82"/>
      <x:c r="K1008" s="82" t="n">
        <x:v>-25.3</x:v>
      </x:c>
      <x:c r="L1008" s="82" t="n">
        <x:v>40.3</x:v>
      </x:c>
      <x:c r="M1008" s="82" t="n">
        <x:v>25.4</x:v>
      </x:c>
      <x:c r="N1008" s="86" t="n">
        <x:v>1055</x:v>
      </x:c>
      <x:c r="O1008" s="90" t="n">
        <x:v>6.37</x:v>
      </x:c>
      <x:c r="P1008" s="150" t="n">
        <x:v>3.974</x:v>
      </x:c>
      <x:c r="Q1008" s="86" t="n">
        <x:v>22</x:v>
      </x:c>
      <x:c r="R1008" s="32"/>
      <x:c r="S1008" s="32" t="str">
        <x:v>ok</x:v>
      </x:c>
      <x:c r="T1008" s="32" t="str">
        <x:v>ok</x:v>
      </x:c>
      <x:c r="U1008" s="32" t="str">
        <x:v>ok</x:v>
      </x:c>
      <x:c r="V1008" s="32" t="str">
        <x:v>ok</x:v>
      </x:c>
      <x:c r="W1008" s="154" t="str">
        <x:v>{"schema_version":1,"imei":"862323089930721","timestamp":1786027253,"report_sequence":42,"task_version":"rice_tension_soil_demo","sensor_mode":"tension_soil","soil_moisture_percent":40.3,"soil_temperature_c":25.4,"soil_ec_us_cm":1055,"soil_ph":6.37,"battery_mv":3974,"csq":22,"soil_rs485_status":"ok","cycle_status":"ok","soil_tension_kpa":-25.3,"soil_tension_rs485_status":"ok"}</x:v>
      </x:c>
    </x:row>
    <x:row r="1009">
      <x:c r="A1009" s="72" t="n">
        <x:v>46240.94505787037</x:v>
      </x:c>
      <x:c r="B1009" s="72" t="n">
        <x:v>46240.94507175926</x:v>
      </x:c>
      <x:c r="C1009" s="32" t="str">
        <x:v>P22</x:v>
      </x:c>
      <x:c r="D1009" s="32" t="str">
        <x:v>B4-W1-V2</x:v>
      </x:c>
      <x:c r="E1009" s="32" t="str">
        <x:v>B4</x:v>
      </x:c>
      <x:c r="F1009" s="32" t="str">
        <x:v>W1</x:v>
      </x:c>
      <x:c r="G1009" s="32" t="str">
        <x:v>V2</x:v>
      </x:c>
      <x:c r="H1009" s="32" t="str">
        <x:v>tension_soil</x:v>
      </x:c>
      <x:c r="I1009" s="32" t="str">
        <x:v>862323089930722</x:v>
      </x:c>
      <x:c r="J1009" s="82"/>
      <x:c r="K1009" s="82" t="n">
        <x:v>-26.6</x:v>
      </x:c>
      <x:c r="L1009" s="82" t="n">
        <x:v>41.6</x:v>
      </x:c>
      <x:c r="M1009" s="82" t="n">
        <x:v>25.5</x:v>
      </x:c>
      <x:c r="N1009" s="86" t="n">
        <x:v>1073</x:v>
      </x:c>
      <x:c r="O1009" s="90" t="n">
        <x:v>6.42</x:v>
      </x:c>
      <x:c r="P1009" s="150" t="n">
        <x:v>3.992</x:v>
      </x:c>
      <x:c r="Q1009" s="86" t="n">
        <x:v>23</x:v>
      </x:c>
      <x:c r="R1009" s="32"/>
      <x:c r="S1009" s="32" t="str">
        <x:v>ok</x:v>
      </x:c>
      <x:c r="T1009" s="32" t="str">
        <x:v>ok</x:v>
      </x:c>
      <x:c r="U1009" s="32" t="str">
        <x:v>ok</x:v>
      </x:c>
      <x:c r="V1009" s="32" t="str">
        <x:v>ok</x:v>
      </x:c>
      <x:c r="W1009" s="154" t="str">
        <x:v>{"schema_version":1,"imei":"862323089930722","timestamp":1786027253,"report_sequence":42,"task_version":"rice_tension_soil_demo","sensor_mode":"tension_soil","soil_moisture_percent":41.6,"soil_temperature_c":25.5,"soil_ec_us_cm":1073,"soil_ph":6.42,"battery_mv":3992,"csq":23,"soil_rs485_status":"ok","cycle_status":"ok","soil_tension_kpa":-26.6,"soil_tension_rs485_status":"ok"}</x:v>
      </x:c>
    </x:row>
    <x:row r="1010">
      <x:c r="A1010" s="72" t="n">
        <x:v>46240.94505787037</x:v>
      </x:c>
      <x:c r="B1010" s="72" t="n">
        <x:v>46240.94507175926</x:v>
      </x:c>
      <x:c r="C1010" s="32" t="str">
        <x:v>P23</x:v>
      </x:c>
      <x:c r="D1010" s="32" t="str">
        <x:v>B4-W2-V1</x:v>
      </x:c>
      <x:c r="E1010" s="32" t="str">
        <x:v>B4</x:v>
      </x:c>
      <x:c r="F1010" s="32" t="str">
        <x:v>W2</x:v>
      </x:c>
      <x:c r="G1010" s="32" t="str">
        <x:v>V1</x:v>
      </x:c>
      <x:c r="H1010" s="32" t="str">
        <x:v>tension_soil</x:v>
      </x:c>
      <x:c r="I1010" s="32" t="str">
        <x:v>862323089930723</x:v>
      </x:c>
      <x:c r="J1010" s="82"/>
      <x:c r="K1010" s="82" t="n">
        <x:v>-38.9</x:v>
      </x:c>
      <x:c r="L1010" s="82" t="n">
        <x:v>42.9</x:v>
      </x:c>
      <x:c r="M1010" s="82" t="n">
        <x:v>25.6</x:v>
      </x:c>
      <x:c r="N1010" s="86" t="n">
        <x:v>1089</x:v>
      </x:c>
      <x:c r="O1010" s="90" t="n">
        <x:v>6.48</x:v>
      </x:c>
      <x:c r="P1010" s="150" t="n">
        <x:v>4.01</x:v>
      </x:c>
      <x:c r="Q1010" s="86" t="n">
        <x:v>24</x:v>
      </x:c>
      <x:c r="R1010" s="32"/>
      <x:c r="S1010" s="32" t="str">
        <x:v>ok</x:v>
      </x:c>
      <x:c r="T1010" s="32" t="str">
        <x:v>ok</x:v>
      </x:c>
      <x:c r="U1010" s="32" t="str">
        <x:v>ok</x:v>
      </x:c>
      <x:c r="V1010" s="32" t="str">
        <x:v>ok</x:v>
      </x:c>
      <x:c r="W1010" s="154" t="str">
        <x:v>{"schema_version":1,"imei":"862323089930723","timestamp":1786027253,"report_sequence":42,"task_version":"rice_tension_soil_demo","sensor_mode":"tension_soil","soil_moisture_percent":42.9,"soil_temperature_c":25.6,"soil_ec_us_cm":1089,"soil_ph":6.48,"battery_mv":4010,"csq":24,"soil_rs485_status":"ok","cycle_status":"ok","soil_tension_kpa":-38.9,"soil_tension_rs485_status":"ok"}</x:v>
      </x:c>
    </x:row>
    <x:row r="1011">
      <x:c r="A1011" s="72" t="n">
        <x:v>46240.94505787037</x:v>
      </x:c>
      <x:c r="B1011" s="72" t="n">
        <x:v>46240.94507175926</x:v>
      </x:c>
      <x:c r="C1011" s="32" t="str">
        <x:v>P24</x:v>
      </x:c>
      <x:c r="D1011" s="32" t="str">
        <x:v>B4-W2-V2</x:v>
      </x:c>
      <x:c r="E1011" s="32" t="str">
        <x:v>B4</x:v>
      </x:c>
      <x:c r="F1011" s="32" t="str">
        <x:v>W2</x:v>
      </x:c>
      <x:c r="G1011" s="32" t="str">
        <x:v>V2</x:v>
      </x:c>
      <x:c r="H1011" s="32" t="str">
        <x:v>tension_soil</x:v>
      </x:c>
      <x:c r="I1011" s="32" t="str">
        <x:v>862323089930724</x:v>
      </x:c>
      <x:c r="J1011" s="82"/>
      <x:c r="K1011" s="82" t="n">
        <x:v>-40</x:v>
      </x:c>
      <x:c r="L1011" s="82" t="n">
        <x:v>36</x:v>
      </x:c>
      <x:c r="M1011" s="82" t="n">
        <x:v>25.6</x:v>
      </x:c>
      <x:c r="N1011" s="86" t="n">
        <x:v>1103</x:v>
      </x:c>
      <x:c r="O1011" s="90" t="n">
        <x:v>6.53</x:v>
      </x:c>
      <x:c r="P1011" s="150" t="n">
        <x:v>3.92</x:v>
      </x:c>
      <x:c r="Q1011" s="86" t="n">
        <x:v>17</x:v>
      </x:c>
      <x:c r="R1011" s="32"/>
      <x:c r="S1011" s="32" t="str">
        <x:v>ok</x:v>
      </x:c>
      <x:c r="T1011" s="32" t="str">
        <x:v>ok</x:v>
      </x:c>
      <x:c r="U1011" s="32" t="str">
        <x:v>ok</x:v>
      </x:c>
      <x:c r="V1011" s="32" t="str">
        <x:v>ok</x:v>
      </x:c>
      <x:c r="W1011" s="154" t="str">
        <x:v>{"schema_version":1,"imei":"862323089930724","timestamp":1786027253,"report_sequence":42,"task_version":"rice_tension_soil_demo","sensor_mode":"tension_soil","soil_moisture_percent":36,"soil_temperature_c":25.6,"soil_ec_us_cm":1103,"soil_ph":6.53,"battery_mv":3920,"csq":17,"soil_rs485_status":"ok","cycle_status":"ok","soil_tension_kpa":-40,"soil_tension_rs485_status":"ok"}</x:v>
      </x:c>
    </x:row>
    <x:row r="1012">
      <x:c r="A1012" s="72" t="n">
        <x:v>46240.948530092595</x:v>
      </x:c>
      <x:c r="B1012" s="72" t="n">
        <x:v>46240.94854398148</x:v>
      </x:c>
      <x:c r="C1012" s="32" t="str">
        <x:v>P01</x:v>
      </x:c>
      <x:c r="D1012" s="32" t="str">
        <x:v>B1-W0-V1</x:v>
      </x:c>
      <x:c r="E1012" s="32" t="str">
        <x:v>B1</x:v>
      </x:c>
      <x:c r="F1012" s="32" t="str">
        <x:v>W0</x:v>
      </x:c>
      <x:c r="G1012" s="32" t="str">
        <x:v>V1</x:v>
      </x:c>
      <x:c r="H1012" s="32" t="str">
        <x:v>water_soil</x:v>
      </x:c>
      <x:c r="I1012" s="32" t="str">
        <x:v>862323089930701</x:v>
      </x:c>
      <x:c r="J1012" s="82" t="n">
        <x:v>35.9</x:v>
      </x:c>
      <x:c r="K1012" s="82"/>
      <x:c r="L1012" s="82" t="n">
        <x:v>37</x:v>
      </x:c>
      <x:c r="M1012" s="82" t="n">
        <x:v>25.6</x:v>
      </x:c>
      <x:c r="N1012" s="86" t="n">
        <x:v>826</x:v>
      </x:c>
      <x:c r="O1012" s="90" t="n">
        <x:v>6.38</x:v>
      </x:c>
      <x:c r="P1012" s="150" t="n">
        <x:v>3.938</x:v>
      </x:c>
      <x:c r="Q1012" s="86" t="n">
        <x:v>18</x:v>
      </x:c>
      <x:c r="R1012" s="32" t="str">
        <x:v>ok</x:v>
      </x:c>
      <x:c r="S1012" s="32"/>
      <x:c r="T1012" s="32" t="str">
        <x:v>ok</x:v>
      </x:c>
      <x:c r="U1012" s="32" t="str">
        <x:v>ok</x:v>
      </x:c>
      <x:c r="V1012" s="32" t="str">
        <x:v>ok</x:v>
      </x:c>
      <x:c r="W1012" s="154" t="str">
        <x:v>{"schema_version":1,"imei":"862323089930701","timestamp":1786027553,"report_sequence":43,"task_version":"rice_w0_water_soil_demo","sensor_mode":"water_soil","soil_moisture_percent":37,"soil_temperature_c":25.6,"soil_ec_us_cm":826,"soil_ph":6.38,"battery_mv":3938,"csq":18,"soil_rs485_status":"ok","cycle_status":"ok","water_level_mm":35.9,"water_4_20ma_status":"ok"}</x:v>
      </x:c>
    </x:row>
    <x:row r="1013">
      <x:c r="A1013" s="72" t="n">
        <x:v>46240.948530092595</x:v>
      </x:c>
      <x:c r="B1013" s="72" t="n">
        <x:v>46240.94854398148</x:v>
      </x:c>
      <x:c r="C1013" s="32" t="str">
        <x:v>P02</x:v>
      </x:c>
      <x:c r="D1013" s="32" t="str">
        <x:v>B1-W0-V2</x:v>
      </x:c>
      <x:c r="E1013" s="32" t="str">
        <x:v>B1</x:v>
      </x:c>
      <x:c r="F1013" s="32" t="str">
        <x:v>W0</x:v>
      </x:c>
      <x:c r="G1013" s="32" t="str">
        <x:v>V2</x:v>
      </x:c>
      <x:c r="H1013" s="32" t="str">
        <x:v>water_soil</x:v>
      </x:c>
      <x:c r="I1013" s="32" t="str">
        <x:v>862323089930702</x:v>
      </x:c>
      <x:c r="J1013" s="82" t="n">
        <x:v>38.5</x:v>
      </x:c>
      <x:c r="K1013" s="82"/>
      <x:c r="L1013" s="82" t="n">
        <x:v>37.8</x:v>
      </x:c>
      <x:c r="M1013" s="82" t="n">
        <x:v>25.6</x:v>
      </x:c>
      <x:c r="N1013" s="86" t="n">
        <x:v>836</x:v>
      </x:c>
      <x:c r="O1013" s="90" t="n">
        <x:v>6.43</x:v>
      </x:c>
      <x:c r="P1013" s="150" t="n">
        <x:v>3.956</x:v>
      </x:c>
      <x:c r="Q1013" s="86" t="n">
        <x:v>19</x:v>
      </x:c>
      <x:c r="R1013" s="32" t="str">
        <x:v>ok</x:v>
      </x:c>
      <x:c r="S1013" s="32"/>
      <x:c r="T1013" s="32" t="str">
        <x:v>ok</x:v>
      </x:c>
      <x:c r="U1013" s="32" t="str">
        <x:v>ok</x:v>
      </x:c>
      <x:c r="V1013" s="32" t="str">
        <x:v>ok</x:v>
      </x:c>
      <x:c r="W1013" s="154" t="str">
        <x:v>{"schema_version":1,"imei":"862323089930702","timestamp":1786027553,"report_sequence":43,"task_version":"rice_w0_water_soil_demo","sensor_mode":"water_soil","soil_moisture_percent":37.8,"soil_temperature_c":25.6,"soil_ec_us_cm":836,"soil_ph":6.43,"battery_mv":3956,"csq":19,"soil_rs485_status":"ok","cycle_status":"ok","water_level_mm":38.5,"water_4_20ma_status":"ok"}</x:v>
      </x:c>
    </x:row>
    <x:row r="1014">
      <x:c r="A1014" s="72" t="n">
        <x:v>46240.948530092595</x:v>
      </x:c>
      <x:c r="B1014" s="72" t="n">
        <x:v>46240.94854398148</x:v>
      </x:c>
      <x:c r="C1014" s="32" t="str">
        <x:v>P03</x:v>
      </x:c>
      <x:c r="D1014" s="32" t="str">
        <x:v>B1-W1-V1</x:v>
      </x:c>
      <x:c r="E1014" s="32" t="str">
        <x:v>B1</x:v>
      </x:c>
      <x:c r="F1014" s="32" t="str">
        <x:v>W1</x:v>
      </x:c>
      <x:c r="G1014" s="32" t="str">
        <x:v>V1</x:v>
      </x:c>
      <x:c r="H1014" s="32" t="str">
        <x:v>tension_soil</x:v>
      </x:c>
      <x:c r="I1014" s="32" t="str">
        <x:v>862323089930703</x:v>
      </x:c>
      <x:c r="J1014" s="82"/>
      <x:c r="K1014" s="82" t="n">
        <x:v>-27.6</x:v>
      </x:c>
      <x:c r="L1014" s="82" t="n">
        <x:v>38.6</x:v>
      </x:c>
      <x:c r="M1014" s="82" t="n">
        <x:v>25.5</x:v>
      </x:c>
      <x:c r="N1014" s="86" t="n">
        <x:v>843</x:v>
      </x:c>
      <x:c r="O1014" s="90" t="n">
        <x:v>6.47</x:v>
      </x:c>
      <x:c r="P1014" s="150" t="n">
        <x:v>3.974</x:v>
      </x:c>
      <x:c r="Q1014" s="86" t="n">
        <x:v>20</x:v>
      </x:c>
      <x:c r="R1014" s="32"/>
      <x:c r="S1014" s="32" t="str">
        <x:v>ok</x:v>
      </x:c>
      <x:c r="T1014" s="32" t="str">
        <x:v>ok</x:v>
      </x:c>
      <x:c r="U1014" s="32" t="str">
        <x:v>ok</x:v>
      </x:c>
      <x:c r="V1014" s="32" t="str">
        <x:v>ok</x:v>
      </x:c>
      <x:c r="W1014" s="154" t="str">
        <x:v>{"schema_version":1,"imei":"862323089930703","timestamp":1786027553,"report_sequence":43,"task_version":"rice_tension_soil_demo","sensor_mode":"tension_soil","soil_moisture_percent":38.6,"soil_temperature_c":25.5,"soil_ec_us_cm":843,"soil_ph":6.47,"battery_mv":3974,"csq":20,"soil_rs485_status":"ok","cycle_status":"ok","soil_tension_kpa":-27.6,"soil_tension_rs485_status":"ok"}</x:v>
      </x:c>
    </x:row>
    <x:row r="1015">
      <x:c r="A1015" s="72" t="n">
        <x:v>46240.948530092595</x:v>
      </x:c>
      <x:c r="B1015" s="72" t="n">
        <x:v>46240.94854398148</x:v>
      </x:c>
      <x:c r="C1015" s="32" t="str">
        <x:v>P04</x:v>
      </x:c>
      <x:c r="D1015" s="32" t="str">
        <x:v>B1-W1-V2</x:v>
      </x:c>
      <x:c r="E1015" s="32" t="str">
        <x:v>B1</x:v>
      </x:c>
      <x:c r="F1015" s="32" t="str">
        <x:v>W1</x:v>
      </x:c>
      <x:c r="G1015" s="32" t="str">
        <x:v>V2</x:v>
      </x:c>
      <x:c r="H1015" s="32" t="str">
        <x:v>tension_soil</x:v>
      </x:c>
      <x:c r="I1015" s="32" t="str">
        <x:v>862323089930704</x:v>
      </x:c>
      <x:c r="J1015" s="82"/>
      <x:c r="K1015" s="82" t="n">
        <x:v>-28.2</x:v>
      </x:c>
      <x:c r="L1015" s="82" t="n">
        <x:v>39.2</x:v>
      </x:c>
      <x:c r="M1015" s="82" t="n">
        <x:v>25.4</x:v>
      </x:c>
      <x:c r="N1015" s="86" t="n">
        <x:v>849</x:v>
      </x:c>
      <x:c r="O1015" s="90" t="n">
        <x:v>6.52</x:v>
      </x:c>
      <x:c r="P1015" s="150" t="n">
        <x:v>3.992</x:v>
      </x:c>
      <x:c r="Q1015" s="86" t="n">
        <x:v>21</x:v>
      </x:c>
      <x:c r="R1015" s="32"/>
      <x:c r="S1015" s="32" t="str">
        <x:v>ok</x:v>
      </x:c>
      <x:c r="T1015" s="32" t="str">
        <x:v>ok</x:v>
      </x:c>
      <x:c r="U1015" s="32" t="str">
        <x:v>ok</x:v>
      </x:c>
      <x:c r="V1015" s="32" t="str">
        <x:v>ok</x:v>
      </x:c>
      <x:c r="W1015" s="154" t="str">
        <x:v>{"schema_version":1,"imei":"862323089930704","timestamp":1786027553,"report_sequence":43,"task_version":"rice_tension_soil_demo","sensor_mode":"tension_soil","soil_moisture_percent":39.2,"soil_temperature_c":25.4,"soil_ec_us_cm":849,"soil_ph":6.52,"battery_mv":3992,"csq":21,"soil_rs485_status":"ok","cycle_status":"ok","soil_tension_kpa":-28.2,"soil_tension_rs485_status":"ok"}</x:v>
      </x:c>
    </x:row>
    <x:row r="1016">
      <x:c r="A1016" s="72" t="n">
        <x:v>46240.948530092595</x:v>
      </x:c>
      <x:c r="B1016" s="72" t="n">
        <x:v>46240.94854398148</x:v>
      </x:c>
      <x:c r="C1016" s="32" t="str">
        <x:v>P05</x:v>
      </x:c>
      <x:c r="D1016" s="32" t="str">
        <x:v>B1-W2-V1</x:v>
      </x:c>
      <x:c r="E1016" s="32" t="str">
        <x:v>B1</x:v>
      </x:c>
      <x:c r="F1016" s="32" t="str">
        <x:v>W2</x:v>
      </x:c>
      <x:c r="G1016" s="32" t="str">
        <x:v>V1</x:v>
      </x:c>
      <x:c r="H1016" s="32" t="str">
        <x:v>tension_soil</x:v>
      </x:c>
      <x:c r="I1016" s="32" t="str">
        <x:v>862323089930705</x:v>
      </x:c>
      <x:c r="J1016" s="82"/>
      <x:c r="K1016" s="82" t="n">
        <x:v>-34.8</x:v>
      </x:c>
      <x:c r="L1016" s="82" t="n">
        <x:v>39.8</x:v>
      </x:c>
      <x:c r="M1016" s="82" t="n">
        <x:v>25.3</x:v>
      </x:c>
      <x:c r="N1016" s="86" t="n">
        <x:v>853</x:v>
      </x:c>
      <x:c r="O1016" s="90" t="n">
        <x:v>6.31</x:v>
      </x:c>
      <x:c r="P1016" s="150" t="n">
        <x:v>4.01</x:v>
      </x:c>
      <x:c r="Q1016" s="86" t="n">
        <x:v>22</x:v>
      </x:c>
      <x:c r="R1016" s="32"/>
      <x:c r="S1016" s="32" t="str">
        <x:v>ok</x:v>
      </x:c>
      <x:c r="T1016" s="32" t="str">
        <x:v>ok</x:v>
      </x:c>
      <x:c r="U1016" s="32" t="str">
        <x:v>ok</x:v>
      </x:c>
      <x:c r="V1016" s="32" t="str">
        <x:v>ok</x:v>
      </x:c>
      <x:c r="W1016" s="154" t="str">
        <x:v>{"schema_version":1,"imei":"862323089930705","timestamp":1786027553,"report_sequence":43,"task_version":"rice_tension_soil_demo","sensor_mode":"tension_soil","soil_moisture_percent":39.8,"soil_temperature_c":25.3,"soil_ec_us_cm":853,"soil_ph":6.31,"battery_mv":4010,"csq":22,"soil_rs485_status":"ok","cycle_status":"ok","soil_tension_kpa":-34.8,"soil_tension_rs485_status":"ok"}</x:v>
      </x:c>
    </x:row>
    <x:row r="1017">
      <x:c r="A1017" s="72" t="n">
        <x:v>46240.948530092595</x:v>
      </x:c>
      <x:c r="B1017" s="72" t="n">
        <x:v>46240.94854398148</x:v>
      </x:c>
      <x:c r="C1017" s="32" t="str">
        <x:v>P06</x:v>
      </x:c>
      <x:c r="D1017" s="32" t="str">
        <x:v>B1-W2-V2</x:v>
      </x:c>
      <x:c r="E1017" s="32" t="str">
        <x:v>B1</x:v>
      </x:c>
      <x:c r="F1017" s="32" t="str">
        <x:v>W2</x:v>
      </x:c>
      <x:c r="G1017" s="32" t="str">
        <x:v>V2</x:v>
      </x:c>
      <x:c r="H1017" s="32" t="str">
        <x:v>tension_soil</x:v>
      </x:c>
      <x:c r="I1017" s="32" t="str">
        <x:v>862323089930706</x:v>
      </x:c>
      <x:c r="J1017" s="82"/>
      <x:c r="K1017" s="82" t="n">
        <x:v>-35.3</x:v>
      </x:c>
      <x:c r="L1017" s="82" t="n">
        <x:v>40.3</x:v>
      </x:c>
      <x:c r="M1017" s="82" t="n">
        <x:v>25.2</x:v>
      </x:c>
      <x:c r="N1017" s="86" t="n">
        <x:v>857</x:v>
      </x:c>
      <x:c r="O1017" s="90" t="n">
        <x:v>6.35</x:v>
      </x:c>
      <x:c r="P1017" s="150" t="n">
        <x:v>3.92</x:v>
      </x:c>
      <x:c r="Q1017" s="86" t="n">
        <x:v>23</x:v>
      </x:c>
      <x:c r="R1017" s="32"/>
      <x:c r="S1017" s="32" t="str">
        <x:v>ok</x:v>
      </x:c>
      <x:c r="T1017" s="32" t="str">
        <x:v>ok</x:v>
      </x:c>
      <x:c r="U1017" s="32" t="str">
        <x:v>ok</x:v>
      </x:c>
      <x:c r="V1017" s="32" t="str">
        <x:v>ok</x:v>
      </x:c>
      <x:c r="W1017" s="154" t="str">
        <x:v>{"schema_version":1,"imei":"862323089930706","timestamp":1786027553,"report_sequence":43,"task_version":"rice_tension_soil_demo","sensor_mode":"tension_soil","soil_moisture_percent":40.3,"soil_temperature_c":25.2,"soil_ec_us_cm":857,"soil_ph":6.35,"battery_mv":3920,"csq":23,"soil_rs485_status":"ok","cycle_status":"ok","soil_tension_kpa":-35.3,"soil_tension_rs485_status":"ok"}</x:v>
      </x:c>
    </x:row>
    <x:row r="1018">
      <x:c r="A1018" s="72" t="n">
        <x:v>46240.948530092595</x:v>
      </x:c>
      <x:c r="B1018" s="72" t="n">
        <x:v>46240.94854398148</x:v>
      </x:c>
      <x:c r="C1018" s="32" t="str">
        <x:v>P07</x:v>
      </x:c>
      <x:c r="D1018" s="32" t="str">
        <x:v>B2-W0-V1</x:v>
      </x:c>
      <x:c r="E1018" s="32" t="str">
        <x:v>B2</x:v>
      </x:c>
      <x:c r="F1018" s="32" t="str">
        <x:v>W0</x:v>
      </x:c>
      <x:c r="G1018" s="32" t="str">
        <x:v>V1</x:v>
      </x:c>
      <x:c r="H1018" s="32" t="str">
        <x:v>water_soil</x:v>
      </x:c>
      <x:c r="I1018" s="32" t="str">
        <x:v>862323089930707</x:v>
      </x:c>
      <x:c r="J1018" s="82" t="n">
        <x:v>36.5</x:v>
      </x:c>
      <x:c r="K1018" s="82"/>
      <x:c r="L1018" s="82" t="n">
        <x:v>40.8</x:v>
      </x:c>
      <x:c r="M1018" s="82" t="n">
        <x:v>25</x:v>
      </x:c>
      <x:c r="N1018" s="86" t="n">
        <x:v>860</x:v>
      </x:c>
      <x:c r="O1018" s="90" t="n">
        <x:v>6.4</x:v>
      </x:c>
      <x:c r="P1018" s="150" t="n">
        <x:v>3.938</x:v>
      </x:c>
      <x:c r="Q1018" s="86" t="n">
        <x:v>24</x:v>
      </x:c>
      <x:c r="R1018" s="32" t="str">
        <x:v>ok</x:v>
      </x:c>
      <x:c r="S1018" s="32"/>
      <x:c r="T1018" s="32" t="str">
        <x:v>ok</x:v>
      </x:c>
      <x:c r="U1018" s="32" t="str">
        <x:v>ok</x:v>
      </x:c>
      <x:c r="V1018" s="32" t="str">
        <x:v>ok</x:v>
      </x:c>
      <x:c r="W1018" s="154" t="str">
        <x:v>{"schema_version":1,"imei":"862323089930707","timestamp":1786027553,"report_sequence":43,"task_version":"rice_w0_water_soil_demo","sensor_mode":"water_soil","soil_moisture_percent":40.8,"soil_temperature_c":25,"soil_ec_us_cm":860,"soil_ph":6.4,"battery_mv":3938,"csq":24,"soil_rs485_status":"ok","cycle_status":"ok","water_level_mm":36.5,"water_4_20ma_status":"ok"}</x:v>
      </x:c>
    </x:row>
    <x:row r="1019">
      <x:c r="A1019" s="72" t="n">
        <x:v>46240.948530092595</x:v>
      </x:c>
      <x:c r="B1019" s="72" t="n">
        <x:v>46240.94854398148</x:v>
      </x:c>
      <x:c r="C1019" s="32" t="str">
        <x:v>P08</x:v>
      </x:c>
      <x:c r="D1019" s="32" t="str">
        <x:v>B2-W0-V2</x:v>
      </x:c>
      <x:c r="E1019" s="32" t="str">
        <x:v>B2</x:v>
      </x:c>
      <x:c r="F1019" s="32" t="str">
        <x:v>W0</x:v>
      </x:c>
      <x:c r="G1019" s="32" t="str">
        <x:v>V2</x:v>
      </x:c>
      <x:c r="H1019" s="32" t="str">
        <x:v>water_soil</x:v>
      </x:c>
      <x:c r="I1019" s="32" t="str">
        <x:v>862323089930708</x:v>
      </x:c>
      <x:c r="J1019" s="82" t="n">
        <x:v>26.2</x:v>
      </x:c>
      <x:c r="K1019" s="82"/>
      <x:c r="L1019" s="82" t="n">
        <x:v>33.3</x:v>
      </x:c>
      <x:c r="M1019" s="82" t="n">
        <x:v>24.9</x:v>
      </x:c>
      <x:c r="N1019" s="86" t="n">
        <x:v>864</x:v>
      </x:c>
      <x:c r="O1019" s="90" t="n">
        <x:v>6.44</x:v>
      </x:c>
      <x:c r="P1019" s="150" t="n">
        <x:v>3.956</x:v>
      </x:c>
      <x:c r="Q1019" s="86" t="n">
        <x:v>17</x:v>
      </x:c>
      <x:c r="R1019" s="32" t="str">
        <x:v>ok</x:v>
      </x:c>
      <x:c r="S1019" s="32"/>
      <x:c r="T1019" s="32" t="str">
        <x:v>ok</x:v>
      </x:c>
      <x:c r="U1019" s="32" t="str">
        <x:v>ok</x:v>
      </x:c>
      <x:c r="V1019" s="32" t="str">
        <x:v>ok</x:v>
      </x:c>
      <x:c r="W1019" s="154" t="str">
        <x:v>{"schema_version":1,"imei":"862323089930708","timestamp":1786027553,"report_sequence":43,"task_version":"rice_w0_water_soil_demo","sensor_mode":"water_soil","soil_moisture_percent":33.3,"soil_temperature_c":24.9,"soil_ec_us_cm":864,"soil_ph":6.44,"battery_mv":3956,"csq":17,"soil_rs485_status":"ok","cycle_status":"ok","water_level_mm":26.2,"water_4_20ma_status":"ok"}</x:v>
      </x:c>
    </x:row>
    <x:row r="1020">
      <x:c r="A1020" s="72" t="n">
        <x:v>46240.948530092595</x:v>
      </x:c>
      <x:c r="B1020" s="72" t="n">
        <x:v>46240.94854398148</x:v>
      </x:c>
      <x:c r="C1020" s="32" t="str">
        <x:v>P09</x:v>
      </x:c>
      <x:c r="D1020" s="32" t="str">
        <x:v>B2-W1-V1</x:v>
      </x:c>
      <x:c r="E1020" s="32" t="str">
        <x:v>B2</x:v>
      </x:c>
      <x:c r="F1020" s="32" t="str">
        <x:v>W1</x:v>
      </x:c>
      <x:c r="G1020" s="32" t="str">
        <x:v>V1</x:v>
      </x:c>
      <x:c r="H1020" s="32" t="str">
        <x:v>tension_soil</x:v>
      </x:c>
      <x:c r="I1020" s="32" t="str">
        <x:v>862323089930709</x:v>
      </x:c>
      <x:c r="J1020" s="82"/>
      <x:c r="K1020" s="82" t="n">
        <x:v>-25.9</x:v>
      </x:c>
      <x:c r="L1020" s="82" t="n">
        <x:v>33.9</x:v>
      </x:c>
      <x:c r="M1020" s="82" t="n">
        <x:v>24.8</x:v>
      </x:c>
      <x:c r="N1020" s="86" t="n">
        <x:v>868</x:v>
      </x:c>
      <x:c r="O1020" s="90" t="n">
        <x:v>6.48</x:v>
      </x:c>
      <x:c r="P1020" s="150" t="n">
        <x:v>3.974</x:v>
      </x:c>
      <x:c r="Q1020" s="86" t="n">
        <x:v>18</x:v>
      </x:c>
      <x:c r="R1020" s="32"/>
      <x:c r="S1020" s="32" t="str">
        <x:v>ok</x:v>
      </x:c>
      <x:c r="T1020" s="32" t="str">
        <x:v>ok</x:v>
      </x:c>
      <x:c r="U1020" s="32" t="str">
        <x:v>ok</x:v>
      </x:c>
      <x:c r="V1020" s="32" t="str">
        <x:v>ok</x:v>
      </x:c>
      <x:c r="W1020" s="154" t="str">
        <x:v>{"schema_version":1,"imei":"862323089930709","timestamp":1786027553,"report_sequence":43,"task_version":"rice_tension_soil_demo","sensor_mode":"tension_soil","soil_moisture_percent":33.9,"soil_temperature_c":24.8,"soil_ec_us_cm":868,"soil_ph":6.48,"battery_mv":3974,"csq":18,"soil_rs485_status":"ok","cycle_status":"ok","soil_tension_kpa":-25.9,"soil_tension_rs485_status":"ok"}</x:v>
      </x:c>
    </x:row>
    <x:row r="1021">
      <x:c r="A1021" s="72" t="n">
        <x:v>46240.948530092595</x:v>
      </x:c>
      <x:c r="B1021" s="72" t="n">
        <x:v>46240.94854398148</x:v>
      </x:c>
      <x:c r="C1021" s="32" t="str">
        <x:v>P10</x:v>
      </x:c>
      <x:c r="D1021" s="32" t="str">
        <x:v>B2-W1-V2</x:v>
      </x:c>
      <x:c r="E1021" s="32" t="str">
        <x:v>B2</x:v>
      </x:c>
      <x:c r="F1021" s="32" t="str">
        <x:v>W1</x:v>
      </x:c>
      <x:c r="G1021" s="32" t="str">
        <x:v>V2</x:v>
      </x:c>
      <x:c r="H1021" s="32" t="str">
        <x:v>tension_soil</x:v>
      </x:c>
      <x:c r="I1021" s="32" t="str">
        <x:v>862323089930710</x:v>
      </x:c>
      <x:c r="J1021" s="82"/>
      <x:c r="K1021" s="82" t="n">
        <x:v>-21.5</x:v>
      </x:c>
      <x:c r="L1021" s="82" t="n">
        <x:v>34.5</x:v>
      </x:c>
      <x:c r="M1021" s="82" t="n">
        <x:v>24.7</x:v>
      </x:c>
      <x:c r="N1021" s="86" t="n">
        <x:v>874</x:v>
      </x:c>
      <x:c r="O1021" s="90" t="n">
        <x:v>6.28</x:v>
      </x:c>
      <x:c r="P1021" s="150" t="n">
        <x:v>3.992</x:v>
      </x:c>
      <x:c r="Q1021" s="86" t="n">
        <x:v>19</x:v>
      </x:c>
      <x:c r="R1021" s="32"/>
      <x:c r="S1021" s="32" t="str">
        <x:v>ok</x:v>
      </x:c>
      <x:c r="T1021" s="32" t="str">
        <x:v>ok</x:v>
      </x:c>
      <x:c r="U1021" s="32" t="str">
        <x:v>ok</x:v>
      </x:c>
      <x:c r="V1021" s="32" t="str">
        <x:v>ok</x:v>
      </x:c>
      <x:c r="W1021" s="154" t="str">
        <x:v>{"schema_version":1,"imei":"862323089930710","timestamp":1786027553,"report_sequence":43,"task_version":"rice_tension_soil_demo","sensor_mode":"tension_soil","soil_moisture_percent":34.5,"soil_temperature_c":24.7,"soil_ec_us_cm":874,"soil_ph":6.28,"battery_mv":3992,"csq":19,"soil_rs485_status":"ok","cycle_status":"ok","soil_tension_kpa":-21.5,"soil_tension_rs485_status":"ok"}</x:v>
      </x:c>
    </x:row>
    <x:row r="1022">
      <x:c r="A1022" s="72" t="n">
        <x:v>46240.948530092595</x:v>
      </x:c>
      <x:c r="B1022" s="72" t="n">
        <x:v>46240.94854398148</x:v>
      </x:c>
      <x:c r="C1022" s="32" t="str">
        <x:v>P11</x:v>
      </x:c>
      <x:c r="D1022" s="32" t="str">
        <x:v>B2-W2-V1</x:v>
      </x:c>
      <x:c r="E1022" s="32" t="str">
        <x:v>B2</x:v>
      </x:c>
      <x:c r="F1022" s="32" t="str">
        <x:v>W2</x:v>
      </x:c>
      <x:c r="G1022" s="32" t="str">
        <x:v>V1</x:v>
      </x:c>
      <x:c r="H1022" s="32" t="str">
        <x:v>tension_soil</x:v>
      </x:c>
      <x:c r="I1022" s="32" t="str">
        <x:v>862323089930711</x:v>
      </x:c>
      <x:c r="J1022" s="82"/>
      <x:c r="K1022" s="82" t="n">
        <x:v>-33.2</x:v>
      </x:c>
      <x:c r="L1022" s="82" t="n">
        <x:v>35.2</x:v>
      </x:c>
      <x:c r="M1022" s="82" t="n">
        <x:v>24.7</x:v>
      </x:c>
      <x:c r="N1022" s="86" t="n">
        <x:v>881</x:v>
      </x:c>
      <x:c r="O1022" s="90" t="n">
        <x:v>6.32</x:v>
      </x:c>
      <x:c r="P1022" s="150" t="n">
        <x:v>4.01</x:v>
      </x:c>
      <x:c r="Q1022" s="86" t="n">
        <x:v>20</x:v>
      </x:c>
      <x:c r="R1022" s="32"/>
      <x:c r="S1022" s="32" t="str">
        <x:v>ok</x:v>
      </x:c>
      <x:c r="T1022" s="32" t="str">
        <x:v>ok</x:v>
      </x:c>
      <x:c r="U1022" s="32" t="str">
        <x:v>ok</x:v>
      </x:c>
      <x:c r="V1022" s="32" t="str">
        <x:v>ok</x:v>
      </x:c>
      <x:c r="W1022" s="154" t="str">
        <x:v>{"schema_version":1,"imei":"862323089930711","timestamp":1786027553,"report_sequence":43,"task_version":"rice_tension_soil_demo","sensor_mode":"tension_soil","soil_moisture_percent":35.2,"soil_temperature_c":24.7,"soil_ec_us_cm":881,"soil_ph":6.32,"battery_mv":4010,"csq":20,"soil_rs485_status":"ok","cycle_status":"ok","soil_tension_kpa":-33.2,"soil_tension_rs485_status":"ok"}</x:v>
      </x:c>
    </x:row>
    <x:row r="1023">
      <x:c r="A1023" s="72" t="n">
        <x:v>46240.948530092595</x:v>
      </x:c>
      <x:c r="B1023" s="72" t="n">
        <x:v>46240.94854398148</x:v>
      </x:c>
      <x:c r="C1023" s="32" t="str">
        <x:v>P12</x:v>
      </x:c>
      <x:c r="D1023" s="32" t="str">
        <x:v>B2-W2-V2</x:v>
      </x:c>
      <x:c r="E1023" s="32" t="str">
        <x:v>B2</x:v>
      </x:c>
      <x:c r="F1023" s="32" t="str">
        <x:v>W2</x:v>
      </x:c>
      <x:c r="G1023" s="32" t="str">
        <x:v>V2</x:v>
      </x:c>
      <x:c r="H1023" s="32" t="str">
        <x:v>tension_soil</x:v>
      </x:c>
      <x:c r="I1023" s="32" t="str">
        <x:v>862323089930712</x:v>
      </x:c>
      <x:c r="J1023" s="82"/>
      <x:c r="K1023" s="82" t="n">
        <x:v>-34</x:v>
      </x:c>
      <x:c r="L1023" s="82" t="n">
        <x:v>36</x:v>
      </x:c>
      <x:c r="M1023" s="82" t="n">
        <x:v>24.6</x:v>
      </x:c>
      <x:c r="N1023" s="86" t="n">
        <x:v>890</x:v>
      </x:c>
      <x:c r="O1023" s="90" t="n">
        <x:v>6.37</x:v>
      </x:c>
      <x:c r="P1023" s="150" t="n">
        <x:v>3.92</x:v>
      </x:c>
      <x:c r="Q1023" s="86" t="n">
        <x:v>21</x:v>
      </x:c>
      <x:c r="R1023" s="32"/>
      <x:c r="S1023" s="32" t="str">
        <x:v>ok</x:v>
      </x:c>
      <x:c r="T1023" s="32" t="str">
        <x:v>ok</x:v>
      </x:c>
      <x:c r="U1023" s="32" t="str">
        <x:v>ok</x:v>
      </x:c>
      <x:c r="V1023" s="32" t="str">
        <x:v>ok</x:v>
      </x:c>
      <x:c r="W1023" s="154" t="str">
        <x:v>{"schema_version":1,"imei":"862323089930712","timestamp":1786027553,"report_sequence":43,"task_version":"rice_tension_soil_demo","sensor_mode":"tension_soil","soil_moisture_percent":36,"soil_temperature_c":24.6,"soil_ec_us_cm":890,"soil_ph":6.37,"battery_mv":3920,"csq":21,"soil_rs485_status":"ok","cycle_status":"ok","soil_tension_kpa":-34,"soil_tension_rs485_status":"ok"}</x:v>
      </x:c>
    </x:row>
    <x:row r="1024">
      <x:c r="A1024" s="72" t="n">
        <x:v>46240.948530092595</x:v>
      </x:c>
      <x:c r="B1024" s="72" t="n">
        <x:v>46240.94854398148</x:v>
      </x:c>
      <x:c r="C1024" s="32" t="str">
        <x:v>P13</x:v>
      </x:c>
      <x:c r="D1024" s="32" t="str">
        <x:v>B3-W0-V1</x:v>
      </x:c>
      <x:c r="E1024" s="32" t="str">
        <x:v>B3</x:v>
      </x:c>
      <x:c r="F1024" s="32" t="str">
        <x:v>W0</x:v>
      </x:c>
      <x:c r="G1024" s="32" t="str">
        <x:v>V1</x:v>
      </x:c>
      <x:c r="H1024" s="32" t="str">
        <x:v>water_soil</x:v>
      </x:c>
      <x:c r="I1024" s="32" t="str">
        <x:v>862323089930713</x:v>
      </x:c>
      <x:c r="J1024" s="82" t="n">
        <x:v>26</x:v>
      </x:c>
      <x:c r="K1024" s="82"/>
      <x:c r="L1024" s="82" t="n">
        <x:v>37</x:v>
      </x:c>
      <x:c r="M1024" s="82" t="n">
        <x:v>24.6</x:v>
      </x:c>
      <x:c r="N1024" s="86" t="n">
        <x:v>901</x:v>
      </x:c>
      <x:c r="O1024" s="90" t="n">
        <x:v>6.42</x:v>
      </x:c>
      <x:c r="P1024" s="150" t="n">
        <x:v>3.938</x:v>
      </x:c>
      <x:c r="Q1024" s="86" t="n">
        <x:v>22</x:v>
      </x:c>
      <x:c r="R1024" s="32" t="str">
        <x:v>ok</x:v>
      </x:c>
      <x:c r="S1024" s="32"/>
      <x:c r="T1024" s="32" t="str">
        <x:v>ok</x:v>
      </x:c>
      <x:c r="U1024" s="32" t="str">
        <x:v>ok</x:v>
      </x:c>
      <x:c r="V1024" s="32" t="str">
        <x:v>ok</x:v>
      </x:c>
      <x:c r="W1024" s="154" t="str">
        <x:v>{"schema_version":1,"imei":"862323089930713","timestamp":1786027553,"report_sequence":43,"task_version":"rice_w0_water_soil_demo","sensor_mode":"water_soil","soil_moisture_percent":37,"soil_temperature_c":24.6,"soil_ec_us_cm":901,"soil_ph":6.42,"battery_mv":3938,"csq":22,"soil_rs485_status":"ok","cycle_status":"ok","water_level_mm":26,"water_4_20ma_status":"ok"}</x:v>
      </x:c>
    </x:row>
    <x:row r="1025">
      <x:c r="A1025" s="72" t="n">
        <x:v>46240.948530092595</x:v>
      </x:c>
      <x:c r="B1025" s="72" t="n">
        <x:v>46240.94854398148</x:v>
      </x:c>
      <x:c r="C1025" s="32" t="str">
        <x:v>P14</x:v>
      </x:c>
      <x:c r="D1025" s="32" t="str">
        <x:v>B3-W0-V2</x:v>
      </x:c>
      <x:c r="E1025" s="32" t="str">
        <x:v>B3</x:v>
      </x:c>
      <x:c r="F1025" s="32" t="str">
        <x:v>W0</x:v>
      </x:c>
      <x:c r="G1025" s="32" t="str">
        <x:v>V2</x:v>
      </x:c>
      <x:c r="H1025" s="32" t="str">
        <x:v>water_soil</x:v>
      </x:c>
      <x:c r="I1025" s="32" t="str">
        <x:v>862323089930714</x:v>
      </x:c>
      <x:c r="J1025" s="82" t="n">
        <x:v>29.2</x:v>
      </x:c>
      <x:c r="K1025" s="82"/>
      <x:c r="L1025" s="82" t="n">
        <x:v>38.1</x:v>
      </x:c>
      <x:c r="M1025" s="82" t="n">
        <x:v>24.6</x:v>
      </x:c>
      <x:c r="N1025" s="86" t="n">
        <x:v>914</x:v>
      </x:c>
      <x:c r="O1025" s="90" t="n">
        <x:v>6.47</x:v>
      </x:c>
      <x:c r="P1025" s="150" t="n">
        <x:v>3.956</x:v>
      </x:c>
      <x:c r="Q1025" s="86" t="n">
        <x:v>23</x:v>
      </x:c>
      <x:c r="R1025" s="32" t="str">
        <x:v>ok</x:v>
      </x:c>
      <x:c r="S1025" s="32"/>
      <x:c r="T1025" s="32" t="str">
        <x:v>ok</x:v>
      </x:c>
      <x:c r="U1025" s="32" t="str">
        <x:v>ok</x:v>
      </x:c>
      <x:c r="V1025" s="32" t="str">
        <x:v>ok</x:v>
      </x:c>
      <x:c r="W1025" s="154" t="str">
        <x:v>{"schema_version":1,"imei":"862323089930714","timestamp":1786027553,"report_sequence":43,"task_version":"rice_w0_water_soil_demo","sensor_mode":"water_soil","soil_moisture_percent":38.1,"soil_temperature_c":24.6,"soil_ec_us_cm":914,"soil_ph":6.47,"battery_mv":3956,"csq":23,"soil_rs485_status":"ok","cycle_status":"ok","water_level_mm":29.2,"water_4_20ma_status":"ok"}</x:v>
      </x:c>
    </x:row>
    <x:row r="1026">
      <x:c r="A1026" s="72" t="n">
        <x:v>46240.948530092595</x:v>
      </x:c>
      <x:c r="B1026" s="72" t="n">
        <x:v>46240.94854398148</x:v>
      </x:c>
      <x:c r="C1026" s="32" t="str">
        <x:v>P15</x:v>
      </x:c>
      <x:c r="D1026" s="32" t="str">
        <x:v>B3-W1-V1</x:v>
      </x:c>
      <x:c r="E1026" s="32" t="str">
        <x:v>B3</x:v>
      </x:c>
      <x:c r="F1026" s="32" t="str">
        <x:v>W1</x:v>
      </x:c>
      <x:c r="G1026" s="32" t="str">
        <x:v>V1</x:v>
      </x:c>
      <x:c r="H1026" s="32" t="str">
        <x:v>tension_soil</x:v>
      </x:c>
      <x:c r="I1026" s="32" t="str">
        <x:v>862323089930715</x:v>
      </x:c>
      <x:c r="J1026" s="82"/>
      <x:c r="K1026" s="82" t="n">
        <x:v>-21.3</x:v>
      </x:c>
      <x:c r="L1026" s="82" t="n">
        <x:v>39.3</x:v>
      </x:c>
      <x:c r="M1026" s="82" t="n">
        <x:v>24.7</x:v>
      </x:c>
      <x:c r="N1026" s="86" t="n">
        <x:v>930</x:v>
      </x:c>
      <x:c r="O1026" s="90" t="n">
        <x:v>6.27</x:v>
      </x:c>
      <x:c r="P1026" s="150" t="n">
        <x:v>3.974</x:v>
      </x:c>
      <x:c r="Q1026" s="86" t="n">
        <x:v>24</x:v>
      </x:c>
      <x:c r="R1026" s="32"/>
      <x:c r="S1026" s="32" t="str">
        <x:v>ok</x:v>
      </x:c>
      <x:c r="T1026" s="32" t="str">
        <x:v>ok</x:v>
      </x:c>
      <x:c r="U1026" s="32" t="str">
        <x:v>ok</x:v>
      </x:c>
      <x:c r="V1026" s="32" t="str">
        <x:v>ok</x:v>
      </x:c>
      <x:c r="W1026" s="154" t="str">
        <x:v>{"schema_version":1,"imei":"862323089930715","timestamp":1786027553,"report_sequence":43,"task_version":"rice_tension_soil_demo","sensor_mode":"tension_soil","soil_moisture_percent":39.3,"soil_temperature_c":24.7,"soil_ec_us_cm":930,"soil_ph":6.27,"battery_mv":3974,"csq":24,"soil_rs485_status":"ok","cycle_status":"ok","soil_tension_kpa":-21.3,"soil_tension_rs485_status":"ok"}</x:v>
      </x:c>
    </x:row>
    <x:row r="1027">
      <x:c r="A1027" s="72" t="n">
        <x:v>46240.948530092595</x:v>
      </x:c>
      <x:c r="B1027" s="72" t="n">
        <x:v>46240.94854398148</x:v>
      </x:c>
      <x:c r="C1027" s="32" t="str">
        <x:v>P16</x:v>
      </x:c>
      <x:c r="D1027" s="32" t="str">
        <x:v>B3-W1-V2</x:v>
      </x:c>
      <x:c r="E1027" s="32" t="str">
        <x:v>B3</x:v>
      </x:c>
      <x:c r="F1027" s="32" t="str">
        <x:v>W1</x:v>
      </x:c>
      <x:c r="G1027" s="32" t="str">
        <x:v>V2</x:v>
      </x:c>
      <x:c r="H1027" s="32" t="str">
        <x:v>tension_soil</x:v>
      </x:c>
      <x:c r="I1027" s="32" t="str">
        <x:v>862323089930716</x:v>
      </x:c>
      <x:c r="J1027" s="82"/>
      <x:c r="K1027" s="82" t="n">
        <x:v>-22.6</x:v>
      </x:c>
      <x:c r="L1027" s="82" t="n">
        <x:v>32.6</x:v>
      </x:c>
      <x:c r="M1027" s="82" t="n">
        <x:v>24.7</x:v>
      </x:c>
      <x:c r="N1027" s="86" t="n">
        <x:v>947</x:v>
      </x:c>
      <x:c r="O1027" s="90" t="n">
        <x:v>6.33</x:v>
      </x:c>
      <x:c r="P1027" s="150" t="n">
        <x:v>3.992</x:v>
      </x:c>
      <x:c r="Q1027" s="86" t="n">
        <x:v>17</x:v>
      </x:c>
      <x:c r="R1027" s="32"/>
      <x:c r="S1027" s="32" t="str">
        <x:v>ok</x:v>
      </x:c>
      <x:c r="T1027" s="32" t="str">
        <x:v>ok</x:v>
      </x:c>
      <x:c r="U1027" s="32" t="str">
        <x:v>ok</x:v>
      </x:c>
      <x:c r="V1027" s="32" t="str">
        <x:v>ok</x:v>
      </x:c>
      <x:c r="W1027" s="154" t="str">
        <x:v>{"schema_version":1,"imei":"862323089930716","timestamp":1786027553,"report_sequence":43,"task_version":"rice_tension_soil_demo","sensor_mode":"tension_soil","soil_moisture_percent":32.6,"soil_temperature_c":24.7,"soil_ec_us_cm":947,"soil_ph":6.33,"battery_mv":3992,"csq":17,"soil_rs485_status":"ok","cycle_status":"ok","soil_tension_kpa":-22.6,"soil_tension_rs485_status":"ok"}</x:v>
      </x:c>
    </x:row>
    <x:row r="1028">
      <x:c r="A1028" s="72" t="n">
        <x:v>46240.948530092595</x:v>
      </x:c>
      <x:c r="B1028" s="72" t="n">
        <x:v>46240.94854398148</x:v>
      </x:c>
      <x:c r="C1028" s="32" t="str">
        <x:v>P17</x:v>
      </x:c>
      <x:c r="D1028" s="32" t="str">
        <x:v>B3-W2-V1</x:v>
      </x:c>
      <x:c r="E1028" s="32" t="str">
        <x:v>B3</x:v>
      </x:c>
      <x:c r="F1028" s="32" t="str">
        <x:v>W2</x:v>
      </x:c>
      <x:c r="G1028" s="32" t="str">
        <x:v>V1</x:v>
      </x:c>
      <x:c r="H1028" s="32" t="str">
        <x:v>tension_soil</x:v>
      </x:c>
      <x:c r="I1028" s="32" t="str">
        <x:v>862323089930717</x:v>
      </x:c>
      <x:c r="J1028" s="82"/>
      <x:c r="K1028" s="82" t="n">
        <x:v>-35</x:v>
      </x:c>
      <x:c r="L1028" s="82" t="n">
        <x:v>34</x:v>
      </x:c>
      <x:c r="M1028" s="82" t="n">
        <x:v>24.8</x:v>
      </x:c>
      <x:c r="N1028" s="86" t="n">
        <x:v>966</x:v>
      </x:c>
      <x:c r="O1028" s="90" t="n">
        <x:v>6.38</x:v>
      </x:c>
      <x:c r="P1028" s="150" t="n">
        <x:v>4.01</x:v>
      </x:c>
      <x:c r="Q1028" s="86" t="n">
        <x:v>18</x:v>
      </x:c>
      <x:c r="R1028" s="32"/>
      <x:c r="S1028" s="32" t="str">
        <x:v>ok</x:v>
      </x:c>
      <x:c r="T1028" s="32" t="str">
        <x:v>ok</x:v>
      </x:c>
      <x:c r="U1028" s="32" t="str">
        <x:v>ok</x:v>
      </x:c>
      <x:c r="V1028" s="32" t="str">
        <x:v>ok</x:v>
      </x:c>
      <x:c r="W1028" s="154" t="str">
        <x:v>{"schema_version":1,"imei":"862323089930717","timestamp":1786027553,"report_sequence":43,"task_version":"rice_tension_soil_demo","sensor_mode":"tension_soil","soil_moisture_percent":34,"soil_temperature_c":24.8,"soil_ec_us_cm":966,"soil_ph":6.38,"battery_mv":4010,"csq":18,"soil_rs485_status":"ok","cycle_status":"ok","soil_tension_kpa":-35,"soil_tension_rs485_status":"ok"}</x:v>
      </x:c>
    </x:row>
    <x:row r="1029">
      <x:c r="A1029" s="72" t="n">
        <x:v>46240.948530092595</x:v>
      </x:c>
      <x:c r="B1029" s="72" t="n">
        <x:v>46240.94854398148</x:v>
      </x:c>
      <x:c r="C1029" s="32" t="str">
        <x:v>P18</x:v>
      </x:c>
      <x:c r="D1029" s="32" t="str">
        <x:v>B3-W2-V2</x:v>
      </x:c>
      <x:c r="E1029" s="32" t="str">
        <x:v>B3</x:v>
      </x:c>
      <x:c r="F1029" s="32" t="str">
        <x:v>W2</x:v>
      </x:c>
      <x:c r="G1029" s="32" t="str">
        <x:v>V2</x:v>
      </x:c>
      <x:c r="H1029" s="32" t="str">
        <x:v>tension_soil</x:v>
      </x:c>
      <x:c r="I1029" s="32" t="str">
        <x:v>862323089930718</x:v>
      </x:c>
      <x:c r="J1029" s="82"/>
      <x:c r="K1029" s="82" t="n">
        <x:v>-36.4</x:v>
      </x:c>
      <x:c r="L1029" s="82" t="n">
        <x:v>35.4</x:v>
      </x:c>
      <x:c r="M1029" s="82" t="n">
        <x:v>25</x:v>
      </x:c>
      <x:c r="N1029" s="86" t="n">
        <x:v>986</x:v>
      </x:c>
      <x:c r="O1029" s="90" t="n">
        <x:v>6.44</x:v>
      </x:c>
      <x:c r="P1029" s="150" t="n">
        <x:v>3.92</x:v>
      </x:c>
      <x:c r="Q1029" s="86" t="n">
        <x:v>19</x:v>
      </x:c>
      <x:c r="R1029" s="32"/>
      <x:c r="S1029" s="32" t="str">
        <x:v>ok</x:v>
      </x:c>
      <x:c r="T1029" s="32" t="str">
        <x:v>ok</x:v>
      </x:c>
      <x:c r="U1029" s="32" t="str">
        <x:v>ok</x:v>
      </x:c>
      <x:c r="V1029" s="32" t="str">
        <x:v>ok</x:v>
      </x:c>
      <x:c r="W1029" s="154" t="str">
        <x:v>{"schema_version":1,"imei":"862323089930718","timestamp":1786027553,"report_sequence":43,"task_version":"rice_tension_soil_demo","sensor_mode":"tension_soil","soil_moisture_percent":35.4,"soil_temperature_c":25,"soil_ec_us_cm":986,"soil_ph":6.44,"battery_mv":3920,"csq":19,"soil_rs485_status":"ok","cycle_status":"ok","soil_tension_kpa":-36.4,"soil_tension_rs485_status":"ok"}</x:v>
      </x:c>
    </x:row>
    <x:row r="1030">
      <x:c r="A1030" s="72" t="n">
        <x:v>46240.948530092595</x:v>
      </x:c>
      <x:c r="B1030" s="72" t="n">
        <x:v>46240.94854398148</x:v>
      </x:c>
      <x:c r="C1030" s="32" t="str">
        <x:v>P19</x:v>
      </x:c>
      <x:c r="D1030" s="32" t="str">
        <x:v>B4-W0-V1</x:v>
      </x:c>
      <x:c r="E1030" s="32" t="str">
        <x:v>B4</x:v>
      </x:c>
      <x:c r="F1030" s="32" t="str">
        <x:v>W0</x:v>
      </x:c>
      <x:c r="G1030" s="32" t="str">
        <x:v>V1</x:v>
      </x:c>
      <x:c r="H1030" s="32" t="str">
        <x:v>water_soil</x:v>
      </x:c>
      <x:c r="I1030" s="32" t="str">
        <x:v>862323089930719</x:v>
      </x:c>
      <x:c r="J1030" s="82" t="n">
        <x:v>36.8</x:v>
      </x:c>
      <x:c r="K1030" s="82"/>
      <x:c r="L1030" s="82" t="n">
        <x:v>36.9</x:v>
      </x:c>
      <x:c r="M1030" s="82" t="n">
        <x:v>25.1</x:v>
      </x:c>
      <x:c r="N1030" s="86" t="n">
        <x:v>1007</x:v>
      </x:c>
      <x:c r="O1030" s="90" t="n">
        <x:v>6.5</x:v>
      </x:c>
      <x:c r="P1030" s="150" t="n">
        <x:v>3.938</x:v>
      </x:c>
      <x:c r="Q1030" s="86" t="n">
        <x:v>20</x:v>
      </x:c>
      <x:c r="R1030" s="32" t="str">
        <x:v>ok</x:v>
      </x:c>
      <x:c r="S1030" s="32"/>
      <x:c r="T1030" s="32" t="str">
        <x:v>ok</x:v>
      </x:c>
      <x:c r="U1030" s="32" t="str">
        <x:v>ok</x:v>
      </x:c>
      <x:c r="V1030" s="32" t="str">
        <x:v>ok</x:v>
      </x:c>
      <x:c r="W1030" s="154" t="str">
        <x:v>{"schema_version":1,"imei":"862323089930719","timestamp":1786027553,"report_sequence":43,"task_version":"rice_w0_water_soil_demo","sensor_mode":"water_soil","soil_moisture_percent":36.9,"soil_temperature_c":25.1,"soil_ec_us_cm":1007,"soil_ph":6.5,"battery_mv":3938,"csq":20,"soil_rs485_status":"ok","cycle_status":"ok","water_level_mm":36.8,"water_4_20ma_status":"ok"}</x:v>
      </x:c>
    </x:row>
    <x:row r="1031">
      <x:c r="A1031" s="72" t="n">
        <x:v>46240.948530092595</x:v>
      </x:c>
      <x:c r="B1031" s="72" t="n">
        <x:v>46240.94854398148</x:v>
      </x:c>
      <x:c r="C1031" s="32" t="str">
        <x:v>P20</x:v>
      </x:c>
      <x:c r="D1031" s="32" t="str">
        <x:v>B4-W0-V2</x:v>
      </x:c>
      <x:c r="E1031" s="32" t="str">
        <x:v>B4</x:v>
      </x:c>
      <x:c r="F1031" s="32" t="str">
        <x:v>W0</x:v>
      </x:c>
      <x:c r="G1031" s="32" t="str">
        <x:v>V2</x:v>
      </x:c>
      <x:c r="H1031" s="32" t="str">
        <x:v>water_soil</x:v>
      </x:c>
      <x:c r="I1031" s="32" t="str">
        <x:v>862323089930720</x:v>
      </x:c>
      <x:c r="J1031" s="82" t="n">
        <x:v>29.1</x:v>
      </x:c>
      <x:c r="K1031" s="82"/>
      <x:c r="L1031" s="82" t="n">
        <x:v>38.4</x:v>
      </x:c>
      <x:c r="M1031" s="82" t="n">
        <x:v>25.2</x:v>
      </x:c>
      <x:c r="N1031" s="86" t="n">
        <x:v>1028</x:v>
      </x:c>
      <x:c r="O1031" s="90" t="n">
        <x:v>6.31</x:v>
      </x:c>
      <x:c r="P1031" s="150" t="n">
        <x:v>3.956</x:v>
      </x:c>
      <x:c r="Q1031" s="86" t="n">
        <x:v>21</x:v>
      </x:c>
      <x:c r="R1031" s="32" t="str">
        <x:v>ok</x:v>
      </x:c>
      <x:c r="S1031" s="32"/>
      <x:c r="T1031" s="32" t="str">
        <x:v>ok</x:v>
      </x:c>
      <x:c r="U1031" s="32" t="str">
        <x:v>ok</x:v>
      </x:c>
      <x:c r="V1031" s="32" t="str">
        <x:v>ok</x:v>
      </x:c>
      <x:c r="W1031" s="154" t="str">
        <x:v>{"schema_version":1,"imei":"862323089930720","timestamp":1786027553,"report_sequence":43,"task_version":"rice_w0_water_soil_demo","sensor_mode":"water_soil","soil_moisture_percent":38.4,"soil_temperature_c":25.2,"soil_ec_us_cm":1028,"soil_ph":6.31,"battery_mv":3956,"csq":21,"soil_rs485_status":"ok","cycle_status":"ok","water_level_mm":29.1,"water_4_20ma_status":"ok"}</x:v>
      </x:c>
    </x:row>
    <x:row r="1032">
      <x:c r="A1032" s="72" t="n">
        <x:v>46240.948530092595</x:v>
      </x:c>
      <x:c r="B1032" s="72" t="n">
        <x:v>46240.94854398148</x:v>
      </x:c>
      <x:c r="C1032" s="32" t="str">
        <x:v>P21</x:v>
      </x:c>
      <x:c r="D1032" s="32" t="str">
        <x:v>B4-W1-V1</x:v>
      </x:c>
      <x:c r="E1032" s="32" t="str">
        <x:v>B4</x:v>
      </x:c>
      <x:c r="F1032" s="32" t="str">
        <x:v>W1</x:v>
      </x:c>
      <x:c r="G1032" s="32" t="str">
        <x:v>V1</x:v>
      </x:c>
      <x:c r="H1032" s="32" t="str">
        <x:v>tension_soil</x:v>
      </x:c>
      <x:c r="I1032" s="32" t="str">
        <x:v>862323089930721</x:v>
      </x:c>
      <x:c r="J1032" s="82"/>
      <x:c r="K1032" s="82" t="n">
        <x:v>-24.9</x:v>
      </x:c>
      <x:c r="L1032" s="82" t="n">
        <x:v>39.9</x:v>
      </x:c>
      <x:c r="M1032" s="82" t="n">
        <x:v>25.3</x:v>
      </x:c>
      <x:c r="N1032" s="86" t="n">
        <x:v>1048</x:v>
      </x:c>
      <x:c r="O1032" s="90" t="n">
        <x:v>6.36</x:v>
      </x:c>
      <x:c r="P1032" s="150" t="n">
        <x:v>3.974</x:v>
      </x:c>
      <x:c r="Q1032" s="86" t="n">
        <x:v>22</x:v>
      </x:c>
      <x:c r="R1032" s="32"/>
      <x:c r="S1032" s="32" t="str">
        <x:v>ok</x:v>
      </x:c>
      <x:c r="T1032" s="32" t="str">
        <x:v>ok</x:v>
      </x:c>
      <x:c r="U1032" s="32" t="str">
        <x:v>ok</x:v>
      </x:c>
      <x:c r="V1032" s="32" t="str">
        <x:v>ok</x:v>
      </x:c>
      <x:c r="W1032" s="154" t="str">
        <x:v>{"schema_version":1,"imei":"862323089930721","timestamp":1786027553,"report_sequence":43,"task_version":"rice_tension_soil_demo","sensor_mode":"tension_soil","soil_moisture_percent":39.9,"soil_temperature_c":25.3,"soil_ec_us_cm":1048,"soil_ph":6.36,"battery_mv":3974,"csq":22,"soil_rs485_status":"ok","cycle_status":"ok","soil_tension_kpa":-24.9,"soil_tension_rs485_status":"ok"}</x:v>
      </x:c>
    </x:row>
    <x:row r="1033">
      <x:c r="A1033" s="72" t="n">
        <x:v>46240.948530092595</x:v>
      </x:c>
      <x:c r="B1033" s="72" t="n">
        <x:v>46240.94854398148</x:v>
      </x:c>
      <x:c r="C1033" s="32" t="str">
        <x:v>P22</x:v>
      </x:c>
      <x:c r="D1033" s="32" t="str">
        <x:v>B4-W1-V2</x:v>
      </x:c>
      <x:c r="E1033" s="32" t="str">
        <x:v>B4</x:v>
      </x:c>
      <x:c r="F1033" s="32" t="str">
        <x:v>W1</x:v>
      </x:c>
      <x:c r="G1033" s="32" t="str">
        <x:v>V2</x:v>
      </x:c>
      <x:c r="H1033" s="32" t="str">
        <x:v>tension_soil</x:v>
      </x:c>
      <x:c r="I1033" s="32" t="str">
        <x:v>862323089930722</x:v>
      </x:c>
      <x:c r="J1033" s="82"/>
      <x:c r="K1033" s="82" t="n">
        <x:v>-26.3</x:v>
      </x:c>
      <x:c r="L1033" s="82" t="n">
        <x:v>41.3</x:v>
      </x:c>
      <x:c r="M1033" s="82" t="n">
        <x:v>25.4</x:v>
      </x:c>
      <x:c r="N1033" s="86" t="n">
        <x:v>1067</x:v>
      </x:c>
      <x:c r="O1033" s="90" t="n">
        <x:v>6.42</x:v>
      </x:c>
      <x:c r="P1033" s="150" t="n">
        <x:v>3.992</x:v>
      </x:c>
      <x:c r="Q1033" s="86" t="n">
        <x:v>23</x:v>
      </x:c>
      <x:c r="R1033" s="32"/>
      <x:c r="S1033" s="32" t="str">
        <x:v>ok</x:v>
      </x:c>
      <x:c r="T1033" s="32" t="str">
        <x:v>ok</x:v>
      </x:c>
      <x:c r="U1033" s="32" t="str">
        <x:v>ok</x:v>
      </x:c>
      <x:c r="V1033" s="32" t="str">
        <x:v>ok</x:v>
      </x:c>
      <x:c r="W1033" s="154" t="str">
        <x:v>{"schema_version":1,"imei":"862323089930722","timestamp":1786027553,"report_sequence":43,"task_version":"rice_tension_soil_demo","sensor_mode":"tension_soil","soil_moisture_percent":41.3,"soil_temperature_c":25.4,"soil_ec_us_cm":1067,"soil_ph":6.42,"battery_mv":3992,"csq":23,"soil_rs485_status":"ok","cycle_status":"ok","soil_tension_kpa":-26.3,"soil_tension_rs485_status":"ok"}</x:v>
      </x:c>
    </x:row>
    <x:row r="1034">
      <x:c r="A1034" s="72" t="n">
        <x:v>46240.948530092595</x:v>
      </x:c>
      <x:c r="B1034" s="72" t="n">
        <x:v>46240.94854398148</x:v>
      </x:c>
      <x:c r="C1034" s="32" t="str">
        <x:v>P23</x:v>
      </x:c>
      <x:c r="D1034" s="32" t="str">
        <x:v>B4-W2-V1</x:v>
      </x:c>
      <x:c r="E1034" s="32" t="str">
        <x:v>B4</x:v>
      </x:c>
      <x:c r="F1034" s="32" t="str">
        <x:v>W2</x:v>
      </x:c>
      <x:c r="G1034" s="32" t="str">
        <x:v>V1</x:v>
      </x:c>
      <x:c r="H1034" s="32" t="str">
        <x:v>tension_soil</x:v>
      </x:c>
      <x:c r="I1034" s="32" t="str">
        <x:v>862323089930723</x:v>
      </x:c>
      <x:c r="J1034" s="82"/>
      <x:c r="K1034" s="82" t="n">
        <x:v>-38.6</x:v>
      </x:c>
      <x:c r="L1034" s="82" t="n">
        <x:v>42.6</x:v>
      </x:c>
      <x:c r="M1034" s="82" t="n">
        <x:v>25.5</x:v>
      </x:c>
      <x:c r="N1034" s="86" t="n">
        <x:v>1085</x:v>
      </x:c>
      <x:c r="O1034" s="90" t="n">
        <x:v>6.47</x:v>
      </x:c>
      <x:c r="P1034" s="150" t="n">
        <x:v>4.01</x:v>
      </x:c>
      <x:c r="Q1034" s="86" t="n">
        <x:v>24</x:v>
      </x:c>
      <x:c r="R1034" s="32"/>
      <x:c r="S1034" s="32" t="str">
        <x:v>ok</x:v>
      </x:c>
      <x:c r="T1034" s="32" t="str">
        <x:v>ok</x:v>
      </x:c>
      <x:c r="U1034" s="32" t="str">
        <x:v>ok</x:v>
      </x:c>
      <x:c r="V1034" s="32" t="str">
        <x:v>ok</x:v>
      </x:c>
      <x:c r="W1034" s="154" t="str">
        <x:v>{"schema_version":1,"imei":"862323089930723","timestamp":1786027553,"report_sequence":43,"task_version":"rice_tension_soil_demo","sensor_mode":"tension_soil","soil_moisture_percent":42.6,"soil_temperature_c":25.5,"soil_ec_us_cm":1085,"soil_ph":6.47,"battery_mv":4010,"csq":24,"soil_rs485_status":"ok","cycle_status":"ok","soil_tension_kpa":-38.6,"soil_tension_rs485_status":"ok"}</x:v>
      </x:c>
    </x:row>
    <x:row r="1035">
      <x:c r="A1035" s="72" t="n">
        <x:v>46240.948530092595</x:v>
      </x:c>
      <x:c r="B1035" s="72" t="n">
        <x:v>46240.94854398148</x:v>
      </x:c>
      <x:c r="C1035" s="32" t="str">
        <x:v>P24</x:v>
      </x:c>
      <x:c r="D1035" s="32" t="str">
        <x:v>B4-W2-V2</x:v>
      </x:c>
      <x:c r="E1035" s="32" t="str">
        <x:v>B4</x:v>
      </x:c>
      <x:c r="F1035" s="32" t="str">
        <x:v>W2</x:v>
      </x:c>
      <x:c r="G1035" s="32" t="str">
        <x:v>V2</x:v>
      </x:c>
      <x:c r="H1035" s="32" t="str">
        <x:v>tension_soil</x:v>
      </x:c>
      <x:c r="I1035" s="32" t="str">
        <x:v>862323089930724</x:v>
      </x:c>
      <x:c r="J1035" s="82"/>
      <x:c r="K1035" s="82" t="n">
        <x:v>-39.9</x:v>
      </x:c>
      <x:c r="L1035" s="82" t="n">
        <x:v>35.9</x:v>
      </x:c>
      <x:c r="M1035" s="82" t="n">
        <x:v>25.6</x:v>
      </x:c>
      <x:c r="N1035" s="86" t="n">
        <x:v>1101</x:v>
      </x:c>
      <x:c r="O1035" s="90" t="n">
        <x:v>6.53</x:v>
      </x:c>
      <x:c r="P1035" s="150" t="n">
        <x:v>3.92</x:v>
      </x:c>
      <x:c r="Q1035" s="86" t="n">
        <x:v>17</x:v>
      </x:c>
      <x:c r="R1035" s="32"/>
      <x:c r="S1035" s="32" t="str">
        <x:v>ok</x:v>
      </x:c>
      <x:c r="T1035" s="32" t="str">
        <x:v>ok</x:v>
      </x:c>
      <x:c r="U1035" s="32" t="str">
        <x:v>ok</x:v>
      </x:c>
      <x:c r="V1035" s="32" t="str">
        <x:v>ok</x:v>
      </x:c>
      <x:c r="W1035" s="154" t="str">
        <x:v>{"schema_version":1,"imei":"862323089930724","timestamp":1786027553,"report_sequence":43,"task_version":"rice_tension_soil_demo","sensor_mode":"tension_soil","soil_moisture_percent":35.9,"soil_temperature_c":25.6,"soil_ec_us_cm":1101,"soil_ph":6.53,"battery_mv":3920,"csq":17,"soil_rs485_status":"ok","cycle_status":"ok","soil_tension_kpa":-39.9,"soil_tension_rs485_status":"ok"}</x:v>
      </x:c>
    </x:row>
    <x:row r="1036">
      <x:c r="A1036" s="72" t="n">
        <x:v>46240.952002314814</x:v>
      </x:c>
      <x:c r="B1036" s="72" t="n">
        <x:v>46240.9520162037</x:v>
      </x:c>
      <x:c r="C1036" s="32" t="str">
        <x:v>P01</x:v>
      </x:c>
      <x:c r="D1036" s="32" t="str">
        <x:v>B1-W0-V1</x:v>
      </x:c>
      <x:c r="E1036" s="32" t="str">
        <x:v>B1</x:v>
      </x:c>
      <x:c r="F1036" s="32" t="str">
        <x:v>W0</x:v>
      </x:c>
      <x:c r="G1036" s="32" t="str">
        <x:v>V1</x:v>
      </x:c>
      <x:c r="H1036" s="32" t="str">
        <x:v>water_soil</x:v>
      </x:c>
      <x:c r="I1036" s="32" t="str">
        <x:v>862323089930701</x:v>
      </x:c>
      <x:c r="J1036" s="82" t="n">
        <x:v>36</x:v>
      </x:c>
      <x:c r="K1036" s="82"/>
      <x:c r="L1036" s="82" t="n">
        <x:v>37</x:v>
      </x:c>
      <x:c r="M1036" s="82" t="n">
        <x:v>25.6</x:v>
      </x:c>
      <x:c r="N1036" s="86" t="n">
        <x:v>827</x:v>
      </x:c>
      <x:c r="O1036" s="90" t="n">
        <x:v>6.38</x:v>
      </x:c>
      <x:c r="P1036" s="150" t="n">
        <x:v>3.938</x:v>
      </x:c>
      <x:c r="Q1036" s="86" t="n">
        <x:v>18</x:v>
      </x:c>
      <x:c r="R1036" s="32" t="str">
        <x:v>ok</x:v>
      </x:c>
      <x:c r="S1036" s="32"/>
      <x:c r="T1036" s="32" t="str">
        <x:v>ok</x:v>
      </x:c>
      <x:c r="U1036" s="32" t="str">
        <x:v>ok</x:v>
      </x:c>
      <x:c r="V1036" s="32" t="str">
        <x:v>ok</x:v>
      </x:c>
      <x:c r="W1036" s="154" t="str">
        <x:v>{"schema_version":1,"imei":"862323089930701","timestamp":1786027853,"report_sequence":44,"task_version":"rice_w0_water_soil_demo","sensor_mode":"water_soil","soil_moisture_percent":37,"soil_temperature_c":25.6,"soil_ec_us_cm":827,"soil_ph":6.38,"battery_mv":3938,"csq":18,"soil_rs485_status":"ok","cycle_status":"ok","water_level_mm":36,"water_4_20ma_status":"ok"}</x:v>
      </x:c>
    </x:row>
    <x:row r="1037">
      <x:c r="A1037" s="72" t="n">
        <x:v>46240.952002314814</x:v>
      </x:c>
      <x:c r="B1037" s="72" t="n">
        <x:v>46240.9520162037</x:v>
      </x:c>
      <x:c r="C1037" s="32" t="str">
        <x:v>P02</x:v>
      </x:c>
      <x:c r="D1037" s="32" t="str">
        <x:v>B1-W0-V2</x:v>
      </x:c>
      <x:c r="E1037" s="32" t="str">
        <x:v>B1</x:v>
      </x:c>
      <x:c r="F1037" s="32" t="str">
        <x:v>W0</x:v>
      </x:c>
      <x:c r="G1037" s="32" t="str">
        <x:v>V2</x:v>
      </x:c>
      <x:c r="H1037" s="32" t="str">
        <x:v>water_soil</x:v>
      </x:c>
      <x:c r="I1037" s="32" t="str">
        <x:v>862323089930702</x:v>
      </x:c>
      <x:c r="J1037" s="82" t="n">
        <x:v>38.9</x:v>
      </x:c>
      <x:c r="K1037" s="82"/>
      <x:c r="L1037" s="82" t="n">
        <x:v>38</x:v>
      </x:c>
      <x:c r="M1037" s="82" t="n">
        <x:v>25.6</x:v>
      </x:c>
      <x:c r="N1037" s="86" t="n">
        <x:v>838</x:v>
      </x:c>
      <x:c r="O1037" s="90" t="n">
        <x:v>6.43</x:v>
      </x:c>
      <x:c r="P1037" s="150" t="n">
        <x:v>3.956</x:v>
      </x:c>
      <x:c r="Q1037" s="86" t="n">
        <x:v>19</x:v>
      </x:c>
      <x:c r="R1037" s="32" t="str">
        <x:v>ok</x:v>
      </x:c>
      <x:c r="S1037" s="32"/>
      <x:c r="T1037" s="32" t="str">
        <x:v>ok</x:v>
      </x:c>
      <x:c r="U1037" s="32" t="str">
        <x:v>ok</x:v>
      </x:c>
      <x:c r="V1037" s="32" t="str">
        <x:v>ok</x:v>
      </x:c>
      <x:c r="W1037" s="154" t="str">
        <x:v>{"schema_version":1,"imei":"862323089930702","timestamp":1786027853,"report_sequence":44,"task_version":"rice_w0_water_soil_demo","sensor_mode":"water_soil","soil_moisture_percent":38,"soil_temperature_c":25.6,"soil_ec_us_cm":838,"soil_ph":6.43,"battery_mv":3956,"csq":19,"soil_rs485_status":"ok","cycle_status":"ok","water_level_mm":38.9,"water_4_20ma_status":"ok"}</x:v>
      </x:c>
    </x:row>
    <x:row r="1038">
      <x:c r="A1038" s="72" t="n">
        <x:v>46240.952002314814</x:v>
      </x:c>
      <x:c r="B1038" s="72" t="n">
        <x:v>46240.9520162037</x:v>
      </x:c>
      <x:c r="C1038" s="32" t="str">
        <x:v>P03</x:v>
      </x:c>
      <x:c r="D1038" s="32" t="str">
        <x:v>B1-W1-V1</x:v>
      </x:c>
      <x:c r="E1038" s="32" t="str">
        <x:v>B1</x:v>
      </x:c>
      <x:c r="F1038" s="32" t="str">
        <x:v>W1</x:v>
      </x:c>
      <x:c r="G1038" s="32" t="str">
        <x:v>V1</x:v>
      </x:c>
      <x:c r="H1038" s="32" t="str">
        <x:v>tension_soil</x:v>
      </x:c>
      <x:c r="I1038" s="32" t="str">
        <x:v>862323089930703</x:v>
      </x:c>
      <x:c r="J1038" s="82"/>
      <x:c r="K1038" s="82" t="n">
        <x:v>-27.8</x:v>
      </x:c>
      <x:c r="L1038" s="82" t="n">
        <x:v>38.8</x:v>
      </x:c>
      <x:c r="M1038" s="82" t="n">
        <x:v>25.6</x:v>
      </x:c>
      <x:c r="N1038" s="86" t="n">
        <x:v>848</x:v>
      </x:c>
      <x:c r="O1038" s="90" t="n">
        <x:v>6.48</x:v>
      </x:c>
      <x:c r="P1038" s="150" t="n">
        <x:v>3.974</x:v>
      </x:c>
      <x:c r="Q1038" s="86" t="n">
        <x:v>20</x:v>
      </x:c>
      <x:c r="R1038" s="32"/>
      <x:c r="S1038" s="32" t="str">
        <x:v>ok</x:v>
      </x:c>
      <x:c r="T1038" s="32" t="str">
        <x:v>ok</x:v>
      </x:c>
      <x:c r="U1038" s="32" t="str">
        <x:v>ok</x:v>
      </x:c>
      <x:c r="V1038" s="32" t="str">
        <x:v>ok</x:v>
      </x:c>
      <x:c r="W1038" s="154" t="str">
        <x:v>{"schema_version":1,"imei":"862323089930703","timestamp":1786027853,"report_sequence":44,"task_version":"rice_tension_soil_demo","sensor_mode":"tension_soil","soil_moisture_percent":38.8,"soil_temperature_c":25.6,"soil_ec_us_cm":848,"soil_ph":6.48,"battery_mv":3974,"csq":20,"soil_rs485_status":"ok","cycle_status":"ok","soil_tension_kpa":-27.8,"soil_tension_rs485_status":"ok"}</x:v>
      </x:c>
    </x:row>
    <x:row r="1039">
      <x:c r="A1039" s="72" t="n">
        <x:v>46240.952002314814</x:v>
      </x:c>
      <x:c r="B1039" s="72" t="n">
        <x:v>46240.9520162037</x:v>
      </x:c>
      <x:c r="C1039" s="32" t="str">
        <x:v>P04</x:v>
      </x:c>
      <x:c r="D1039" s="32" t="str">
        <x:v>B1-W1-V2</x:v>
      </x:c>
      <x:c r="E1039" s="32" t="str">
        <x:v>B1</x:v>
      </x:c>
      <x:c r="F1039" s="32" t="str">
        <x:v>W1</x:v>
      </x:c>
      <x:c r="G1039" s="32" t="str">
        <x:v>V2</x:v>
      </x:c>
      <x:c r="H1039" s="32" t="str">
        <x:v>tension_soil</x:v>
      </x:c>
      <x:c r="I1039" s="32" t="str">
        <x:v>862323089930704</x:v>
      </x:c>
      <x:c r="J1039" s="82"/>
      <x:c r="K1039" s="82" t="n">
        <x:v>-28.6</x:v>
      </x:c>
      <x:c r="L1039" s="82" t="n">
        <x:v>39.6</x:v>
      </x:c>
      <x:c r="M1039" s="82" t="n">
        <x:v>25.5</x:v>
      </x:c>
      <x:c r="N1039" s="86" t="n">
        <x:v>855</x:v>
      </x:c>
      <x:c r="O1039" s="90" t="n">
        <x:v>6.52</x:v>
      </x:c>
      <x:c r="P1039" s="150" t="n">
        <x:v>3.992</x:v>
      </x:c>
      <x:c r="Q1039" s="86" t="n">
        <x:v>21</x:v>
      </x:c>
      <x:c r="R1039" s="32"/>
      <x:c r="S1039" s="32" t="str">
        <x:v>ok</x:v>
      </x:c>
      <x:c r="T1039" s="32" t="str">
        <x:v>ok</x:v>
      </x:c>
      <x:c r="U1039" s="32" t="str">
        <x:v>ok</x:v>
      </x:c>
      <x:c r="V1039" s="32" t="str">
        <x:v>ok</x:v>
      </x:c>
      <x:c r="W1039" s="154" t="str">
        <x:v>{"schema_version":1,"imei":"862323089930704","timestamp":1786027853,"report_sequence":44,"task_version":"rice_tension_soil_demo","sensor_mode":"tension_soil","soil_moisture_percent":39.6,"soil_temperature_c":25.5,"soil_ec_us_cm":855,"soil_ph":6.52,"battery_mv":3992,"csq":21,"soil_rs485_status":"ok","cycle_status":"ok","soil_tension_kpa":-28.6,"soil_tension_rs485_status":"ok"}</x:v>
      </x:c>
    </x:row>
    <x:row r="1040">
      <x:c r="A1040" s="72" t="n">
        <x:v>46240.952002314814</x:v>
      </x:c>
      <x:c r="B1040" s="72" t="n">
        <x:v>46240.9520162037</x:v>
      </x:c>
      <x:c r="C1040" s="32" t="str">
        <x:v>P05</x:v>
      </x:c>
      <x:c r="D1040" s="32" t="str">
        <x:v>B1-W2-V1</x:v>
      </x:c>
      <x:c r="E1040" s="32" t="str">
        <x:v>B1</x:v>
      </x:c>
      <x:c r="F1040" s="32" t="str">
        <x:v>W2</x:v>
      </x:c>
      <x:c r="G1040" s="32" t="str">
        <x:v>V1</x:v>
      </x:c>
      <x:c r="H1040" s="32" t="str">
        <x:v>tension_soil</x:v>
      </x:c>
      <x:c r="I1040" s="32" t="str">
        <x:v>862323089930705</x:v>
      </x:c>
      <x:c r="J1040" s="82"/>
      <x:c r="K1040" s="82" t="n">
        <x:v>-35.2</x:v>
      </x:c>
      <x:c r="L1040" s="82" t="n">
        <x:v>40.2</x:v>
      </x:c>
      <x:c r="M1040" s="82" t="n">
        <x:v>25.4</x:v>
      </x:c>
      <x:c r="N1040" s="86" t="n">
        <x:v>861</x:v>
      </x:c>
      <x:c r="O1040" s="90" t="n">
        <x:v>6.32</x:v>
      </x:c>
      <x:c r="P1040" s="150" t="n">
        <x:v>4.01</x:v>
      </x:c>
      <x:c r="Q1040" s="86" t="n">
        <x:v>22</x:v>
      </x:c>
      <x:c r="R1040" s="32"/>
      <x:c r="S1040" s="32" t="str">
        <x:v>ok</x:v>
      </x:c>
      <x:c r="T1040" s="32" t="str">
        <x:v>ok</x:v>
      </x:c>
      <x:c r="U1040" s="32" t="str">
        <x:v>ok</x:v>
      </x:c>
      <x:c r="V1040" s="32" t="str">
        <x:v>ok</x:v>
      </x:c>
      <x:c r="W1040" s="154" t="str">
        <x:v>{"schema_version":1,"imei":"862323089930705","timestamp":1786027853,"report_sequence":44,"task_version":"rice_tension_soil_demo","sensor_mode":"tension_soil","soil_moisture_percent":40.2,"soil_temperature_c":25.4,"soil_ec_us_cm":861,"soil_ph":6.32,"battery_mv":4010,"csq":22,"soil_rs485_status":"ok","cycle_status":"ok","soil_tension_kpa":-35.2,"soil_tension_rs485_status":"ok"}</x:v>
      </x:c>
    </x:row>
    <x:row r="1041">
      <x:c r="A1041" s="72" t="n">
        <x:v>46240.952002314814</x:v>
      </x:c>
      <x:c r="B1041" s="72" t="n">
        <x:v>46240.9520162037</x:v>
      </x:c>
      <x:c r="C1041" s="32" t="str">
        <x:v>P06</x:v>
      </x:c>
      <x:c r="D1041" s="32" t="str">
        <x:v>B1-W2-V2</x:v>
      </x:c>
      <x:c r="E1041" s="32" t="str">
        <x:v>B1</x:v>
      </x:c>
      <x:c r="F1041" s="32" t="str">
        <x:v>W2</x:v>
      </x:c>
      <x:c r="G1041" s="32" t="str">
        <x:v>V2</x:v>
      </x:c>
      <x:c r="H1041" s="32" t="str">
        <x:v>tension_soil</x:v>
      </x:c>
      <x:c r="I1041" s="32" t="str">
        <x:v>862323089930706</x:v>
      </x:c>
      <x:c r="J1041" s="82"/>
      <x:c r="K1041" s="82" t="n">
        <x:v>-35.8</x:v>
      </x:c>
      <x:c r="L1041" s="82" t="n">
        <x:v>40.8</x:v>
      </x:c>
      <x:c r="M1041" s="82" t="n">
        <x:v>25.3</x:v>
      </x:c>
      <x:c r="N1041" s="86" t="n">
        <x:v>865</x:v>
      </x:c>
      <x:c r="O1041" s="90" t="n">
        <x:v>6.36</x:v>
      </x:c>
      <x:c r="P1041" s="150" t="n">
        <x:v>3.92</x:v>
      </x:c>
      <x:c r="Q1041" s="86" t="n">
        <x:v>23</x:v>
      </x:c>
      <x:c r="R1041" s="32"/>
      <x:c r="S1041" s="32" t="str">
        <x:v>ok</x:v>
      </x:c>
      <x:c r="T1041" s="32" t="str">
        <x:v>ok</x:v>
      </x:c>
      <x:c r="U1041" s="32" t="str">
        <x:v>ok</x:v>
      </x:c>
      <x:c r="V1041" s="32" t="str">
        <x:v>ok</x:v>
      </x:c>
      <x:c r="W1041" s="154" t="str">
        <x:v>{"schema_version":1,"imei":"862323089930706","timestamp":1786027853,"report_sequence":44,"task_version":"rice_tension_soil_demo","sensor_mode":"tension_soil","soil_moisture_percent":40.8,"soil_temperature_c":25.3,"soil_ec_us_cm":865,"soil_ph":6.36,"battery_mv":3920,"csq":23,"soil_rs485_status":"ok","cycle_status":"ok","soil_tension_kpa":-35.8,"soil_tension_rs485_status":"ok"}</x:v>
      </x:c>
    </x:row>
    <x:row r="1042">
      <x:c r="A1042" s="72" t="n">
        <x:v>46240.952002314814</x:v>
      </x:c>
      <x:c r="B1042" s="72" t="n">
        <x:v>46240.9520162037</x:v>
      </x:c>
      <x:c r="C1042" s="32" t="str">
        <x:v>P07</x:v>
      </x:c>
      <x:c r="D1042" s="32" t="str">
        <x:v>B2-W0-V1</x:v>
      </x:c>
      <x:c r="E1042" s="32" t="str">
        <x:v>B2</x:v>
      </x:c>
      <x:c r="F1042" s="32" t="str">
        <x:v>W0</x:v>
      </x:c>
      <x:c r="G1042" s="32" t="str">
        <x:v>V1</x:v>
      </x:c>
      <x:c r="H1042" s="32" t="str">
        <x:v>water_soil</x:v>
      </x:c>
      <x:c r="I1042" s="32" t="str">
        <x:v>862323089930707</x:v>
      </x:c>
      <x:c r="J1042" s="82" t="n">
        <x:v>37.7</x:v>
      </x:c>
      <x:c r="K1042" s="82"/>
      <x:c r="L1042" s="82" t="n">
        <x:v>41.3</x:v>
      </x:c>
      <x:c r="M1042" s="82" t="n">
        <x:v>25.2</x:v>
      </x:c>
      <x:c r="N1042" s="86" t="n">
        <x:v>869</x:v>
      </x:c>
      <x:c r="O1042" s="90" t="n">
        <x:v>6.4</x:v>
      </x:c>
      <x:c r="P1042" s="150" t="n">
        <x:v>3.938</x:v>
      </x:c>
      <x:c r="Q1042" s="86" t="n">
        <x:v>24</x:v>
      </x:c>
      <x:c r="R1042" s="32" t="str">
        <x:v>ok</x:v>
      </x:c>
      <x:c r="S1042" s="32"/>
      <x:c r="T1042" s="32" t="str">
        <x:v>ok</x:v>
      </x:c>
      <x:c r="U1042" s="32" t="str">
        <x:v>ok</x:v>
      </x:c>
      <x:c r="V1042" s="32" t="str">
        <x:v>ok</x:v>
      </x:c>
      <x:c r="W1042" s="154" t="str">
        <x:v>{"schema_version":1,"imei":"862323089930707","timestamp":1786027853,"report_sequence":44,"task_version":"rice_w0_water_soil_demo","sensor_mode":"water_soil","soil_moisture_percent":41.3,"soil_temperature_c":25.2,"soil_ec_us_cm":869,"soil_ph":6.4,"battery_mv":3938,"csq":24,"soil_rs485_status":"ok","cycle_status":"ok","water_level_mm":37.7,"water_4_20ma_status":"ok"}</x:v>
      </x:c>
    </x:row>
    <x:row r="1043">
      <x:c r="A1043" s="72" t="n">
        <x:v>46240.952002314814</x:v>
      </x:c>
      <x:c r="B1043" s="72" t="n">
        <x:v>46240.9520162037</x:v>
      </x:c>
      <x:c r="C1043" s="32" t="str">
        <x:v>P08</x:v>
      </x:c>
      <x:c r="D1043" s="32" t="str">
        <x:v>B2-W0-V2</x:v>
      </x:c>
      <x:c r="E1043" s="32" t="str">
        <x:v>B2</x:v>
      </x:c>
      <x:c r="F1043" s="32" t="str">
        <x:v>W0</x:v>
      </x:c>
      <x:c r="G1043" s="32" t="str">
        <x:v>V2</x:v>
      </x:c>
      <x:c r="H1043" s="32" t="str">
        <x:v>water_soil</x:v>
      </x:c>
      <x:c r="I1043" s="32" t="str">
        <x:v>862323089930708</x:v>
      </x:c>
      <x:c r="J1043" s="82" t="n">
        <x:v>27.5</x:v>
      </x:c>
      <x:c r="K1043" s="82"/>
      <x:c r="L1043" s="82" t="n">
        <x:v>33.8</x:v>
      </x:c>
      <x:c r="M1043" s="82" t="n">
        <x:v>25</x:v>
      </x:c>
      <x:c r="N1043" s="86" t="n">
        <x:v>872</x:v>
      </x:c>
      <x:c r="O1043" s="90" t="n">
        <x:v>6.45</x:v>
      </x:c>
      <x:c r="P1043" s="150" t="n">
        <x:v>3.956</x:v>
      </x:c>
      <x:c r="Q1043" s="86" t="n">
        <x:v>17</x:v>
      </x:c>
      <x:c r="R1043" s="32" t="str">
        <x:v>ok</x:v>
      </x:c>
      <x:c r="S1043" s="32"/>
      <x:c r="T1043" s="32" t="str">
        <x:v>ok</x:v>
      </x:c>
      <x:c r="U1043" s="32" t="str">
        <x:v>ok</x:v>
      </x:c>
      <x:c r="V1043" s="32" t="str">
        <x:v>ok</x:v>
      </x:c>
      <x:c r="W1043" s="154" t="str">
        <x:v>{"schema_version":1,"imei":"862323089930708","timestamp":1786027853,"report_sequence":44,"task_version":"rice_w0_water_soil_demo","sensor_mode":"water_soil","soil_moisture_percent":33.8,"soil_temperature_c":25,"soil_ec_us_cm":872,"soil_ph":6.45,"battery_mv":3956,"csq":17,"soil_rs485_status":"ok","cycle_status":"ok","water_level_mm":27.5,"water_4_20ma_status":"ok"}</x:v>
      </x:c>
    </x:row>
    <x:row r="1044">
      <x:c r="A1044" s="72" t="n">
        <x:v>46240.952002314814</x:v>
      </x:c>
      <x:c r="B1044" s="72" t="n">
        <x:v>46240.9520162037</x:v>
      </x:c>
      <x:c r="C1044" s="32" t="str">
        <x:v>P09</x:v>
      </x:c>
      <x:c r="D1044" s="32" t="str">
        <x:v>B2-W1-V1</x:v>
      </x:c>
      <x:c r="E1044" s="32" t="str">
        <x:v>B2</x:v>
      </x:c>
      <x:c r="F1044" s="32" t="str">
        <x:v>W1</x:v>
      </x:c>
      <x:c r="G1044" s="32" t="str">
        <x:v>V1</x:v>
      </x:c>
      <x:c r="H1044" s="32" t="str">
        <x:v>tension_soil</x:v>
      </x:c>
      <x:c r="I1044" s="32" t="str">
        <x:v>862323089930709</x:v>
      </x:c>
      <x:c r="J1044" s="82"/>
      <x:c r="K1044" s="82" t="n">
        <x:v>-26.3</x:v>
      </x:c>
      <x:c r="L1044" s="82" t="n">
        <x:v>34.3</x:v>
      </x:c>
      <x:c r="M1044" s="82" t="n">
        <x:v>24.9</x:v>
      </x:c>
      <x:c r="N1044" s="86" t="n">
        <x:v>876</x:v>
      </x:c>
      <x:c r="O1044" s="90" t="n">
        <x:v>6.49</x:v>
      </x:c>
      <x:c r="P1044" s="150" t="n">
        <x:v>3.974</x:v>
      </x:c>
      <x:c r="Q1044" s="86" t="n">
        <x:v>18</x:v>
      </x:c>
      <x:c r="R1044" s="32"/>
      <x:c r="S1044" s="32" t="str">
        <x:v>ok</x:v>
      </x:c>
      <x:c r="T1044" s="32" t="str">
        <x:v>ok</x:v>
      </x:c>
      <x:c r="U1044" s="32" t="str">
        <x:v>ok</x:v>
      </x:c>
      <x:c r="V1044" s="32" t="str">
        <x:v>ok</x:v>
      </x:c>
      <x:c r="W1044" s="154" t="str">
        <x:v>{"schema_version":1,"imei":"862323089930709","timestamp":1786027853,"report_sequence":44,"task_version":"rice_tension_soil_demo","sensor_mode":"tension_soil","soil_moisture_percent":34.3,"soil_temperature_c":24.9,"soil_ec_us_cm":876,"soil_ph":6.49,"battery_mv":3974,"csq":18,"soil_rs485_status":"ok","cycle_status":"ok","soil_tension_kpa":-26.3,"soil_tension_rs485_status":"ok"}</x:v>
      </x:c>
    </x:row>
    <x:row r="1045">
      <x:c r="A1045" s="72" t="n">
        <x:v>46240.952002314814</x:v>
      </x:c>
      <x:c r="B1045" s="72" t="n">
        <x:v>46240.9520162037</x:v>
      </x:c>
      <x:c r="C1045" s="32" t="str">
        <x:v>P10</x:v>
      </x:c>
      <x:c r="D1045" s="32" t="str">
        <x:v>B2-W1-V2</x:v>
      </x:c>
      <x:c r="E1045" s="32" t="str">
        <x:v>B2</x:v>
      </x:c>
      <x:c r="F1045" s="32" t="str">
        <x:v>W1</x:v>
      </x:c>
      <x:c r="G1045" s="32" t="str">
        <x:v>V2</x:v>
      </x:c>
      <x:c r="H1045" s="32" t="str">
        <x:v>tension_soil</x:v>
      </x:c>
      <x:c r="I1045" s="32" t="str">
        <x:v>862323089930710</x:v>
      </x:c>
      <x:c r="J1045" s="82"/>
      <x:c r="K1045" s="82" t="n">
        <x:v>-21.9</x:v>
      </x:c>
      <x:c r="L1045" s="82" t="n">
        <x:v>34.9</x:v>
      </x:c>
      <x:c r="M1045" s="82" t="n">
        <x:v>24.8</x:v>
      </x:c>
      <x:c r="N1045" s="86" t="n">
        <x:v>880</x:v>
      </x:c>
      <x:c r="O1045" s="90" t="n">
        <x:v>6.28</x:v>
      </x:c>
      <x:c r="P1045" s="150" t="n">
        <x:v>3.992</x:v>
      </x:c>
      <x:c r="Q1045" s="86" t="n">
        <x:v>19</x:v>
      </x:c>
      <x:c r="R1045" s="32"/>
      <x:c r="S1045" s="32" t="str">
        <x:v>ok</x:v>
      </x:c>
      <x:c r="T1045" s="32" t="str">
        <x:v>ok</x:v>
      </x:c>
      <x:c r="U1045" s="32" t="str">
        <x:v>ok</x:v>
      </x:c>
      <x:c r="V1045" s="32" t="str">
        <x:v>ok</x:v>
      </x:c>
      <x:c r="W1045" s="154" t="str">
        <x:v>{"schema_version":1,"imei":"862323089930710","timestamp":1786027853,"report_sequence":44,"task_version":"rice_tension_soil_demo","sensor_mode":"tension_soil","soil_moisture_percent":34.9,"soil_temperature_c":24.8,"soil_ec_us_cm":880,"soil_ph":6.28,"battery_mv":3992,"csq":19,"soil_rs485_status":"ok","cycle_status":"ok","soil_tension_kpa":-21.9,"soil_tension_rs485_status":"ok"}</x:v>
      </x:c>
    </x:row>
    <x:row r="1046">
      <x:c r="A1046" s="72" t="n">
        <x:v>46240.952002314814</x:v>
      </x:c>
      <x:c r="B1046" s="72" t="n">
        <x:v>46240.9520162037</x:v>
      </x:c>
      <x:c r="C1046" s="32" t="str">
        <x:v>P11</x:v>
      </x:c>
      <x:c r="D1046" s="32" t="str">
        <x:v>B2-W2-V1</x:v>
      </x:c>
      <x:c r="E1046" s="32" t="str">
        <x:v>B2</x:v>
      </x:c>
      <x:c r="F1046" s="32" t="str">
        <x:v>W2</x:v>
      </x:c>
      <x:c r="G1046" s="32" t="str">
        <x:v>V1</x:v>
      </x:c>
      <x:c r="H1046" s="32" t="str">
        <x:v>tension_soil</x:v>
      </x:c>
      <x:c r="I1046" s="32" t="str">
        <x:v>862323089930711</x:v>
      </x:c>
      <x:c r="J1046" s="82"/>
      <x:c r="K1046" s="82" t="n">
        <x:v>-33.5</x:v>
      </x:c>
      <x:c r="L1046" s="82" t="n">
        <x:v>35.5</x:v>
      </x:c>
      <x:c r="M1046" s="82" t="n">
        <x:v>24.7</x:v>
      </x:c>
      <x:c r="N1046" s="86" t="n">
        <x:v>886</x:v>
      </x:c>
      <x:c r="O1046" s="90" t="n">
        <x:v>6.33</x:v>
      </x:c>
      <x:c r="P1046" s="150" t="n">
        <x:v>4.01</x:v>
      </x:c>
      <x:c r="Q1046" s="86" t="n">
        <x:v>20</x:v>
      </x:c>
      <x:c r="R1046" s="32"/>
      <x:c r="S1046" s="32" t="str">
        <x:v>ok</x:v>
      </x:c>
      <x:c r="T1046" s="32" t="str">
        <x:v>ok</x:v>
      </x:c>
      <x:c r="U1046" s="32" t="str">
        <x:v>ok</x:v>
      </x:c>
      <x:c r="V1046" s="32" t="str">
        <x:v>ok</x:v>
      </x:c>
      <x:c r="W1046" s="154" t="str">
        <x:v>{"schema_version":1,"imei":"862323089930711","timestamp":1786027853,"report_sequence":44,"task_version":"rice_tension_soil_demo","sensor_mode":"tension_soil","soil_moisture_percent":35.5,"soil_temperature_c":24.7,"soil_ec_us_cm":886,"soil_ph":6.33,"battery_mv":4010,"csq":20,"soil_rs485_status":"ok","cycle_status":"ok","soil_tension_kpa":-33.5,"soil_tension_rs485_status":"ok"}</x:v>
      </x:c>
    </x:row>
    <x:row r="1047">
      <x:c r="A1047" s="72" t="n">
        <x:v>46240.952002314814</x:v>
      </x:c>
      <x:c r="B1047" s="72" t="n">
        <x:v>46240.9520162037</x:v>
      </x:c>
      <x:c r="C1047" s="32" t="str">
        <x:v>P12</x:v>
      </x:c>
      <x:c r="D1047" s="32" t="str">
        <x:v>B2-W2-V2</x:v>
      </x:c>
      <x:c r="E1047" s="32" t="str">
        <x:v>B2</x:v>
      </x:c>
      <x:c r="F1047" s="32" t="str">
        <x:v>W2</x:v>
      </x:c>
      <x:c r="G1047" s="32" t="str">
        <x:v>V2</x:v>
      </x:c>
      <x:c r="H1047" s="32" t="str">
        <x:v>tension_soil</x:v>
      </x:c>
      <x:c r="I1047" s="32" t="str">
        <x:v>862323089930712</x:v>
      </x:c>
      <x:c r="J1047" s="82"/>
      <x:c r="K1047" s="82" t="n">
        <x:v>-34.2</x:v>
      </x:c>
      <x:c r="L1047" s="82" t="n">
        <x:v>36.2</x:v>
      </x:c>
      <x:c r="M1047" s="82" t="n">
        <x:v>24.7</x:v>
      </x:c>
      <x:c r="N1047" s="86" t="n">
        <x:v>893</x:v>
      </x:c>
      <x:c r="O1047" s="90" t="n">
        <x:v>6.37</x:v>
      </x:c>
      <x:c r="P1047" s="150" t="n">
        <x:v>3.92</x:v>
      </x:c>
      <x:c r="Q1047" s="86" t="n">
        <x:v>21</x:v>
      </x:c>
      <x:c r="R1047" s="32"/>
      <x:c r="S1047" s="32" t="str">
        <x:v>ok</x:v>
      </x:c>
      <x:c r="T1047" s="32" t="str">
        <x:v>ok</x:v>
      </x:c>
      <x:c r="U1047" s="32" t="str">
        <x:v>ok</x:v>
      </x:c>
      <x:c r="V1047" s="32" t="str">
        <x:v>ok</x:v>
      </x:c>
      <x:c r="W1047" s="154" t="str">
        <x:v>{"schema_version":1,"imei":"862323089930712","timestamp":1786027853,"report_sequence":44,"task_version":"rice_tension_soil_demo","sensor_mode":"tension_soil","soil_moisture_percent":36.2,"soil_temperature_c":24.7,"soil_ec_us_cm":893,"soil_ph":6.37,"battery_mv":3920,"csq":21,"soil_rs485_status":"ok","cycle_status":"ok","soil_tension_kpa":-34.2,"soil_tension_rs485_status":"ok"}</x:v>
      </x:c>
    </x:row>
    <x:row r="1048">
      <x:c r="A1048" s="72" t="n">
        <x:v>46240.952002314814</x:v>
      </x:c>
      <x:c r="B1048" s="72" t="n">
        <x:v>46240.9520162037</x:v>
      </x:c>
      <x:c r="C1048" s="32" t="str">
        <x:v>P13</x:v>
      </x:c>
      <x:c r="D1048" s="32" t="str">
        <x:v>B3-W0-V1</x:v>
      </x:c>
      <x:c r="E1048" s="32" t="str">
        <x:v>B3</x:v>
      </x:c>
      <x:c r="F1048" s="32" t="str">
        <x:v>W0</x:v>
      </x:c>
      <x:c r="G1048" s="32" t="str">
        <x:v>V1</x:v>
      </x:c>
      <x:c r="H1048" s="32" t="str">
        <x:v>water_soil</x:v>
      </x:c>
      <x:c r="I1048" s="32" t="str">
        <x:v>862323089930713</x:v>
      </x:c>
      <x:c r="J1048" s="82" t="n">
        <x:v>26.1</x:v>
      </x:c>
      <x:c r="K1048" s="82"/>
      <x:c r="L1048" s="82" t="n">
        <x:v>37</x:v>
      </x:c>
      <x:c r="M1048" s="82" t="n">
        <x:v>24.6</x:v>
      </x:c>
      <x:c r="N1048" s="86" t="n">
        <x:v>902</x:v>
      </x:c>
      <x:c r="O1048" s="90" t="n">
        <x:v>6.42</x:v>
      </x:c>
      <x:c r="P1048" s="150" t="n">
        <x:v>3.938</x:v>
      </x:c>
      <x:c r="Q1048" s="86" t="n">
        <x:v>22</x:v>
      </x:c>
      <x:c r="R1048" s="32" t="str">
        <x:v>ok</x:v>
      </x:c>
      <x:c r="S1048" s="32"/>
      <x:c r="T1048" s="32" t="str">
        <x:v>ok</x:v>
      </x:c>
      <x:c r="U1048" s="32" t="str">
        <x:v>ok</x:v>
      </x:c>
      <x:c r="V1048" s="32" t="str">
        <x:v>ok</x:v>
      </x:c>
      <x:c r="W1048" s="154" t="str">
        <x:v>{"schema_version":1,"imei":"862323089930713","timestamp":1786027853,"report_sequence":44,"task_version":"rice_w0_water_soil_demo","sensor_mode":"water_soil","soil_moisture_percent":37,"soil_temperature_c":24.6,"soil_ec_us_cm":902,"soil_ph":6.42,"battery_mv":3938,"csq":22,"soil_rs485_status":"ok","cycle_status":"ok","water_level_mm":26.1,"water_4_20ma_status":"ok"}</x:v>
      </x:c>
    </x:row>
    <x:row r="1049">
      <x:c r="A1049" s="72" t="n">
        <x:v>46240.952002314814</x:v>
      </x:c>
      <x:c r="B1049" s="72" t="n">
        <x:v>46240.9520162037</x:v>
      </x:c>
      <x:c r="C1049" s="32" t="str">
        <x:v>P14</x:v>
      </x:c>
      <x:c r="D1049" s="32" t="str">
        <x:v>B3-W0-V2</x:v>
      </x:c>
      <x:c r="E1049" s="32" t="str">
        <x:v>B3</x:v>
      </x:c>
      <x:c r="F1049" s="32" t="str">
        <x:v>W0</x:v>
      </x:c>
      <x:c r="G1049" s="32" t="str">
        <x:v>V2</x:v>
      </x:c>
      <x:c r="H1049" s="32" t="str">
        <x:v>water_soil</x:v>
      </x:c>
      <x:c r="I1049" s="32" t="str">
        <x:v>862323089930714</x:v>
      </x:c>
      <x:c r="J1049" s="82" t="n">
        <x:v>29</x:v>
      </x:c>
      <x:c r="K1049" s="82"/>
      <x:c r="L1049" s="82" t="n">
        <x:v>38</x:v>
      </x:c>
      <x:c r="M1049" s="82" t="n">
        <x:v>24.6</x:v>
      </x:c>
      <x:c r="N1049" s="86" t="n">
        <x:v>913</x:v>
      </x:c>
      <x:c r="O1049" s="90" t="n">
        <x:v>6.47</x:v>
      </x:c>
      <x:c r="P1049" s="150" t="n">
        <x:v>3.956</x:v>
      </x:c>
      <x:c r="Q1049" s="86" t="n">
        <x:v>23</x:v>
      </x:c>
      <x:c r="R1049" s="32" t="str">
        <x:v>ok</x:v>
      </x:c>
      <x:c r="S1049" s="32"/>
      <x:c r="T1049" s="32" t="str">
        <x:v>ok</x:v>
      </x:c>
      <x:c r="U1049" s="32" t="str">
        <x:v>ok</x:v>
      </x:c>
      <x:c r="V1049" s="32" t="str">
        <x:v>ok</x:v>
      </x:c>
      <x:c r="W1049" s="154" t="str">
        <x:v>{"schema_version":1,"imei":"862323089930714","timestamp":1786027853,"report_sequence":44,"task_version":"rice_w0_water_soil_demo","sensor_mode":"water_soil","soil_moisture_percent":38,"soil_temperature_c":24.6,"soil_ec_us_cm":913,"soil_ph":6.47,"battery_mv":3956,"csq":23,"soil_rs485_status":"ok","cycle_status":"ok","water_level_mm":29,"water_4_20ma_status":"ok"}</x:v>
      </x:c>
    </x:row>
    <x:row r="1050">
      <x:c r="A1050" s="72" t="n">
        <x:v>46240.952002314814</x:v>
      </x:c>
      <x:c r="B1050" s="72" t="n">
        <x:v>46240.9520162037</x:v>
      </x:c>
      <x:c r="C1050" s="32" t="str">
        <x:v>P15</x:v>
      </x:c>
      <x:c r="D1050" s="32" t="str">
        <x:v>B3-W1-V1</x:v>
      </x:c>
      <x:c r="E1050" s="32" t="str">
        <x:v>B3</x:v>
      </x:c>
      <x:c r="F1050" s="32" t="str">
        <x:v>W1</x:v>
      </x:c>
      <x:c r="G1050" s="32" t="str">
        <x:v>V1</x:v>
      </x:c>
      <x:c r="H1050" s="32" t="str">
        <x:v>tension_soil</x:v>
      </x:c>
      <x:c r="I1050" s="32" t="str">
        <x:v>862323089930715</x:v>
      </x:c>
      <x:c r="J1050" s="82"/>
      <x:c r="K1050" s="82" t="n">
        <x:v>-21.1</x:v>
      </x:c>
      <x:c r="L1050" s="82" t="n">
        <x:v>39.1</x:v>
      </x:c>
      <x:c r="M1050" s="82" t="n">
        <x:v>24.6</x:v>
      </x:c>
      <x:c r="N1050" s="86" t="n">
        <x:v>926</x:v>
      </x:c>
      <x:c r="O1050" s="90" t="n">
        <x:v>6.27</x:v>
      </x:c>
      <x:c r="P1050" s="150" t="n">
        <x:v>3.974</x:v>
      </x:c>
      <x:c r="Q1050" s="86" t="n">
        <x:v>24</x:v>
      </x:c>
      <x:c r="R1050" s="32"/>
      <x:c r="S1050" s="32" t="str">
        <x:v>ok</x:v>
      </x:c>
      <x:c r="T1050" s="32" t="str">
        <x:v>ok</x:v>
      </x:c>
      <x:c r="U1050" s="32" t="str">
        <x:v>ok</x:v>
      </x:c>
      <x:c r="V1050" s="32" t="str">
        <x:v>ok</x:v>
      </x:c>
      <x:c r="W1050" s="154" t="str">
        <x:v>{"schema_version":1,"imei":"862323089930715","timestamp":1786027853,"report_sequence":44,"task_version":"rice_tension_soil_demo","sensor_mode":"tension_soil","soil_moisture_percent":39.1,"soil_temperature_c":24.6,"soil_ec_us_cm":926,"soil_ph":6.27,"battery_mv":3974,"csq":24,"soil_rs485_status":"ok","cycle_status":"ok","soil_tension_kpa":-21.1,"soil_tension_rs485_status":"ok"}</x:v>
      </x:c>
    </x:row>
    <x:row r="1051">
      <x:c r="A1051" s="72" t="n">
        <x:v>46240.952002314814</x:v>
      </x:c>
      <x:c r="B1051" s="72" t="n">
        <x:v>46240.9520162037</x:v>
      </x:c>
      <x:c r="C1051" s="32" t="str">
        <x:v>P16</x:v>
      </x:c>
      <x:c r="D1051" s="32" t="str">
        <x:v>B3-W1-V2</x:v>
      </x:c>
      <x:c r="E1051" s="32" t="str">
        <x:v>B3</x:v>
      </x:c>
      <x:c r="F1051" s="32" t="str">
        <x:v>W1</x:v>
      </x:c>
      <x:c r="G1051" s="32" t="str">
        <x:v>V2</x:v>
      </x:c>
      <x:c r="H1051" s="32" t="str">
        <x:v>tension_soil</x:v>
      </x:c>
      <x:c r="I1051" s="32" t="str">
        <x:v>862323089930716</x:v>
      </x:c>
      <x:c r="J1051" s="82"/>
      <x:c r="K1051" s="82" t="n">
        <x:v>-22.3</x:v>
      </x:c>
      <x:c r="L1051" s="82" t="n">
        <x:v>32.3</x:v>
      </x:c>
      <x:c r="M1051" s="82" t="n">
        <x:v>24.7</x:v>
      </x:c>
      <x:c r="N1051" s="86" t="n">
        <x:v>942</x:v>
      </x:c>
      <x:c r="O1051" s="90" t="n">
        <x:v>6.32</x:v>
      </x:c>
      <x:c r="P1051" s="150" t="n">
        <x:v>3.992</x:v>
      </x:c>
      <x:c r="Q1051" s="86" t="n">
        <x:v>17</x:v>
      </x:c>
      <x:c r="R1051" s="32"/>
      <x:c r="S1051" s="32" t="str">
        <x:v>ok</x:v>
      </x:c>
      <x:c r="T1051" s="32" t="str">
        <x:v>ok</x:v>
      </x:c>
      <x:c r="U1051" s="32" t="str">
        <x:v>ok</x:v>
      </x:c>
      <x:c r="V1051" s="32" t="str">
        <x:v>ok</x:v>
      </x:c>
      <x:c r="W1051" s="154" t="str">
        <x:v>{"schema_version":1,"imei":"862323089930716","timestamp":1786027853,"report_sequence":44,"task_version":"rice_tension_soil_demo","sensor_mode":"tension_soil","soil_moisture_percent":32.3,"soil_temperature_c":24.7,"soil_ec_us_cm":942,"soil_ph":6.32,"battery_mv":3992,"csq":17,"soil_rs485_status":"ok","cycle_status":"ok","soil_tension_kpa":-22.3,"soil_tension_rs485_status":"ok"}</x:v>
      </x:c>
    </x:row>
    <x:row r="1052">
      <x:c r="A1052" s="72" t="n">
        <x:v>46240.952002314814</x:v>
      </x:c>
      <x:c r="B1052" s="72" t="n">
        <x:v>46240.9520162037</x:v>
      </x:c>
      <x:c r="C1052" s="32" t="str">
        <x:v>P17</x:v>
      </x:c>
      <x:c r="D1052" s="32" t="str">
        <x:v>B3-W2-V1</x:v>
      </x:c>
      <x:c r="E1052" s="32" t="str">
        <x:v>B3</x:v>
      </x:c>
      <x:c r="F1052" s="32" t="str">
        <x:v>W2</x:v>
      </x:c>
      <x:c r="G1052" s="32" t="str">
        <x:v>V1</x:v>
      </x:c>
      <x:c r="H1052" s="32" t="str">
        <x:v>tension_soil</x:v>
      </x:c>
      <x:c r="I1052" s="32" t="str">
        <x:v>862323089930717</x:v>
      </x:c>
      <x:c r="J1052" s="82"/>
      <x:c r="K1052" s="82" t="n">
        <x:v>-34.6</x:v>
      </x:c>
      <x:c r="L1052" s="82" t="n">
        <x:v>33.6</x:v>
      </x:c>
      <x:c r="M1052" s="82" t="n">
        <x:v>24.7</x:v>
      </x:c>
      <x:c r="N1052" s="86" t="n">
        <x:v>959</x:v>
      </x:c>
      <x:c r="O1052" s="90" t="n">
        <x:v>6.38</x:v>
      </x:c>
      <x:c r="P1052" s="150" t="n">
        <x:v>4.01</x:v>
      </x:c>
      <x:c r="Q1052" s="86" t="n">
        <x:v>18</x:v>
      </x:c>
      <x:c r="R1052" s="32"/>
      <x:c r="S1052" s="32" t="str">
        <x:v>ok</x:v>
      </x:c>
      <x:c r="T1052" s="32" t="str">
        <x:v>ok</x:v>
      </x:c>
      <x:c r="U1052" s="32" t="str">
        <x:v>ok</x:v>
      </x:c>
      <x:c r="V1052" s="32" t="str">
        <x:v>ok</x:v>
      </x:c>
      <x:c r="W1052" s="154" t="str">
        <x:v>{"schema_version":1,"imei":"862323089930717","timestamp":1786027853,"report_sequence":44,"task_version":"rice_tension_soil_demo","sensor_mode":"tension_soil","soil_moisture_percent":33.6,"soil_temperature_c":24.7,"soil_ec_us_cm":959,"soil_ph":6.38,"battery_mv":4010,"csq":18,"soil_rs485_status":"ok","cycle_status":"ok","soil_tension_kpa":-34.6,"soil_tension_rs485_status":"ok"}</x:v>
      </x:c>
    </x:row>
    <x:row r="1053">
      <x:c r="A1053" s="72" t="n">
        <x:v>46240.952002314814</x:v>
      </x:c>
      <x:c r="B1053" s="72" t="n">
        <x:v>46240.9520162037</x:v>
      </x:c>
      <x:c r="C1053" s="32" t="str">
        <x:v>P18</x:v>
      </x:c>
      <x:c r="D1053" s="32" t="str">
        <x:v>B3-W2-V2</x:v>
      </x:c>
      <x:c r="E1053" s="32" t="str">
        <x:v>B3</x:v>
      </x:c>
      <x:c r="F1053" s="32" t="str">
        <x:v>W2</x:v>
      </x:c>
      <x:c r="G1053" s="32" t="str">
        <x:v>V2</x:v>
      </x:c>
      <x:c r="H1053" s="32" t="str">
        <x:v>tension_soil</x:v>
      </x:c>
      <x:c r="I1053" s="32" t="str">
        <x:v>862323089930718</x:v>
      </x:c>
      <x:c r="J1053" s="82"/>
      <x:c r="K1053" s="82" t="n">
        <x:v>-36</x:v>
      </x:c>
      <x:c r="L1053" s="82" t="n">
        <x:v>35</x:v>
      </x:c>
      <x:c r="M1053" s="82" t="n">
        <x:v>24.8</x:v>
      </x:c>
      <x:c r="N1053" s="86" t="n">
        <x:v>978</x:v>
      </x:c>
      <x:c r="O1053" s="90" t="n">
        <x:v>6.43</x:v>
      </x:c>
      <x:c r="P1053" s="150" t="n">
        <x:v>3.92</x:v>
      </x:c>
      <x:c r="Q1053" s="86" t="n">
        <x:v>19</x:v>
      </x:c>
      <x:c r="R1053" s="32"/>
      <x:c r="S1053" s="32" t="str">
        <x:v>ok</x:v>
      </x:c>
      <x:c r="T1053" s="32" t="str">
        <x:v>ok</x:v>
      </x:c>
      <x:c r="U1053" s="32" t="str">
        <x:v>ok</x:v>
      </x:c>
      <x:c r="V1053" s="32" t="str">
        <x:v>ok</x:v>
      </x:c>
      <x:c r="W1053" s="154" t="str">
        <x:v>{"schema_version":1,"imei":"862323089930718","timestamp":1786027853,"report_sequence":44,"task_version":"rice_tension_soil_demo","sensor_mode":"tension_soil","soil_moisture_percent":35,"soil_temperature_c":24.8,"soil_ec_us_cm":978,"soil_ph":6.43,"battery_mv":3920,"csq":19,"soil_rs485_status":"ok","cycle_status":"ok","soil_tension_kpa":-36,"soil_tension_rs485_status":"ok"}</x:v>
      </x:c>
    </x:row>
    <x:row r="1054">
      <x:c r="A1054" s="72" t="n">
        <x:v>46240.952002314814</x:v>
      </x:c>
      <x:c r="B1054" s="72" t="n">
        <x:v>46240.9520162037</x:v>
      </x:c>
      <x:c r="C1054" s="32" t="str">
        <x:v>P19</x:v>
      </x:c>
      <x:c r="D1054" s="32" t="str">
        <x:v>B4-W0-V1</x:v>
      </x:c>
      <x:c r="E1054" s="32" t="str">
        <x:v>B4</x:v>
      </x:c>
      <x:c r="F1054" s="32" t="str">
        <x:v>W0</x:v>
      </x:c>
      <x:c r="G1054" s="32" t="str">
        <x:v>V1</x:v>
      </x:c>
      <x:c r="H1054" s="32" t="str">
        <x:v>water_soil</x:v>
      </x:c>
      <x:c r="I1054" s="32" t="str">
        <x:v>862323089930719</x:v>
      </x:c>
      <x:c r="J1054" s="82" t="n">
        <x:v>35.6</x:v>
      </x:c>
      <x:c r="K1054" s="82"/>
      <x:c r="L1054" s="82" t="n">
        <x:v>36.4</x:v>
      </x:c>
      <x:c r="M1054" s="82" t="n">
        <x:v>25</x:v>
      </x:c>
      <x:c r="N1054" s="86" t="n">
        <x:v>998</x:v>
      </x:c>
      <x:c r="O1054" s="90" t="n">
        <x:v>6.49</x:v>
      </x:c>
      <x:c r="P1054" s="150" t="n">
        <x:v>3.938</x:v>
      </x:c>
      <x:c r="Q1054" s="86" t="n">
        <x:v>20</x:v>
      </x:c>
      <x:c r="R1054" s="32" t="str">
        <x:v>ok</x:v>
      </x:c>
      <x:c r="S1054" s="32"/>
      <x:c r="T1054" s="32" t="str">
        <x:v>ok</x:v>
      </x:c>
      <x:c r="U1054" s="32" t="str">
        <x:v>ok</x:v>
      </x:c>
      <x:c r="V1054" s="32" t="str">
        <x:v>ok</x:v>
      </x:c>
      <x:c r="W1054" s="154" t="str">
        <x:v>{"schema_version":1,"imei":"862323089930719","timestamp":1786027853,"report_sequence":44,"task_version":"rice_w0_water_soil_demo","sensor_mode":"water_soil","soil_moisture_percent":36.4,"soil_temperature_c":25,"soil_ec_us_cm":998,"soil_ph":6.49,"battery_mv":3938,"csq":20,"soil_rs485_status":"ok","cycle_status":"ok","water_level_mm":35.6,"water_4_20ma_status":"ok"}</x:v>
      </x:c>
    </x:row>
    <x:row r="1055">
      <x:c r="A1055" s="72" t="n">
        <x:v>46240.952002314814</x:v>
      </x:c>
      <x:c r="B1055" s="72" t="n">
        <x:v>46240.9520162037</x:v>
      </x:c>
      <x:c r="C1055" s="32" t="str">
        <x:v>P20</x:v>
      </x:c>
      <x:c r="D1055" s="32" t="str">
        <x:v>B4-W0-V2</x:v>
      </x:c>
      <x:c r="E1055" s="32" t="str">
        <x:v>B4</x:v>
      </x:c>
      <x:c r="F1055" s="32" t="str">
        <x:v>W0</x:v>
      </x:c>
      <x:c r="G1055" s="32" t="str">
        <x:v>V2</x:v>
      </x:c>
      <x:c r="H1055" s="32" t="str">
        <x:v>water_soil</x:v>
      </x:c>
      <x:c r="I1055" s="32" t="str">
        <x:v>862323089930720</x:v>
      </x:c>
      <x:c r="J1055" s="82" t="n">
        <x:v>27.8</x:v>
      </x:c>
      <x:c r="K1055" s="82"/>
      <x:c r="L1055" s="82" t="n">
        <x:v>37.9</x:v>
      </x:c>
      <x:c r="M1055" s="82" t="n">
        <x:v>25.1</x:v>
      </x:c>
      <x:c r="N1055" s="86" t="n">
        <x:v>1019</x:v>
      </x:c>
      <x:c r="O1055" s="90" t="n">
        <x:v>6.3</x:v>
      </x:c>
      <x:c r="P1055" s="150" t="n">
        <x:v>3.956</x:v>
      </x:c>
      <x:c r="Q1055" s="86" t="n">
        <x:v>21</x:v>
      </x:c>
      <x:c r="R1055" s="32" t="str">
        <x:v>ok</x:v>
      </x:c>
      <x:c r="S1055" s="32"/>
      <x:c r="T1055" s="32" t="str">
        <x:v>ok</x:v>
      </x:c>
      <x:c r="U1055" s="32" t="str">
        <x:v>ok</x:v>
      </x:c>
      <x:c r="V1055" s="32" t="str">
        <x:v>ok</x:v>
      </x:c>
      <x:c r="W1055" s="154" t="str">
        <x:v>{"schema_version":1,"imei":"862323089930720","timestamp":1786027853,"report_sequence":44,"task_version":"rice_w0_water_soil_demo","sensor_mode":"water_soil","soil_moisture_percent":37.9,"soil_temperature_c":25.1,"soil_ec_us_cm":1019,"soil_ph":6.3,"battery_mv":3956,"csq":21,"soil_rs485_status":"ok","cycle_status":"ok","water_level_mm":27.8,"water_4_20ma_status":"ok"}</x:v>
      </x:c>
    </x:row>
    <x:row r="1056">
      <x:c r="A1056" s="72" t="n">
        <x:v>46240.952002314814</x:v>
      </x:c>
      <x:c r="B1056" s="72" t="n">
        <x:v>46240.9520162037</x:v>
      </x:c>
      <x:c r="C1056" s="32" t="str">
        <x:v>P21</x:v>
      </x:c>
      <x:c r="D1056" s="32" t="str">
        <x:v>B4-W1-V1</x:v>
      </x:c>
      <x:c r="E1056" s="32" t="str">
        <x:v>B4</x:v>
      </x:c>
      <x:c r="F1056" s="32" t="str">
        <x:v>W1</x:v>
      </x:c>
      <x:c r="G1056" s="32" t="str">
        <x:v>V1</x:v>
      </x:c>
      <x:c r="H1056" s="32" t="str">
        <x:v>tension_soil</x:v>
      </x:c>
      <x:c r="I1056" s="32" t="str">
        <x:v>862323089930721</x:v>
      </x:c>
      <x:c r="J1056" s="82"/>
      <x:c r="K1056" s="82" t="n">
        <x:v>-24.4</x:v>
      </x:c>
      <x:c r="L1056" s="82" t="n">
        <x:v>39.4</x:v>
      </x:c>
      <x:c r="M1056" s="82" t="n">
        <x:v>25.2</x:v>
      </x:c>
      <x:c r="N1056" s="86" t="n">
        <x:v>1040</x:v>
      </x:c>
      <x:c r="O1056" s="90" t="n">
        <x:v>6.36</x:v>
      </x:c>
      <x:c r="P1056" s="150" t="n">
        <x:v>3.974</x:v>
      </x:c>
      <x:c r="Q1056" s="86" t="n">
        <x:v>22</x:v>
      </x:c>
      <x:c r="R1056" s="32"/>
      <x:c r="S1056" s="32" t="str">
        <x:v>ok</x:v>
      </x:c>
      <x:c r="T1056" s="32" t="str">
        <x:v>ok</x:v>
      </x:c>
      <x:c r="U1056" s="32" t="str">
        <x:v>ok</x:v>
      </x:c>
      <x:c r="V1056" s="32" t="str">
        <x:v>ok</x:v>
      </x:c>
      <x:c r="W1056" s="154" t="str">
        <x:v>{"schema_version":1,"imei":"862323089930721","timestamp":1786027853,"report_sequence":44,"task_version":"rice_tension_soil_demo","sensor_mode":"tension_soil","soil_moisture_percent":39.4,"soil_temperature_c":25.2,"soil_ec_us_cm":1040,"soil_ph":6.36,"battery_mv":3974,"csq":22,"soil_rs485_status":"ok","cycle_status":"ok","soil_tension_kpa":-24.4,"soil_tension_rs485_status":"ok"}</x:v>
      </x:c>
    </x:row>
    <x:row r="1057">
      <x:c r="A1057" s="72" t="n">
        <x:v>46240.952002314814</x:v>
      </x:c>
      <x:c r="B1057" s="72" t="n">
        <x:v>46240.9520162037</x:v>
      </x:c>
      <x:c r="C1057" s="32" t="str">
        <x:v>P22</x:v>
      </x:c>
      <x:c r="D1057" s="32" t="str">
        <x:v>B4-W1-V2</x:v>
      </x:c>
      <x:c r="E1057" s="32" t="str">
        <x:v>B4</x:v>
      </x:c>
      <x:c r="F1057" s="32" t="str">
        <x:v>W1</x:v>
      </x:c>
      <x:c r="G1057" s="32" t="str">
        <x:v>V2</x:v>
      </x:c>
      <x:c r="H1057" s="32" t="str">
        <x:v>tension_soil</x:v>
      </x:c>
      <x:c r="I1057" s="32" t="str">
        <x:v>862323089930722</x:v>
      </x:c>
      <x:c r="J1057" s="82"/>
      <x:c r="K1057" s="82" t="n">
        <x:v>-25.9</x:v>
      </x:c>
      <x:c r="L1057" s="82" t="n">
        <x:v>40.9</x:v>
      </x:c>
      <x:c r="M1057" s="82" t="n">
        <x:v>25.3</x:v>
      </x:c>
      <x:c r="N1057" s="86" t="n">
        <x:v>1060</x:v>
      </x:c>
      <x:c r="O1057" s="90" t="n">
        <x:v>6.41</x:v>
      </x:c>
      <x:c r="P1057" s="150" t="n">
        <x:v>3.992</x:v>
      </x:c>
      <x:c r="Q1057" s="86" t="n">
        <x:v>23</x:v>
      </x:c>
      <x:c r="R1057" s="32"/>
      <x:c r="S1057" s="32" t="str">
        <x:v>ok</x:v>
      </x:c>
      <x:c r="T1057" s="32" t="str">
        <x:v>ok</x:v>
      </x:c>
      <x:c r="U1057" s="32" t="str">
        <x:v>ok</x:v>
      </x:c>
      <x:c r="V1057" s="32" t="str">
        <x:v>ok</x:v>
      </x:c>
      <x:c r="W1057" s="154" t="str">
        <x:v>{"schema_version":1,"imei":"862323089930722","timestamp":1786027853,"report_sequence":44,"task_version":"rice_tension_soil_demo","sensor_mode":"tension_soil","soil_moisture_percent":40.9,"soil_temperature_c":25.3,"soil_ec_us_cm":1060,"soil_ph":6.41,"battery_mv":3992,"csq":23,"soil_rs485_status":"ok","cycle_status":"ok","soil_tension_kpa":-25.9,"soil_tension_rs485_status":"ok"}</x:v>
      </x:c>
    </x:row>
    <x:row r="1058">
      <x:c r="A1058" s="72" t="n">
        <x:v>46240.952002314814</x:v>
      </x:c>
      <x:c r="B1058" s="72" t="n">
        <x:v>46240.9520162037</x:v>
      </x:c>
      <x:c r="C1058" s="32" t="str">
        <x:v>P23</x:v>
      </x:c>
      <x:c r="D1058" s="32" t="str">
        <x:v>B4-W2-V1</x:v>
      </x:c>
      <x:c r="E1058" s="32" t="str">
        <x:v>B4</x:v>
      </x:c>
      <x:c r="F1058" s="32" t="str">
        <x:v>W2</x:v>
      </x:c>
      <x:c r="G1058" s="32" t="str">
        <x:v>V1</x:v>
      </x:c>
      <x:c r="H1058" s="32" t="str">
        <x:v>tension_soil</x:v>
      </x:c>
      <x:c r="I1058" s="32" t="str">
        <x:v>862323089930723</x:v>
      </x:c>
      <x:c r="J1058" s="82"/>
      <x:c r="K1058" s="82" t="n">
        <x:v>-38.3</x:v>
      </x:c>
      <x:c r="L1058" s="82" t="n">
        <x:v>42.3</x:v>
      </x:c>
      <x:c r="M1058" s="82" t="n">
        <x:v>25.4</x:v>
      </x:c>
      <x:c r="N1058" s="86" t="n">
        <x:v>1079</x:v>
      </x:c>
      <x:c r="O1058" s="90" t="n">
        <x:v>6.47</x:v>
      </x:c>
      <x:c r="P1058" s="150" t="n">
        <x:v>4.01</x:v>
      </x:c>
      <x:c r="Q1058" s="86" t="n">
        <x:v>24</x:v>
      </x:c>
      <x:c r="R1058" s="32"/>
      <x:c r="S1058" s="32" t="str">
        <x:v>ok</x:v>
      </x:c>
      <x:c r="T1058" s="32" t="str">
        <x:v>ok</x:v>
      </x:c>
      <x:c r="U1058" s="32" t="str">
        <x:v>ok</x:v>
      </x:c>
      <x:c r="V1058" s="32" t="str">
        <x:v>ok</x:v>
      </x:c>
      <x:c r="W1058" s="154" t="str">
        <x:v>{"schema_version":1,"imei":"862323089930723","timestamp":1786027853,"report_sequence":44,"task_version":"rice_tension_soil_demo","sensor_mode":"tension_soil","soil_moisture_percent":42.3,"soil_temperature_c":25.4,"soil_ec_us_cm":1079,"soil_ph":6.47,"battery_mv":4010,"csq":24,"soil_rs485_status":"ok","cycle_status":"ok","soil_tension_kpa":-38.3,"soil_tension_rs485_status":"ok"}</x:v>
      </x:c>
    </x:row>
    <x:row r="1059">
      <x:c r="A1059" s="72" t="n">
        <x:v>46240.952002314814</x:v>
      </x:c>
      <x:c r="B1059" s="72" t="n">
        <x:v>46240.9520162037</x:v>
      </x:c>
      <x:c r="C1059" s="32" t="str">
        <x:v>P24</x:v>
      </x:c>
      <x:c r="D1059" s="32" t="str">
        <x:v>B4-W2-V2</x:v>
      </x:c>
      <x:c r="E1059" s="32" t="str">
        <x:v>B4</x:v>
      </x:c>
      <x:c r="F1059" s="32" t="str">
        <x:v>W2</x:v>
      </x:c>
      <x:c r="G1059" s="32" t="str">
        <x:v>V2</x:v>
      </x:c>
      <x:c r="H1059" s="32" t="str">
        <x:v>tension_soil</x:v>
      </x:c>
      <x:c r="I1059" s="32" t="str">
        <x:v>862323089930724</x:v>
      </x:c>
      <x:c r="J1059" s="82"/>
      <x:c r="K1059" s="82" t="n">
        <x:v>-39.6</x:v>
      </x:c>
      <x:c r="L1059" s="82" t="n">
        <x:v>35.6</x:v>
      </x:c>
      <x:c r="M1059" s="82" t="n">
        <x:v>25.5</x:v>
      </x:c>
      <x:c r="N1059" s="86" t="n">
        <x:v>1097</x:v>
      </x:c>
      <x:c r="O1059" s="90" t="n">
        <x:v>6.52</x:v>
      </x:c>
      <x:c r="P1059" s="150" t="n">
        <x:v>3.92</x:v>
      </x:c>
      <x:c r="Q1059" s="86" t="n">
        <x:v>17</x:v>
      </x:c>
      <x:c r="R1059" s="32"/>
      <x:c r="S1059" s="32" t="str">
        <x:v>ok</x:v>
      </x:c>
      <x:c r="T1059" s="32" t="str">
        <x:v>ok</x:v>
      </x:c>
      <x:c r="U1059" s="32" t="str">
        <x:v>ok</x:v>
      </x:c>
      <x:c r="V1059" s="32" t="str">
        <x:v>ok</x:v>
      </x:c>
      <x:c r="W1059" s="154" t="str">
        <x:v>{"schema_version":1,"imei":"862323089930724","timestamp":1786027853,"report_sequence":44,"task_version":"rice_tension_soil_demo","sensor_mode":"tension_soil","soil_moisture_percent":35.6,"soil_temperature_c":25.5,"soil_ec_us_cm":1097,"soil_ph":6.52,"battery_mv":3920,"csq":17,"soil_rs485_status":"ok","cycle_status":"ok","soil_tension_kpa":-39.6,"soil_tension_rs485_status":"ok"}</x:v>
      </x:c>
    </x:row>
    <x:row r="1060">
      <x:c r="A1060" s="72" t="n">
        <x:v>46240.95547453704</x:v>
      </x:c>
      <x:c r="B1060" s="72" t="n">
        <x:v>46240.95548842593</x:v>
      </x:c>
      <x:c r="C1060" s="32" t="str">
        <x:v>P01</x:v>
      </x:c>
      <x:c r="D1060" s="32" t="str">
        <x:v>B1-W0-V1</x:v>
      </x:c>
      <x:c r="E1060" s="32" t="str">
        <x:v>B1</x:v>
      </x:c>
      <x:c r="F1060" s="32" t="str">
        <x:v>W0</x:v>
      </x:c>
      <x:c r="G1060" s="32" t="str">
        <x:v>V1</x:v>
      </x:c>
      <x:c r="H1060" s="32" t="str">
        <x:v>water_soil</x:v>
      </x:c>
      <x:c r="I1060" s="32" t="str">
        <x:v>862323089930701</x:v>
      </x:c>
      <x:c r="J1060" s="82" t="n">
        <x:v>35.7</x:v>
      </x:c>
      <x:c r="K1060" s="82"/>
      <x:c r="L1060" s="82" t="n">
        <x:v>36.9</x:v>
      </x:c>
      <x:c r="M1060" s="82" t="n">
        <x:v>25.6</x:v>
      </x:c>
      <x:c r="N1060" s="86" t="n">
        <x:v>825</x:v>
      </x:c>
      <x:c r="O1060" s="90" t="n">
        <x:v>6.38</x:v>
      </x:c>
      <x:c r="P1060" s="150" t="n">
        <x:v>3.938</x:v>
      </x:c>
      <x:c r="Q1060" s="86" t="n">
        <x:v>18</x:v>
      </x:c>
      <x:c r="R1060" s="32" t="str">
        <x:v>ok</x:v>
      </x:c>
      <x:c r="S1060" s="32"/>
      <x:c r="T1060" s="32" t="str">
        <x:v>ok</x:v>
      </x:c>
      <x:c r="U1060" s="32" t="str">
        <x:v>ok</x:v>
      </x:c>
      <x:c r="V1060" s="32" t="str">
        <x:v>ok</x:v>
      </x:c>
      <x:c r="W1060" s="154" t="str">
        <x:v>{"schema_version":1,"imei":"862323089930701","timestamp":1786028153,"report_sequence":45,"task_version":"rice_w0_water_soil_demo","sensor_mode":"water_soil","soil_moisture_percent":36.9,"soil_temperature_c":25.6,"soil_ec_us_cm":825,"soil_ph":6.38,"battery_mv":3938,"csq":18,"soil_rs485_status":"ok","cycle_status":"ok","water_level_mm":35.7,"water_4_20ma_status":"ok"}</x:v>
      </x:c>
    </x:row>
    <x:row r="1061">
      <x:c r="A1061" s="72" t="n">
        <x:v>46240.95547453704</x:v>
      </x:c>
      <x:c r="B1061" s="72" t="n">
        <x:v>46240.95548842593</x:v>
      </x:c>
      <x:c r="C1061" s="32" t="str">
        <x:v>P02</x:v>
      </x:c>
      <x:c r="D1061" s="32" t="str">
        <x:v>B1-W0-V2</x:v>
      </x:c>
      <x:c r="E1061" s="32" t="str">
        <x:v>B1</x:v>
      </x:c>
      <x:c r="F1061" s="32" t="str">
        <x:v>W0</x:v>
      </x:c>
      <x:c r="G1061" s="32" t="str">
        <x:v>V2</x:v>
      </x:c>
      <x:c r="H1061" s="32" t="str">
        <x:v>water_soil</x:v>
      </x:c>
      <x:c r="I1061" s="32" t="str">
        <x:v>862323089930702</x:v>
      </x:c>
      <x:c r="J1061" s="82" t="n">
        <x:v>39</x:v>
      </x:c>
      <x:c r="K1061" s="82"/>
      <x:c r="L1061" s="82" t="n">
        <x:v>38</x:v>
      </x:c>
      <x:c r="M1061" s="82" t="n">
        <x:v>25.6</x:v>
      </x:c>
      <x:c r="N1061" s="86" t="n">
        <x:v>839</x:v>
      </x:c>
      <x:c r="O1061" s="90" t="n">
        <x:v>6.43</x:v>
      </x:c>
      <x:c r="P1061" s="150" t="n">
        <x:v>3.956</x:v>
      </x:c>
      <x:c r="Q1061" s="86" t="n">
        <x:v>19</x:v>
      </x:c>
      <x:c r="R1061" s="32" t="str">
        <x:v>ok</x:v>
      </x:c>
      <x:c r="S1061" s="32"/>
      <x:c r="T1061" s="32" t="str">
        <x:v>ok</x:v>
      </x:c>
      <x:c r="U1061" s="32" t="str">
        <x:v>ok</x:v>
      </x:c>
      <x:c r="V1061" s="32" t="str">
        <x:v>ok</x:v>
      </x:c>
      <x:c r="W1061" s="154" t="str">
        <x:v>{"schema_version":1,"imei":"862323089930702","timestamp":1786028153,"report_sequence":45,"task_version":"rice_w0_water_soil_demo","sensor_mode":"water_soil","soil_moisture_percent":38,"soil_temperature_c":25.6,"soil_ec_us_cm":839,"soil_ph":6.43,"battery_mv":3956,"csq":19,"soil_rs485_status":"ok","cycle_status":"ok","water_level_mm":39,"water_4_20ma_status":"ok"}</x:v>
      </x:c>
    </x:row>
    <x:row r="1062">
      <x:c r="A1062" s="72" t="n">
        <x:v>46240.95547453704</x:v>
      </x:c>
      <x:c r="B1062" s="72" t="n">
        <x:v>46240.95548842593</x:v>
      </x:c>
      <x:c r="C1062" s="32" t="str">
        <x:v>P03</x:v>
      </x:c>
      <x:c r="D1062" s="32" t="str">
        <x:v>B1-W1-V1</x:v>
      </x:c>
      <x:c r="E1062" s="32" t="str">
        <x:v>B1</x:v>
      </x:c>
      <x:c r="F1062" s="32" t="str">
        <x:v>W1</x:v>
      </x:c>
      <x:c r="G1062" s="32" t="str">
        <x:v>V1</x:v>
      </x:c>
      <x:c r="H1062" s="32" t="str">
        <x:v>tension_soil</x:v>
      </x:c>
      <x:c r="I1062" s="32" t="str">
        <x:v>862323089930703</x:v>
      </x:c>
      <x:c r="J1062" s="82"/>
      <x:c r="K1062" s="82" t="n">
        <x:v>-28</x:v>
      </x:c>
      <x:c r="L1062" s="82" t="n">
        <x:v>39</x:v>
      </x:c>
      <x:c r="M1062" s="82" t="n">
        <x:v>25.6</x:v>
      </x:c>
      <x:c r="N1062" s="86" t="n">
        <x:v>850</x:v>
      </x:c>
      <x:c r="O1062" s="90" t="n">
        <x:v>6.48</x:v>
      </x:c>
      <x:c r="P1062" s="150" t="n">
        <x:v>3.974</x:v>
      </x:c>
      <x:c r="Q1062" s="86" t="n">
        <x:v>20</x:v>
      </x:c>
      <x:c r="R1062" s="32"/>
      <x:c r="S1062" s="32" t="str">
        <x:v>ok</x:v>
      </x:c>
      <x:c r="T1062" s="32" t="str">
        <x:v>ok</x:v>
      </x:c>
      <x:c r="U1062" s="32" t="str">
        <x:v>ok</x:v>
      </x:c>
      <x:c r="V1062" s="32" t="str">
        <x:v>ok</x:v>
      </x:c>
      <x:c r="W1062" s="154" t="str">
        <x:v>{"schema_version":1,"imei":"862323089930703","timestamp":1786028153,"report_sequence":45,"task_version":"rice_tension_soil_demo","sensor_mode":"tension_soil","soil_moisture_percent":39,"soil_temperature_c":25.6,"soil_ec_us_cm":850,"soil_ph":6.48,"battery_mv":3974,"csq":20,"soil_rs485_status":"ok","cycle_status":"ok","soil_tension_kpa":-28,"soil_tension_rs485_status":"ok"}</x:v>
      </x:c>
    </x:row>
    <x:row r="1063">
      <x:c r="A1063" s="72" t="n">
        <x:v>46240.95547453704</x:v>
      </x:c>
      <x:c r="B1063" s="72" t="n">
        <x:v>46240.95548842593</x:v>
      </x:c>
      <x:c r="C1063" s="32" t="str">
        <x:v>P04</x:v>
      </x:c>
      <x:c r="D1063" s="32" t="str">
        <x:v>B1-W1-V2</x:v>
      </x:c>
      <x:c r="E1063" s="32" t="str">
        <x:v>B1</x:v>
      </x:c>
      <x:c r="F1063" s="32" t="str">
        <x:v>W1</x:v>
      </x:c>
      <x:c r="G1063" s="32" t="str">
        <x:v>V2</x:v>
      </x:c>
      <x:c r="H1063" s="32" t="str">
        <x:v>tension_soil</x:v>
      </x:c>
      <x:c r="I1063" s="32" t="str">
        <x:v>862323089930704</x:v>
      </x:c>
      <x:c r="J1063" s="82"/>
      <x:c r="K1063" s="82" t="n">
        <x:v>-28.8</x:v>
      </x:c>
      <x:c r="L1063" s="82" t="n">
        <x:v>39.8</x:v>
      </x:c>
      <x:c r="M1063" s="82" t="n">
        <x:v>25.6</x:v>
      </x:c>
      <x:c r="N1063" s="86" t="n">
        <x:v>860</x:v>
      </x:c>
      <x:c r="O1063" s="90" t="n">
        <x:v>6.53</x:v>
      </x:c>
      <x:c r="P1063" s="150" t="n">
        <x:v>3.992</x:v>
      </x:c>
      <x:c r="Q1063" s="86" t="n">
        <x:v>21</x:v>
      </x:c>
      <x:c r="R1063" s="32"/>
      <x:c r="S1063" s="32" t="str">
        <x:v>ok</x:v>
      </x:c>
      <x:c r="T1063" s="32" t="str">
        <x:v>ok</x:v>
      </x:c>
      <x:c r="U1063" s="32" t="str">
        <x:v>ok</x:v>
      </x:c>
      <x:c r="V1063" s="32" t="str">
        <x:v>ok</x:v>
      </x:c>
      <x:c r="W1063" s="154" t="str">
        <x:v>{"schema_version":1,"imei":"862323089930704","timestamp":1786028153,"report_sequence":45,"task_version":"rice_tension_soil_demo","sensor_mode":"tension_soil","soil_moisture_percent":39.8,"soil_temperature_c":25.6,"soil_ec_us_cm":860,"soil_ph":6.53,"battery_mv":3992,"csq":21,"soil_rs485_status":"ok","cycle_status":"ok","soil_tension_kpa":-28.8,"soil_tension_rs485_status":"ok"}</x:v>
      </x:c>
    </x:row>
    <x:row r="1064">
      <x:c r="A1064" s="72" t="n">
        <x:v>46240.95547453704</x:v>
      </x:c>
      <x:c r="B1064" s="72" t="n">
        <x:v>46240.95548842593</x:v>
      </x:c>
      <x:c r="C1064" s="32" t="str">
        <x:v>P05</x:v>
      </x:c>
      <x:c r="D1064" s="32" t="str">
        <x:v>B1-W2-V1</x:v>
      </x:c>
      <x:c r="E1064" s="32" t="str">
        <x:v>B1</x:v>
      </x:c>
      <x:c r="F1064" s="32" t="str">
        <x:v>W2</x:v>
      </x:c>
      <x:c r="G1064" s="32" t="str">
        <x:v>V1</x:v>
      </x:c>
      <x:c r="H1064" s="32" t="str">
        <x:v>tension_soil</x:v>
      </x:c>
      <x:c r="I1064" s="32" t="str">
        <x:v>862323089930705</x:v>
      </x:c>
      <x:c r="J1064" s="82"/>
      <x:c r="K1064" s="82" t="n">
        <x:v>-35.6</x:v>
      </x:c>
      <x:c r="L1064" s="82" t="n">
        <x:v>40.6</x:v>
      </x:c>
      <x:c r="M1064" s="82" t="n">
        <x:v>25.5</x:v>
      </x:c>
      <x:c r="N1064" s="86" t="n">
        <x:v>867</x:v>
      </x:c>
      <x:c r="O1064" s="90" t="n">
        <x:v>6.32</x:v>
      </x:c>
      <x:c r="P1064" s="150" t="n">
        <x:v>4.01</x:v>
      </x:c>
      <x:c r="Q1064" s="86" t="n">
        <x:v>22</x:v>
      </x:c>
      <x:c r="R1064" s="32"/>
      <x:c r="S1064" s="32" t="str">
        <x:v>ok</x:v>
      </x:c>
      <x:c r="T1064" s="32" t="str">
        <x:v>ok</x:v>
      </x:c>
      <x:c r="U1064" s="32" t="str">
        <x:v>ok</x:v>
      </x:c>
      <x:c r="V1064" s="32" t="str">
        <x:v>ok</x:v>
      </x:c>
      <x:c r="W1064" s="154" t="str">
        <x:v>{"schema_version":1,"imei":"862323089930705","timestamp":1786028153,"report_sequence":45,"task_version":"rice_tension_soil_demo","sensor_mode":"tension_soil","soil_moisture_percent":40.6,"soil_temperature_c":25.5,"soil_ec_us_cm":867,"soil_ph":6.32,"battery_mv":4010,"csq":22,"soil_rs485_status":"ok","cycle_status":"ok","soil_tension_kpa":-35.6,"soil_tension_rs485_status":"ok"}</x:v>
      </x:c>
    </x:row>
    <x:row r="1065">
      <x:c r="A1065" s="72" t="n">
        <x:v>46240.95547453704</x:v>
      </x:c>
      <x:c r="B1065" s="72" t="n">
        <x:v>46240.95548842593</x:v>
      </x:c>
      <x:c r="C1065" s="32" t="str">
        <x:v>P06</x:v>
      </x:c>
      <x:c r="D1065" s="32" t="str">
        <x:v>B1-W2-V2</x:v>
      </x:c>
      <x:c r="E1065" s="32" t="str">
        <x:v>B1</x:v>
      </x:c>
      <x:c r="F1065" s="32" t="str">
        <x:v>W2</x:v>
      </x:c>
      <x:c r="G1065" s="32" t="str">
        <x:v>V2</x:v>
      </x:c>
      <x:c r="H1065" s="32" t="str">
        <x:v>tension_soil</x:v>
      </x:c>
      <x:c r="I1065" s="32" t="str">
        <x:v>862323089930706</x:v>
      </x:c>
      <x:c r="J1065" s="82"/>
      <x:c r="K1065" s="82" t="n">
        <x:v>-36.2</x:v>
      </x:c>
      <x:c r="L1065" s="82" t="n">
        <x:v>41.2</x:v>
      </x:c>
      <x:c r="M1065" s="82" t="n">
        <x:v>25.4</x:v>
      </x:c>
      <x:c r="N1065" s="86" t="n">
        <x:v>873</x:v>
      </x:c>
      <x:c r="O1065" s="90" t="n">
        <x:v>6.37</x:v>
      </x:c>
      <x:c r="P1065" s="150" t="n">
        <x:v>3.92</x:v>
      </x:c>
      <x:c r="Q1065" s="86" t="n">
        <x:v>23</x:v>
      </x:c>
      <x:c r="R1065" s="32"/>
      <x:c r="S1065" s="32" t="str">
        <x:v>ok</x:v>
      </x:c>
      <x:c r="T1065" s="32" t="str">
        <x:v>ok</x:v>
      </x:c>
      <x:c r="U1065" s="32" t="str">
        <x:v>ok</x:v>
      </x:c>
      <x:c r="V1065" s="32" t="str">
        <x:v>ok</x:v>
      </x:c>
      <x:c r="W1065" s="154" t="str">
        <x:v>{"schema_version":1,"imei":"862323089930706","timestamp":1786028153,"report_sequence":45,"task_version":"rice_tension_soil_demo","sensor_mode":"tension_soil","soil_moisture_percent":41.2,"soil_temperature_c":25.4,"soil_ec_us_cm":873,"soil_ph":6.37,"battery_mv":3920,"csq":23,"soil_rs485_status":"ok","cycle_status":"ok","soil_tension_kpa":-36.2,"soil_tension_rs485_status":"ok"}</x:v>
      </x:c>
    </x:row>
    <x:row r="1066">
      <x:c r="A1066" s="72" t="n">
        <x:v>46240.95547453704</x:v>
      </x:c>
      <x:c r="B1066" s="72" t="n">
        <x:v>46240.95548842593</x:v>
      </x:c>
      <x:c r="C1066" s="32" t="str">
        <x:v>P07</x:v>
      </x:c>
      <x:c r="D1066" s="32" t="str">
        <x:v>B2-W0-V1</x:v>
      </x:c>
      <x:c r="E1066" s="32" t="str">
        <x:v>B2</x:v>
      </x:c>
      <x:c r="F1066" s="32" t="str">
        <x:v>W0</x:v>
      </x:c>
      <x:c r="G1066" s="32" t="str">
        <x:v>V1</x:v>
      </x:c>
      <x:c r="H1066" s="32" t="str">
        <x:v>water_soil</x:v>
      </x:c>
      <x:c r="I1066" s="32" t="str">
        <x:v>862323089930707</x:v>
      </x:c>
      <x:c r="J1066" s="82" t="n">
        <x:v>38.9</x:v>
      </x:c>
      <x:c r="K1066" s="82"/>
      <x:c r="L1066" s="82" t="n">
        <x:v>41.8</x:v>
      </x:c>
      <x:c r="M1066" s="82" t="n">
        <x:v>25.3</x:v>
      </x:c>
      <x:c r="N1066" s="86" t="n">
        <x:v>877</x:v>
      </x:c>
      <x:c r="O1066" s="90" t="n">
        <x:v>6.41</x:v>
      </x:c>
      <x:c r="P1066" s="150" t="n">
        <x:v>3.938</x:v>
      </x:c>
      <x:c r="Q1066" s="86" t="n">
        <x:v>24</x:v>
      </x:c>
      <x:c r="R1066" s="32" t="str">
        <x:v>ok</x:v>
      </x:c>
      <x:c r="S1066" s="32"/>
      <x:c r="T1066" s="32" t="str">
        <x:v>ok</x:v>
      </x:c>
      <x:c r="U1066" s="32" t="str">
        <x:v>ok</x:v>
      </x:c>
      <x:c r="V1066" s="32" t="str">
        <x:v>ok</x:v>
      </x:c>
      <x:c r="W1066" s="154" t="str">
        <x:v>{"schema_version":1,"imei":"862323089930707","timestamp":1786028153,"report_sequence":45,"task_version":"rice_w0_water_soil_demo","sensor_mode":"water_soil","soil_moisture_percent":41.8,"soil_temperature_c":25.3,"soil_ec_us_cm":877,"soil_ph":6.41,"battery_mv":3938,"csq":24,"soil_rs485_status":"ok","cycle_status":"ok","water_level_mm":38.9,"water_4_20ma_status":"ok"}</x:v>
      </x:c>
    </x:row>
    <x:row r="1067">
      <x:c r="A1067" s="72" t="n">
        <x:v>46240.95547453704</x:v>
      </x:c>
      <x:c r="B1067" s="72" t="n">
        <x:v>46240.95548842593</x:v>
      </x:c>
      <x:c r="C1067" s="32" t="str">
        <x:v>P08</x:v>
      </x:c>
      <x:c r="D1067" s="32" t="str">
        <x:v>B2-W0-V2</x:v>
      </x:c>
      <x:c r="E1067" s="32" t="str">
        <x:v>B2</x:v>
      </x:c>
      <x:c r="F1067" s="32" t="str">
        <x:v>W0</x:v>
      </x:c>
      <x:c r="G1067" s="32" t="str">
        <x:v>V2</x:v>
      </x:c>
      <x:c r="H1067" s="32" t="str">
        <x:v>water_soil</x:v>
      </x:c>
      <x:c r="I1067" s="32" t="str">
        <x:v>862323089930708</x:v>
      </x:c>
      <x:c r="J1067" s="82" t="n">
        <x:v>28.7</x:v>
      </x:c>
      <x:c r="K1067" s="82"/>
      <x:c r="L1067" s="82" t="n">
        <x:v>34.3</x:v>
      </x:c>
      <x:c r="M1067" s="82" t="n">
        <x:v>25.2</x:v>
      </x:c>
      <x:c r="N1067" s="86" t="n">
        <x:v>881</x:v>
      </x:c>
      <x:c r="O1067" s="90" t="n">
        <x:v>6.45</x:v>
      </x:c>
      <x:c r="P1067" s="150" t="n">
        <x:v>3.956</x:v>
      </x:c>
      <x:c r="Q1067" s="86" t="n">
        <x:v>17</x:v>
      </x:c>
      <x:c r="R1067" s="32" t="str">
        <x:v>ok</x:v>
      </x:c>
      <x:c r="S1067" s="32"/>
      <x:c r="T1067" s="32" t="str">
        <x:v>ok</x:v>
      </x:c>
      <x:c r="U1067" s="32" t="str">
        <x:v>ok</x:v>
      </x:c>
      <x:c r="V1067" s="32" t="str">
        <x:v>ok</x:v>
      </x:c>
      <x:c r="W1067" s="154" t="str">
        <x:v>{"schema_version":1,"imei":"862323089930708","timestamp":1786028153,"report_sequence":45,"task_version":"rice_w0_water_soil_demo","sensor_mode":"water_soil","soil_moisture_percent":34.3,"soil_temperature_c":25.2,"soil_ec_us_cm":881,"soil_ph":6.45,"battery_mv":3956,"csq":17,"soil_rs485_status":"ok","cycle_status":"ok","water_level_mm":28.7,"water_4_20ma_status":"ok"}</x:v>
      </x:c>
    </x:row>
    <x:row r="1068">
      <x:c r="A1068" s="72" t="n">
        <x:v>46240.95547453704</x:v>
      </x:c>
      <x:c r="B1068" s="72" t="n">
        <x:v>46240.95548842593</x:v>
      </x:c>
      <x:c r="C1068" s="32" t="str">
        <x:v>P09</x:v>
      </x:c>
      <x:c r="D1068" s="32" t="str">
        <x:v>B2-W1-V1</x:v>
      </x:c>
      <x:c r="E1068" s="32" t="str">
        <x:v>B2</x:v>
      </x:c>
      <x:c r="F1068" s="32" t="str">
        <x:v>W1</x:v>
      </x:c>
      <x:c r="G1068" s="32" t="str">
        <x:v>V1</x:v>
      </x:c>
      <x:c r="H1068" s="32" t="str">
        <x:v>tension_soil</x:v>
      </x:c>
      <x:c r="I1068" s="32" t="str">
        <x:v>862323089930709</x:v>
      </x:c>
      <x:c r="J1068" s="82"/>
      <x:c r="K1068" s="82" t="n">
        <x:v>-26.8</x:v>
      </x:c>
      <x:c r="L1068" s="82" t="n">
        <x:v>34.8</x:v>
      </x:c>
      <x:c r="M1068" s="82" t="n">
        <x:v>25</x:v>
      </x:c>
      <x:c r="N1068" s="86" t="n">
        <x:v>884</x:v>
      </x:c>
      <x:c r="O1068" s="90" t="n">
        <x:v>6.5</x:v>
      </x:c>
      <x:c r="P1068" s="150" t="n">
        <x:v>3.974</x:v>
      </x:c>
      <x:c r="Q1068" s="86" t="n">
        <x:v>18</x:v>
      </x:c>
      <x:c r="R1068" s="32"/>
      <x:c r="S1068" s="32" t="str">
        <x:v>ok</x:v>
      </x:c>
      <x:c r="T1068" s="32" t="str">
        <x:v>ok</x:v>
      </x:c>
      <x:c r="U1068" s="32" t="str">
        <x:v>ok</x:v>
      </x:c>
      <x:c r="V1068" s="32" t="str">
        <x:v>ok</x:v>
      </x:c>
      <x:c r="W1068" s="154" t="str">
        <x:v>{"schema_version":1,"imei":"862323089930709","timestamp":1786028153,"report_sequence":45,"task_version":"rice_tension_soil_demo","sensor_mode":"tension_soil","soil_moisture_percent":34.8,"soil_temperature_c":25,"soil_ec_us_cm":884,"soil_ph":6.5,"battery_mv":3974,"csq":18,"soil_rs485_status":"ok","cycle_status":"ok","soil_tension_kpa":-26.8,"soil_tension_rs485_status":"ok"}</x:v>
      </x:c>
    </x:row>
    <x:row r="1069">
      <x:c r="A1069" s="72" t="n">
        <x:v>46240.95547453704</x:v>
      </x:c>
      <x:c r="B1069" s="72" t="n">
        <x:v>46240.95548842593</x:v>
      </x:c>
      <x:c r="C1069" s="32" t="str">
        <x:v>P10</x:v>
      </x:c>
      <x:c r="D1069" s="32" t="str">
        <x:v>B2-W1-V2</x:v>
      </x:c>
      <x:c r="E1069" s="32" t="str">
        <x:v>B2</x:v>
      </x:c>
      <x:c r="F1069" s="32" t="str">
        <x:v>W1</x:v>
      </x:c>
      <x:c r="G1069" s="32" t="str">
        <x:v>V2</x:v>
      </x:c>
      <x:c r="H1069" s="32" t="str">
        <x:v>tension_soil</x:v>
      </x:c>
      <x:c r="I1069" s="32" t="str">
        <x:v>862323089930710</x:v>
      </x:c>
      <x:c r="J1069" s="82"/>
      <x:c r="K1069" s="82" t="n">
        <x:v>-22.3</x:v>
      </x:c>
      <x:c r="L1069" s="82" t="n">
        <x:v>35.3</x:v>
      </x:c>
      <x:c r="M1069" s="82" t="n">
        <x:v>24.9</x:v>
      </x:c>
      <x:c r="N1069" s="86" t="n">
        <x:v>888</x:v>
      </x:c>
      <x:c r="O1069" s="90" t="n">
        <x:v>6.29</x:v>
      </x:c>
      <x:c r="P1069" s="150" t="n">
        <x:v>3.992</x:v>
      </x:c>
      <x:c r="Q1069" s="86" t="n">
        <x:v>19</x:v>
      </x:c>
      <x:c r="R1069" s="32"/>
      <x:c r="S1069" s="32" t="str">
        <x:v>ok</x:v>
      </x:c>
      <x:c r="T1069" s="32" t="str">
        <x:v>ok</x:v>
      </x:c>
      <x:c r="U1069" s="32" t="str">
        <x:v>ok</x:v>
      </x:c>
      <x:c r="V1069" s="32" t="str">
        <x:v>ok</x:v>
      </x:c>
      <x:c r="W1069" s="154" t="str">
        <x:v>{"schema_version":1,"imei":"862323089930710","timestamp":1786028153,"report_sequence":45,"task_version":"rice_tension_soil_demo","sensor_mode":"tension_soil","soil_moisture_percent":35.3,"soil_temperature_c":24.9,"soil_ec_us_cm":888,"soil_ph":6.29,"battery_mv":3992,"csq":19,"soil_rs485_status":"ok","cycle_status":"ok","soil_tension_kpa":-22.3,"soil_tension_rs485_status":"ok"}</x:v>
      </x:c>
    </x:row>
    <x:row r="1070">
      <x:c r="A1070" s="72" t="n">
        <x:v>46240.95547453704</x:v>
      </x:c>
      <x:c r="B1070" s="72" t="n">
        <x:v>46240.95548842593</x:v>
      </x:c>
      <x:c r="C1070" s="32" t="str">
        <x:v>P11</x:v>
      </x:c>
      <x:c r="D1070" s="32" t="str">
        <x:v>B2-W2-V1</x:v>
      </x:c>
      <x:c r="E1070" s="32" t="str">
        <x:v>B2</x:v>
      </x:c>
      <x:c r="F1070" s="32" t="str">
        <x:v>W2</x:v>
      </x:c>
      <x:c r="G1070" s="32" t="str">
        <x:v>V1</x:v>
      </x:c>
      <x:c r="H1070" s="32" t="str">
        <x:v>tension_soil</x:v>
      </x:c>
      <x:c r="I1070" s="32" t="str">
        <x:v>862323089930711</x:v>
      </x:c>
      <x:c r="J1070" s="82"/>
      <x:c r="K1070" s="82" t="n">
        <x:v>-33.9</x:v>
      </x:c>
      <x:c r="L1070" s="82" t="n">
        <x:v>35.9</x:v>
      </x:c>
      <x:c r="M1070" s="82" t="n">
        <x:v>24.8</x:v>
      </x:c>
      <x:c r="N1070" s="86" t="n">
        <x:v>892</x:v>
      </x:c>
      <x:c r="O1070" s="90" t="n">
        <x:v>6.33</x:v>
      </x:c>
      <x:c r="P1070" s="150" t="n">
        <x:v>4.01</x:v>
      </x:c>
      <x:c r="Q1070" s="86" t="n">
        <x:v>20</x:v>
      </x:c>
      <x:c r="R1070" s="32"/>
      <x:c r="S1070" s="32" t="str">
        <x:v>ok</x:v>
      </x:c>
      <x:c r="T1070" s="32" t="str">
        <x:v>ok</x:v>
      </x:c>
      <x:c r="U1070" s="32" t="str">
        <x:v>ok</x:v>
      </x:c>
      <x:c r="V1070" s="32" t="str">
        <x:v>ok</x:v>
      </x:c>
      <x:c r="W1070" s="154" t="str">
        <x:v>{"schema_version":1,"imei":"862323089930711","timestamp":1786028153,"report_sequence":45,"task_version":"rice_tension_soil_demo","sensor_mode":"tension_soil","soil_moisture_percent":35.9,"soil_temperature_c":24.8,"soil_ec_us_cm":892,"soil_ph":6.33,"battery_mv":4010,"csq":20,"soil_rs485_status":"ok","cycle_status":"ok","soil_tension_kpa":-33.9,"soil_tension_rs485_status":"ok"}</x:v>
      </x:c>
    </x:row>
    <x:row r="1071">
      <x:c r="A1071" s="72" t="n">
        <x:v>46240.95547453704</x:v>
      </x:c>
      <x:c r="B1071" s="72" t="n">
        <x:v>46240.95548842593</x:v>
      </x:c>
      <x:c r="C1071" s="32" t="str">
        <x:v>P12</x:v>
      </x:c>
      <x:c r="D1071" s="32" t="str">
        <x:v>B2-W2-V2</x:v>
      </x:c>
      <x:c r="E1071" s="32" t="str">
        <x:v>B2</x:v>
      </x:c>
      <x:c r="F1071" s="32" t="str">
        <x:v>W2</x:v>
      </x:c>
      <x:c r="G1071" s="32" t="str">
        <x:v>V2</x:v>
      </x:c>
      <x:c r="H1071" s="32" t="str">
        <x:v>tension_soil</x:v>
      </x:c>
      <x:c r="I1071" s="32" t="str">
        <x:v>862323089930712</x:v>
      </x:c>
      <x:c r="J1071" s="82"/>
      <x:c r="K1071" s="82" t="n">
        <x:v>-34.5</x:v>
      </x:c>
      <x:c r="L1071" s="82" t="n">
        <x:v>36.5</x:v>
      </x:c>
      <x:c r="M1071" s="82" t="n">
        <x:v>24.7</x:v>
      </x:c>
      <x:c r="N1071" s="86" t="n">
        <x:v>898</x:v>
      </x:c>
      <x:c r="O1071" s="90" t="n">
        <x:v>6.38</x:v>
      </x:c>
      <x:c r="P1071" s="150" t="n">
        <x:v>3.92</x:v>
      </x:c>
      <x:c r="Q1071" s="86" t="n">
        <x:v>21</x:v>
      </x:c>
      <x:c r="R1071" s="32"/>
      <x:c r="S1071" s="32" t="str">
        <x:v>ok</x:v>
      </x:c>
      <x:c r="T1071" s="32" t="str">
        <x:v>ok</x:v>
      </x:c>
      <x:c r="U1071" s="32" t="str">
        <x:v>ok</x:v>
      </x:c>
      <x:c r="V1071" s="32" t="str">
        <x:v>ok</x:v>
      </x:c>
      <x:c r="W1071" s="154" t="str">
        <x:v>{"schema_version":1,"imei":"862323089930712","timestamp":1786028153,"report_sequence":45,"task_version":"rice_tension_soil_demo","sensor_mode":"tension_soil","soil_moisture_percent":36.5,"soil_temperature_c":24.7,"soil_ec_us_cm":898,"soil_ph":6.38,"battery_mv":3920,"csq":21,"soil_rs485_status":"ok","cycle_status":"ok","soil_tension_kpa":-34.5,"soil_tension_rs485_status":"ok"}</x:v>
      </x:c>
    </x:row>
    <x:row r="1072">
      <x:c r="A1072" s="72" t="n">
        <x:v>46240.95547453704</x:v>
      </x:c>
      <x:c r="B1072" s="72" t="n">
        <x:v>46240.95548842593</x:v>
      </x:c>
      <x:c r="C1072" s="32" t="str">
        <x:v>P13</x:v>
      </x:c>
      <x:c r="D1072" s="32" t="str">
        <x:v>B3-W0-V1</x:v>
      </x:c>
      <x:c r="E1072" s="32" t="str">
        <x:v>B3</x:v>
      </x:c>
      <x:c r="F1072" s="32" t="str">
        <x:v>W0</x:v>
      </x:c>
      <x:c r="G1072" s="32" t="str">
        <x:v>V1</x:v>
      </x:c>
      <x:c r="H1072" s="32" t="str">
        <x:v>water_soil</x:v>
      </x:c>
      <x:c r="I1072" s="32" t="str">
        <x:v>862323089930713</x:v>
      </x:c>
      <x:c r="J1072" s="82" t="n">
        <x:v>26.5</x:v>
      </x:c>
      <x:c r="K1072" s="82"/>
      <x:c r="L1072" s="82" t="n">
        <x:v>37.2</x:v>
      </x:c>
      <x:c r="M1072" s="82" t="n">
        <x:v>24.7</x:v>
      </x:c>
      <x:c r="N1072" s="86" t="n">
        <x:v>905</x:v>
      </x:c>
      <x:c r="O1072" s="90" t="n">
        <x:v>6.42</x:v>
      </x:c>
      <x:c r="P1072" s="150" t="n">
        <x:v>3.938</x:v>
      </x:c>
      <x:c r="Q1072" s="86" t="n">
        <x:v>22</x:v>
      </x:c>
      <x:c r="R1072" s="32" t="str">
        <x:v>ok</x:v>
      </x:c>
      <x:c r="S1072" s="32"/>
      <x:c r="T1072" s="32" t="str">
        <x:v>ok</x:v>
      </x:c>
      <x:c r="U1072" s="32" t="str">
        <x:v>ok</x:v>
      </x:c>
      <x:c r="V1072" s="32" t="str">
        <x:v>ok</x:v>
      </x:c>
      <x:c r="W1072" s="154" t="str">
        <x:v>{"schema_version":1,"imei":"862323089930713","timestamp":1786028153,"report_sequence":45,"task_version":"rice_w0_water_soil_demo","sensor_mode":"water_soil","soil_moisture_percent":37.2,"soil_temperature_c":24.7,"soil_ec_us_cm":905,"soil_ph":6.42,"battery_mv":3938,"csq":22,"soil_rs485_status":"ok","cycle_status":"ok","water_level_mm":26.5,"water_4_20ma_status":"ok"}</x:v>
      </x:c>
    </x:row>
    <x:row r="1073">
      <x:c r="A1073" s="72" t="n">
        <x:v>46240.95547453704</x:v>
      </x:c>
      <x:c r="B1073" s="72" t="n">
        <x:v>46240.95548842593</x:v>
      </x:c>
      <x:c r="C1073" s="32" t="str">
        <x:v>P14</x:v>
      </x:c>
      <x:c r="D1073" s="32" t="str">
        <x:v>B3-W0-V2</x:v>
      </x:c>
      <x:c r="E1073" s="32" t="str">
        <x:v>B3</x:v>
      </x:c>
      <x:c r="F1073" s="32" t="str">
        <x:v>W0</x:v>
      </x:c>
      <x:c r="G1073" s="32" t="str">
        <x:v>V2</x:v>
      </x:c>
      <x:c r="H1073" s="32" t="str">
        <x:v>water_soil</x:v>
      </x:c>
      <x:c r="I1073" s="32" t="str">
        <x:v>862323089930714</x:v>
      </x:c>
      <x:c r="J1073" s="82" t="n">
        <x:v>29.1</x:v>
      </x:c>
      <x:c r="K1073" s="82"/>
      <x:c r="L1073" s="82" t="n">
        <x:v>38</x:v>
      </x:c>
      <x:c r="M1073" s="82" t="n">
        <x:v>24.6</x:v>
      </x:c>
      <x:c r="N1073" s="86" t="n">
        <x:v>914</x:v>
      </x:c>
      <x:c r="O1073" s="90" t="n">
        <x:v>6.47</x:v>
      </x:c>
      <x:c r="P1073" s="150" t="n">
        <x:v>3.956</x:v>
      </x:c>
      <x:c r="Q1073" s="86" t="n">
        <x:v>23</x:v>
      </x:c>
      <x:c r="R1073" s="32" t="str">
        <x:v>ok</x:v>
      </x:c>
      <x:c r="S1073" s="32"/>
      <x:c r="T1073" s="32" t="str">
        <x:v>ok</x:v>
      </x:c>
      <x:c r="U1073" s="32" t="str">
        <x:v>ok</x:v>
      </x:c>
      <x:c r="V1073" s="32" t="str">
        <x:v>ok</x:v>
      </x:c>
      <x:c r="W1073" s="154" t="str">
        <x:v>{"schema_version":1,"imei":"862323089930714","timestamp":1786028153,"report_sequence":45,"task_version":"rice_w0_water_soil_demo","sensor_mode":"water_soil","soil_moisture_percent":38,"soil_temperature_c":24.6,"soil_ec_us_cm":914,"soil_ph":6.47,"battery_mv":3956,"csq":23,"soil_rs485_status":"ok","cycle_status":"ok","water_level_mm":29.1,"water_4_20ma_status":"ok"}</x:v>
      </x:c>
    </x:row>
    <x:row r="1074">
      <x:c r="A1074" s="72" t="n">
        <x:v>46240.95547453704</x:v>
      </x:c>
      <x:c r="B1074" s="72" t="n">
        <x:v>46240.95548842593</x:v>
      </x:c>
      <x:c r="C1074" s="32" t="str">
        <x:v>P15</x:v>
      </x:c>
      <x:c r="D1074" s="32" t="str">
        <x:v>B3-W1-V1</x:v>
      </x:c>
      <x:c r="E1074" s="32" t="str">
        <x:v>B3</x:v>
      </x:c>
      <x:c r="F1074" s="32" t="str">
        <x:v>W1</x:v>
      </x:c>
      <x:c r="G1074" s="32" t="str">
        <x:v>V1</x:v>
      </x:c>
      <x:c r="H1074" s="32" t="str">
        <x:v>tension_soil</x:v>
      </x:c>
      <x:c r="I1074" s="32" t="str">
        <x:v>862323089930715</x:v>
      </x:c>
      <x:c r="J1074" s="82"/>
      <x:c r="K1074" s="82" t="n">
        <x:v>-21</x:v>
      </x:c>
      <x:c r="L1074" s="82" t="n">
        <x:v>39</x:v>
      </x:c>
      <x:c r="M1074" s="82" t="n">
        <x:v>24.6</x:v>
      </x:c>
      <x:c r="N1074" s="86" t="n">
        <x:v>925</x:v>
      </x:c>
      <x:c r="O1074" s="90" t="n">
        <x:v>6.27</x:v>
      </x:c>
      <x:c r="P1074" s="150" t="n">
        <x:v>3.974</x:v>
      </x:c>
      <x:c r="Q1074" s="86" t="n">
        <x:v>24</x:v>
      </x:c>
      <x:c r="R1074" s="32"/>
      <x:c r="S1074" s="32" t="str">
        <x:v>ok</x:v>
      </x:c>
      <x:c r="T1074" s="32" t="str">
        <x:v>ok</x:v>
      </x:c>
      <x:c r="U1074" s="32" t="str">
        <x:v>ok</x:v>
      </x:c>
      <x:c r="V1074" s="32" t="str">
        <x:v>ok</x:v>
      </x:c>
      <x:c r="W1074" s="154" t="str">
        <x:v>{"schema_version":1,"imei":"862323089930715","timestamp":1786028153,"report_sequence":45,"task_version":"rice_tension_soil_demo","sensor_mode":"tension_soil","soil_moisture_percent":39,"soil_temperature_c":24.6,"soil_ec_us_cm":925,"soil_ph":6.27,"battery_mv":3974,"csq":24,"soil_rs485_status":"ok","cycle_status":"ok","soil_tension_kpa":-21,"soil_tension_rs485_status":"ok"}</x:v>
      </x:c>
    </x:row>
    <x:row r="1075">
      <x:c r="A1075" s="72" t="n">
        <x:v>46240.95547453704</x:v>
      </x:c>
      <x:c r="B1075" s="72" t="n">
        <x:v>46240.95548842593</x:v>
      </x:c>
      <x:c r="C1075" s="32" t="str">
        <x:v>P16</x:v>
      </x:c>
      <x:c r="D1075" s="32" t="str">
        <x:v>B3-W1-V2</x:v>
      </x:c>
      <x:c r="E1075" s="32" t="str">
        <x:v>B3</x:v>
      </x:c>
      <x:c r="F1075" s="32" t="str">
        <x:v>W1</x:v>
      </x:c>
      <x:c r="G1075" s="32" t="str">
        <x:v>V2</x:v>
      </x:c>
      <x:c r="H1075" s="32" t="str">
        <x:v>tension_soil</x:v>
      </x:c>
      <x:c r="I1075" s="32" t="str">
        <x:v>862323089930716</x:v>
      </x:c>
      <x:c r="J1075" s="82"/>
      <x:c r="K1075" s="82" t="n">
        <x:v>-22.1</x:v>
      </x:c>
      <x:c r="L1075" s="82" t="n">
        <x:v>32.1</x:v>
      </x:c>
      <x:c r="M1075" s="82" t="n">
        <x:v>24.6</x:v>
      </x:c>
      <x:c r="N1075" s="86" t="n">
        <x:v>938</x:v>
      </x:c>
      <x:c r="O1075" s="90" t="n">
        <x:v>6.32</x:v>
      </x:c>
      <x:c r="P1075" s="150" t="n">
        <x:v>3.992</x:v>
      </x:c>
      <x:c r="Q1075" s="86" t="n">
        <x:v>17</x:v>
      </x:c>
      <x:c r="R1075" s="32"/>
      <x:c r="S1075" s="32" t="str">
        <x:v>ok</x:v>
      </x:c>
      <x:c r="T1075" s="32" t="str">
        <x:v>ok</x:v>
      </x:c>
      <x:c r="U1075" s="32" t="str">
        <x:v>ok</x:v>
      </x:c>
      <x:c r="V1075" s="32" t="str">
        <x:v>ok</x:v>
      </x:c>
      <x:c r="W1075" s="154" t="str">
        <x:v>{"schema_version":1,"imei":"862323089930716","timestamp":1786028153,"report_sequence":45,"task_version":"rice_tension_soil_demo","sensor_mode":"tension_soil","soil_moisture_percent":32.1,"soil_temperature_c":24.6,"soil_ec_us_cm":938,"soil_ph":6.32,"battery_mv":3992,"csq":17,"soil_rs485_status":"ok","cycle_status":"ok","soil_tension_kpa":-22.1,"soil_tension_rs485_status":"ok"}</x:v>
      </x:c>
    </x:row>
    <x:row r="1076">
      <x:c r="A1076" s="72" t="n">
        <x:v>46240.95547453704</x:v>
      </x:c>
      <x:c r="B1076" s="72" t="n">
        <x:v>46240.95548842593</x:v>
      </x:c>
      <x:c r="C1076" s="32" t="str">
        <x:v>P17</x:v>
      </x:c>
      <x:c r="D1076" s="32" t="str">
        <x:v>B3-W2-V1</x:v>
      </x:c>
      <x:c r="E1076" s="32" t="str">
        <x:v>B3</x:v>
      </x:c>
      <x:c r="F1076" s="32" t="str">
        <x:v>W2</x:v>
      </x:c>
      <x:c r="G1076" s="32" t="str">
        <x:v>V1</x:v>
      </x:c>
      <x:c r="H1076" s="32" t="str">
        <x:v>tension_soil</x:v>
      </x:c>
      <x:c r="I1076" s="32" t="str">
        <x:v>862323089930717</x:v>
      </x:c>
      <x:c r="J1076" s="82"/>
      <x:c r="K1076" s="82" t="n">
        <x:v>-34.3</x:v>
      </x:c>
      <x:c r="L1076" s="82" t="n">
        <x:v>33.3</x:v>
      </x:c>
      <x:c r="M1076" s="82" t="n">
        <x:v>24.7</x:v>
      </x:c>
      <x:c r="N1076" s="86" t="n">
        <x:v>954</x:v>
      </x:c>
      <x:c r="O1076" s="90" t="n">
        <x:v>6.37</x:v>
      </x:c>
      <x:c r="P1076" s="150" t="n">
        <x:v>4.01</x:v>
      </x:c>
      <x:c r="Q1076" s="86" t="n">
        <x:v>18</x:v>
      </x:c>
      <x:c r="R1076" s="32"/>
      <x:c r="S1076" s="32" t="str">
        <x:v>ok</x:v>
      </x:c>
      <x:c r="T1076" s="32" t="str">
        <x:v>ok</x:v>
      </x:c>
      <x:c r="U1076" s="32" t="str">
        <x:v>ok</x:v>
      </x:c>
      <x:c r="V1076" s="32" t="str">
        <x:v>ok</x:v>
      </x:c>
      <x:c r="W1076" s="154" t="str">
        <x:v>{"schema_version":1,"imei":"862323089930717","timestamp":1786028153,"report_sequence":45,"task_version":"rice_tension_soil_demo","sensor_mode":"tension_soil","soil_moisture_percent":33.3,"soil_temperature_c":24.7,"soil_ec_us_cm":954,"soil_ph":6.37,"battery_mv":4010,"csq":18,"soil_rs485_status":"ok","cycle_status":"ok","soil_tension_kpa":-34.3,"soil_tension_rs485_status":"ok"}</x:v>
      </x:c>
    </x:row>
    <x:row r="1077">
      <x:c r="A1077" s="72" t="n">
        <x:v>46240.95547453704</x:v>
      </x:c>
      <x:c r="B1077" s="72" t="n">
        <x:v>46240.95548842593</x:v>
      </x:c>
      <x:c r="C1077" s="32" t="str">
        <x:v>P18</x:v>
      </x:c>
      <x:c r="D1077" s="32" t="str">
        <x:v>B3-W2-V2</x:v>
      </x:c>
      <x:c r="E1077" s="32" t="str">
        <x:v>B3</x:v>
      </x:c>
      <x:c r="F1077" s="32" t="str">
        <x:v>W2</x:v>
      </x:c>
      <x:c r="G1077" s="32" t="str">
        <x:v>V2</x:v>
      </x:c>
      <x:c r="H1077" s="32" t="str">
        <x:v>tension_soil</x:v>
      </x:c>
      <x:c r="I1077" s="32" t="str">
        <x:v>862323089930718</x:v>
      </x:c>
      <x:c r="J1077" s="82"/>
      <x:c r="K1077" s="82" t="n">
        <x:v>-35.6</x:v>
      </x:c>
      <x:c r="L1077" s="82" t="n">
        <x:v>34.6</x:v>
      </x:c>
      <x:c r="M1077" s="82" t="n">
        <x:v>24.7</x:v>
      </x:c>
      <x:c r="N1077" s="86" t="n">
        <x:v>971</x:v>
      </x:c>
      <x:c r="O1077" s="90" t="n">
        <x:v>6.43</x:v>
      </x:c>
      <x:c r="P1077" s="150" t="n">
        <x:v>3.92</x:v>
      </x:c>
      <x:c r="Q1077" s="86" t="n">
        <x:v>19</x:v>
      </x:c>
      <x:c r="R1077" s="32"/>
      <x:c r="S1077" s="32" t="str">
        <x:v>ok</x:v>
      </x:c>
      <x:c r="T1077" s="32" t="str">
        <x:v>ok</x:v>
      </x:c>
      <x:c r="U1077" s="32" t="str">
        <x:v>ok</x:v>
      </x:c>
      <x:c r="V1077" s="32" t="str">
        <x:v>ok</x:v>
      </x:c>
      <x:c r="W1077" s="154" t="str">
        <x:v>{"schema_version":1,"imei":"862323089930718","timestamp":1786028153,"report_sequence":45,"task_version":"rice_tension_soil_demo","sensor_mode":"tension_soil","soil_moisture_percent":34.6,"soil_temperature_c":24.7,"soil_ec_us_cm":971,"soil_ph":6.43,"battery_mv":3920,"csq":19,"soil_rs485_status":"ok","cycle_status":"ok","soil_tension_kpa":-35.6,"soil_tension_rs485_status":"ok"}</x:v>
      </x:c>
    </x:row>
    <x:row r="1078">
      <x:c r="A1078" s="72" t="n">
        <x:v>46240.95547453704</x:v>
      </x:c>
      <x:c r="B1078" s="72" t="n">
        <x:v>46240.95548842593</x:v>
      </x:c>
      <x:c r="C1078" s="32" t="str">
        <x:v>P19</x:v>
      </x:c>
      <x:c r="D1078" s="32" t="str">
        <x:v>B4-W0-V1</x:v>
      </x:c>
      <x:c r="E1078" s="32" t="str">
        <x:v>B4</x:v>
      </x:c>
      <x:c r="F1078" s="32" t="str">
        <x:v>W0</x:v>
      </x:c>
      <x:c r="G1078" s="32" t="str">
        <x:v>V1</x:v>
      </x:c>
      <x:c r="H1078" s="32" t="str">
        <x:v>water_soil</x:v>
      </x:c>
      <x:c r="I1078" s="32" t="str">
        <x:v>862323089930719</x:v>
      </x:c>
      <x:c r="J1078" s="82" t="n">
        <x:v>34.5</x:v>
      </x:c>
      <x:c r="K1078" s="82"/>
      <x:c r="L1078" s="82" t="n">
        <x:v>36</x:v>
      </x:c>
      <x:c r="M1078" s="82" t="n">
        <x:v>24.8</x:v>
      </x:c>
      <x:c r="N1078" s="86" t="n">
        <x:v>990</x:v>
      </x:c>
      <x:c r="O1078" s="90" t="n">
        <x:v>6.48</x:v>
      </x:c>
      <x:c r="P1078" s="150" t="n">
        <x:v>3.938</x:v>
      </x:c>
      <x:c r="Q1078" s="86" t="n">
        <x:v>20</x:v>
      </x:c>
      <x:c r="R1078" s="32" t="str">
        <x:v>ok</x:v>
      </x:c>
      <x:c r="S1078" s="32"/>
      <x:c r="T1078" s="32" t="str">
        <x:v>ok</x:v>
      </x:c>
      <x:c r="U1078" s="32" t="str">
        <x:v>ok</x:v>
      </x:c>
      <x:c r="V1078" s="32" t="str">
        <x:v>ok</x:v>
      </x:c>
      <x:c r="W1078" s="154" t="str">
        <x:v>{"schema_version":1,"imei":"862323089930719","timestamp":1786028153,"report_sequence":45,"task_version":"rice_w0_water_soil_demo","sensor_mode":"water_soil","soil_moisture_percent":36,"soil_temperature_c":24.8,"soil_ec_us_cm":990,"soil_ph":6.48,"battery_mv":3938,"csq":20,"soil_rs485_status":"ok","cycle_status":"ok","water_level_mm":34.5,"water_4_20ma_status":"ok"}</x:v>
      </x:c>
    </x:row>
    <x:row r="1079">
      <x:c r="A1079" s="72" t="n">
        <x:v>46240.95547453704</x:v>
      </x:c>
      <x:c r="B1079" s="72" t="n">
        <x:v>46240.95548842593</x:v>
      </x:c>
      <x:c r="C1079" s="32" t="str">
        <x:v>P20</x:v>
      </x:c>
      <x:c r="D1079" s="32" t="str">
        <x:v>B4-W0-V2</x:v>
      </x:c>
      <x:c r="E1079" s="32" t="str">
        <x:v>B4</x:v>
      </x:c>
      <x:c r="F1079" s="32" t="str">
        <x:v>W0</x:v>
      </x:c>
      <x:c r="G1079" s="32" t="str">
        <x:v>V2</x:v>
      </x:c>
      <x:c r="H1079" s="32" t="str">
        <x:v>water_soil</x:v>
      </x:c>
      <x:c r="I1079" s="32" t="str">
        <x:v>862323089930720</x:v>
      </x:c>
      <x:c r="J1079" s="82" t="n">
        <x:v>26.6</x:v>
      </x:c>
      <x:c r="K1079" s="82"/>
      <x:c r="L1079" s="82" t="n">
        <x:v>37.4</x:v>
      </x:c>
      <x:c r="M1079" s="82" t="n">
        <x:v>25</x:v>
      </x:c>
      <x:c r="N1079" s="86" t="n">
        <x:v>1010</x:v>
      </x:c>
      <x:c r="O1079" s="90" t="n">
        <x:v>6.29</x:v>
      </x:c>
      <x:c r="P1079" s="150" t="n">
        <x:v>3.956</x:v>
      </x:c>
      <x:c r="Q1079" s="86" t="n">
        <x:v>21</x:v>
      </x:c>
      <x:c r="R1079" s="32" t="str">
        <x:v>ok</x:v>
      </x:c>
      <x:c r="S1079" s="32"/>
      <x:c r="T1079" s="32" t="str">
        <x:v>ok</x:v>
      </x:c>
      <x:c r="U1079" s="32" t="str">
        <x:v>ok</x:v>
      </x:c>
      <x:c r="V1079" s="32" t="str">
        <x:v>ok</x:v>
      </x:c>
      <x:c r="W1079" s="154" t="str">
        <x:v>{"schema_version":1,"imei":"862323089930720","timestamp":1786028153,"report_sequence":45,"task_version":"rice_w0_water_soil_demo","sensor_mode":"water_soil","soil_moisture_percent":37.4,"soil_temperature_c":25,"soil_ec_us_cm":1010,"soil_ph":6.29,"battery_mv":3956,"csq":21,"soil_rs485_status":"ok","cycle_status":"ok","water_level_mm":26.6,"water_4_20ma_status":"ok"}</x:v>
      </x:c>
    </x:row>
    <x:row r="1080">
      <x:c r="A1080" s="72" t="n">
        <x:v>46240.95547453704</x:v>
      </x:c>
      <x:c r="B1080" s="72" t="n">
        <x:v>46240.95548842593</x:v>
      </x:c>
      <x:c r="C1080" s="32" t="str">
        <x:v>P21</x:v>
      </x:c>
      <x:c r="D1080" s="32" t="str">
        <x:v>B4-W1-V1</x:v>
      </x:c>
      <x:c r="E1080" s="32" t="str">
        <x:v>B4</x:v>
      </x:c>
      <x:c r="F1080" s="32" t="str">
        <x:v>W1</x:v>
      </x:c>
      <x:c r="G1080" s="32" t="str">
        <x:v>V1</x:v>
      </x:c>
      <x:c r="H1080" s="32" t="str">
        <x:v>tension_soil</x:v>
      </x:c>
      <x:c r="I1080" s="32" t="str">
        <x:v>862323089930721</x:v>
      </x:c>
      <x:c r="J1080" s="82"/>
      <x:c r="K1080" s="82" t="n">
        <x:v>-23.9</x:v>
      </x:c>
      <x:c r="L1080" s="82" t="n">
        <x:v>38.9</x:v>
      </x:c>
      <x:c r="M1080" s="82" t="n">
        <x:v>25.1</x:v>
      </x:c>
      <x:c r="N1080" s="86" t="n">
        <x:v>1031</x:v>
      </x:c>
      <x:c r="O1080" s="90" t="n">
        <x:v>6.35</x:v>
      </x:c>
      <x:c r="P1080" s="150" t="n">
        <x:v>3.974</x:v>
      </x:c>
      <x:c r="Q1080" s="86" t="n">
        <x:v>22</x:v>
      </x:c>
      <x:c r="R1080" s="32"/>
      <x:c r="S1080" s="32" t="str">
        <x:v>ok</x:v>
      </x:c>
      <x:c r="T1080" s="32" t="str">
        <x:v>ok</x:v>
      </x:c>
      <x:c r="U1080" s="32" t="str">
        <x:v>ok</x:v>
      </x:c>
      <x:c r="V1080" s="32" t="str">
        <x:v>ok</x:v>
      </x:c>
      <x:c r="W1080" s="154" t="str">
        <x:v>{"schema_version":1,"imei":"862323089930721","timestamp":1786028153,"report_sequence":45,"task_version":"rice_tension_soil_demo","sensor_mode":"tension_soil","soil_moisture_percent":38.9,"soil_temperature_c":25.1,"soil_ec_us_cm":1031,"soil_ph":6.35,"battery_mv":3974,"csq":22,"soil_rs485_status":"ok","cycle_status":"ok","soil_tension_kpa":-23.9,"soil_tension_rs485_status":"ok"}</x:v>
      </x:c>
    </x:row>
    <x:row r="1081">
      <x:c r="A1081" s="72" t="n">
        <x:v>46240.95547453704</x:v>
      </x:c>
      <x:c r="B1081" s="72" t="n">
        <x:v>46240.95548842593</x:v>
      </x:c>
      <x:c r="C1081" s="32" t="str">
        <x:v>P22</x:v>
      </x:c>
      <x:c r="D1081" s="32" t="str">
        <x:v>B4-W1-V2</x:v>
      </x:c>
      <x:c r="E1081" s="32" t="str">
        <x:v>B4</x:v>
      </x:c>
      <x:c r="F1081" s="32" t="str">
        <x:v>W1</x:v>
      </x:c>
      <x:c r="G1081" s="32" t="str">
        <x:v>V2</x:v>
      </x:c>
      <x:c r="H1081" s="32" t="str">
        <x:v>tension_soil</x:v>
      </x:c>
      <x:c r="I1081" s="32" t="str">
        <x:v>862323089930722</x:v>
      </x:c>
      <x:c r="J1081" s="82"/>
      <x:c r="K1081" s="82" t="n">
        <x:v>-25.4</x:v>
      </x:c>
      <x:c r="L1081" s="82" t="n">
        <x:v>40.4</x:v>
      </x:c>
      <x:c r="M1081" s="82" t="n">
        <x:v>25.2</x:v>
      </x:c>
      <x:c r="N1081" s="86" t="n">
        <x:v>1052</x:v>
      </x:c>
      <x:c r="O1081" s="90" t="n">
        <x:v>6.41</x:v>
      </x:c>
      <x:c r="P1081" s="150" t="n">
        <x:v>3.992</x:v>
      </x:c>
      <x:c r="Q1081" s="86" t="n">
        <x:v>23</x:v>
      </x:c>
      <x:c r="R1081" s="32"/>
      <x:c r="S1081" s="32" t="str">
        <x:v>ok</x:v>
      </x:c>
      <x:c r="T1081" s="32" t="str">
        <x:v>ok</x:v>
      </x:c>
      <x:c r="U1081" s="32" t="str">
        <x:v>ok</x:v>
      </x:c>
      <x:c r="V1081" s="32" t="str">
        <x:v>ok</x:v>
      </x:c>
      <x:c r="W1081" s="154" t="str">
        <x:v>{"schema_version":1,"imei":"862323089930722","timestamp":1786028153,"report_sequence":45,"task_version":"rice_tension_soil_demo","sensor_mode":"tension_soil","soil_moisture_percent":40.4,"soil_temperature_c":25.2,"soil_ec_us_cm":1052,"soil_ph":6.41,"battery_mv":3992,"csq":23,"soil_rs485_status":"ok","cycle_status":"ok","soil_tension_kpa":-25.4,"soil_tension_rs485_status":"ok"}</x:v>
      </x:c>
    </x:row>
    <x:row r="1082">
      <x:c r="A1082" s="72" t="n">
        <x:v>46240.95547453704</x:v>
      </x:c>
      <x:c r="B1082" s="72" t="n">
        <x:v>46240.95548842593</x:v>
      </x:c>
      <x:c r="C1082" s="32" t="str">
        <x:v>P23</x:v>
      </x:c>
      <x:c r="D1082" s="32" t="str">
        <x:v>B4-W2-V1</x:v>
      </x:c>
      <x:c r="E1082" s="32" t="str">
        <x:v>B4</x:v>
      </x:c>
      <x:c r="F1082" s="32" t="str">
        <x:v>W2</x:v>
      </x:c>
      <x:c r="G1082" s="32" t="str">
        <x:v>V1</x:v>
      </x:c>
      <x:c r="H1082" s="32" t="str">
        <x:v>tension_soil</x:v>
      </x:c>
      <x:c r="I1082" s="32" t="str">
        <x:v>862323089930723</x:v>
      </x:c>
      <x:c r="J1082" s="82"/>
      <x:c r="K1082" s="82" t="n">
        <x:v>-37.9</x:v>
      </x:c>
      <x:c r="L1082" s="82" t="n">
        <x:v>41.9</x:v>
      </x:c>
      <x:c r="M1082" s="82" t="n">
        <x:v>25.3</x:v>
      </x:c>
      <x:c r="N1082" s="86" t="n">
        <x:v>1072</x:v>
      </x:c>
      <x:c r="O1082" s="90" t="n">
        <x:v>6.46</x:v>
      </x:c>
      <x:c r="P1082" s="150" t="n">
        <x:v>4.01</x:v>
      </x:c>
      <x:c r="Q1082" s="86" t="n">
        <x:v>24</x:v>
      </x:c>
      <x:c r="R1082" s="32"/>
      <x:c r="S1082" s="32" t="str">
        <x:v>ok</x:v>
      </x:c>
      <x:c r="T1082" s="32" t="str">
        <x:v>ok</x:v>
      </x:c>
      <x:c r="U1082" s="32" t="str">
        <x:v>ok</x:v>
      </x:c>
      <x:c r="V1082" s="32" t="str">
        <x:v>ok</x:v>
      </x:c>
      <x:c r="W1082" s="154" t="str">
        <x:v>{"schema_version":1,"imei":"862323089930723","timestamp":1786028153,"report_sequence":45,"task_version":"rice_tension_soil_demo","sensor_mode":"tension_soil","soil_moisture_percent":41.9,"soil_temperature_c":25.3,"soil_ec_us_cm":1072,"soil_ph":6.46,"battery_mv":4010,"csq":24,"soil_rs485_status":"ok","cycle_status":"ok","soil_tension_kpa":-37.9,"soil_tension_rs485_status":"ok"}</x:v>
      </x:c>
    </x:row>
    <x:row r="1083">
      <x:c r="A1083" s="72" t="n">
        <x:v>46240.95547453704</x:v>
      </x:c>
      <x:c r="B1083" s="72" t="n">
        <x:v>46240.95548842593</x:v>
      </x:c>
      <x:c r="C1083" s="32" t="str">
        <x:v>P24</x:v>
      </x:c>
      <x:c r="D1083" s="32" t="str">
        <x:v>B4-W2-V2</x:v>
      </x:c>
      <x:c r="E1083" s="32" t="str">
        <x:v>B4</x:v>
      </x:c>
      <x:c r="F1083" s="32" t="str">
        <x:v>W2</x:v>
      </x:c>
      <x:c r="G1083" s="32" t="str">
        <x:v>V2</x:v>
      </x:c>
      <x:c r="H1083" s="32" t="str">
        <x:v>tension_soil</x:v>
      </x:c>
      <x:c r="I1083" s="32" t="str">
        <x:v>862323089930724</x:v>
      </x:c>
      <x:c r="J1083" s="82"/>
      <x:c r="K1083" s="82" t="n">
        <x:v>-39.3</x:v>
      </x:c>
      <x:c r="L1083" s="82" t="n">
        <x:v>35.3</x:v>
      </x:c>
      <x:c r="M1083" s="82" t="n">
        <x:v>25.4</x:v>
      </x:c>
      <x:c r="N1083" s="86" t="n">
        <x:v>1091</x:v>
      </x:c>
      <x:c r="O1083" s="90" t="n">
        <x:v>6.52</x:v>
      </x:c>
      <x:c r="P1083" s="150" t="n">
        <x:v>3.92</x:v>
      </x:c>
      <x:c r="Q1083" s="86" t="n">
        <x:v>17</x:v>
      </x:c>
      <x:c r="R1083" s="32"/>
      <x:c r="S1083" s="32" t="str">
        <x:v>ok</x:v>
      </x:c>
      <x:c r="T1083" s="32" t="str">
        <x:v>ok</x:v>
      </x:c>
      <x:c r="U1083" s="32" t="str">
        <x:v>ok</x:v>
      </x:c>
      <x:c r="V1083" s="32" t="str">
        <x:v>ok</x:v>
      </x:c>
      <x:c r="W1083" s="154" t="str">
        <x:v>{"schema_version":1,"imei":"862323089930724","timestamp":1786028153,"report_sequence":45,"task_version":"rice_tension_soil_demo","sensor_mode":"tension_soil","soil_moisture_percent":35.3,"soil_temperature_c":25.4,"soil_ec_us_cm":1091,"soil_ph":6.52,"battery_mv":3920,"csq":17,"soil_rs485_status":"ok","cycle_status":"ok","soil_tension_kpa":-39.3,"soil_tension_rs485_status":"ok"}</x:v>
      </x:c>
    </x:row>
    <x:row r="1084">
      <x:c r="A1084" s="72" t="n">
        <x:v>46240.95894675926</x:v>
      </x:c>
      <x:c r="B1084" s="72" t="n">
        <x:v>46240.958960648146</x:v>
      </x:c>
      <x:c r="C1084" s="32" t="str">
        <x:v>P01</x:v>
      </x:c>
      <x:c r="D1084" s="32" t="str">
        <x:v>B1-W0-V1</x:v>
      </x:c>
      <x:c r="E1084" s="32" t="str">
        <x:v>B1</x:v>
      </x:c>
      <x:c r="F1084" s="32" t="str">
        <x:v>W0</x:v>
      </x:c>
      <x:c r="G1084" s="32" t="str">
        <x:v>V1</x:v>
      </x:c>
      <x:c r="H1084" s="32" t="str">
        <x:v>water_soil</x:v>
      </x:c>
      <x:c r="I1084" s="32" t="str">
        <x:v>862323089930701</x:v>
      </x:c>
      <x:c r="J1084" s="82" t="n">
        <x:v>35.2</x:v>
      </x:c>
      <x:c r="K1084" s="82"/>
      <x:c r="L1084" s="82" t="n">
        <x:v>36.7</x:v>
      </x:c>
      <x:c r="M1084" s="82" t="n">
        <x:v>25.5</x:v>
      </x:c>
      <x:c r="N1084" s="86" t="n">
        <x:v>821</x:v>
      </x:c>
      <x:c r="O1084" s="90" t="n">
        <x:v>6.38</x:v>
      </x:c>
      <x:c r="P1084" s="150" t="n">
        <x:v>3.938</x:v>
      </x:c>
      <x:c r="Q1084" s="86" t="n">
        <x:v>18</x:v>
      </x:c>
      <x:c r="R1084" s="32" t="str">
        <x:v>ok</x:v>
      </x:c>
      <x:c r="S1084" s="32"/>
      <x:c r="T1084" s="32" t="str">
        <x:v>ok</x:v>
      </x:c>
      <x:c r="U1084" s="32" t="str">
        <x:v>ok</x:v>
      </x:c>
      <x:c r="V1084" s="32" t="str">
        <x:v>ok</x:v>
      </x:c>
      <x:c r="W1084" s="154" t="str">
        <x:v>{"schema_version":1,"imei":"862323089930701","timestamp":1786028453,"report_sequence":46,"task_version":"rice_w0_water_soil_demo","sensor_mode":"water_soil","soil_moisture_percent":36.7,"soil_temperature_c":25.5,"soil_ec_us_cm":821,"soil_ph":6.38,"battery_mv":3938,"csq":18,"soil_rs485_status":"ok","cycle_status":"ok","water_level_mm":35.2,"water_4_20ma_status":"ok"}</x:v>
      </x:c>
    </x:row>
    <x:row r="1085">
      <x:c r="A1085" s="72" t="n">
        <x:v>46240.95894675926</x:v>
      </x:c>
      <x:c r="B1085" s="72" t="n">
        <x:v>46240.958960648146</x:v>
      </x:c>
      <x:c r="C1085" s="32" t="str">
        <x:v>P02</x:v>
      </x:c>
      <x:c r="D1085" s="32" t="str">
        <x:v>B1-W0-V2</x:v>
      </x:c>
      <x:c r="E1085" s="32" t="str">
        <x:v>B1</x:v>
      </x:c>
      <x:c r="F1085" s="32" t="str">
        <x:v>W0</x:v>
      </x:c>
      <x:c r="G1085" s="32" t="str">
        <x:v>V2</x:v>
      </x:c>
      <x:c r="H1085" s="32" t="str">
        <x:v>water_soil</x:v>
      </x:c>
      <x:c r="I1085" s="32" t="str">
        <x:v>862323089930702</x:v>
      </x:c>
      <x:c r="J1085" s="82" t="n">
        <x:v>38.7</x:v>
      </x:c>
      <x:c r="K1085" s="82"/>
      <x:c r="L1085" s="82" t="n">
        <x:v>37.9</x:v>
      </x:c>
      <x:c r="M1085" s="82" t="n">
        <x:v>25.6</x:v>
      </x:c>
      <x:c r="N1085" s="86" t="n">
        <x:v>837</x:v>
      </x:c>
      <x:c r="O1085" s="90" t="n">
        <x:v>6.43</x:v>
      </x:c>
      <x:c r="P1085" s="150" t="n">
        <x:v>3.956</x:v>
      </x:c>
      <x:c r="Q1085" s="86" t="n">
        <x:v>19</x:v>
      </x:c>
      <x:c r="R1085" s="32" t="str">
        <x:v>ok</x:v>
      </x:c>
      <x:c r="S1085" s="32"/>
      <x:c r="T1085" s="32" t="str">
        <x:v>ok</x:v>
      </x:c>
      <x:c r="U1085" s="32" t="str">
        <x:v>ok</x:v>
      </x:c>
      <x:c r="V1085" s="32" t="str">
        <x:v>ok</x:v>
      </x:c>
      <x:c r="W1085" s="154" t="str">
        <x:v>{"schema_version":1,"imei":"862323089930702","timestamp":1786028453,"report_sequence":46,"task_version":"rice_w0_water_soil_demo","sensor_mode":"water_soil","soil_moisture_percent":37.9,"soil_temperature_c":25.6,"soil_ec_us_cm":837,"soil_ph":6.43,"battery_mv":3956,"csq":19,"soil_rs485_status":"ok","cycle_status":"ok","water_level_mm":38.7,"water_4_20ma_status":"ok"}</x:v>
      </x:c>
    </x:row>
    <x:row r="1086">
      <x:c r="A1086" s="72" t="n">
        <x:v>46240.95894675926</x:v>
      </x:c>
      <x:c r="B1086" s="72" t="n">
        <x:v>46240.958960648146</x:v>
      </x:c>
      <x:c r="C1086" s="32" t="str">
        <x:v>P03</x:v>
      </x:c>
      <x:c r="D1086" s="32" t="str">
        <x:v>B1-W1-V1</x:v>
      </x:c>
      <x:c r="E1086" s="32" t="str">
        <x:v>B1</x:v>
      </x:c>
      <x:c r="F1086" s="32" t="str">
        <x:v>W1</x:v>
      </x:c>
      <x:c r="G1086" s="32" t="str">
        <x:v>V1</x:v>
      </x:c>
      <x:c r="H1086" s="32" t="str">
        <x:v>tension_soil</x:v>
      </x:c>
      <x:c r="I1086" s="32" t="str">
        <x:v>862323089930703</x:v>
      </x:c>
      <x:c r="J1086" s="82"/>
      <x:c r="K1086" s="82" t="n">
        <x:v>-28</x:v>
      </x:c>
      <x:c r="L1086" s="82" t="n">
        <x:v>39</x:v>
      </x:c>
      <x:c r="M1086" s="82" t="n">
        <x:v>25.6</x:v>
      </x:c>
      <x:c r="N1086" s="86" t="n">
        <x:v>851</x:v>
      </x:c>
      <x:c r="O1086" s="90" t="n">
        <x:v>6.48</x:v>
      </x:c>
      <x:c r="P1086" s="150" t="n">
        <x:v>3.974</x:v>
      </x:c>
      <x:c r="Q1086" s="86" t="n">
        <x:v>20</x:v>
      </x:c>
      <x:c r="R1086" s="32"/>
      <x:c r="S1086" s="32" t="str">
        <x:v>ok</x:v>
      </x:c>
      <x:c r="T1086" s="32" t="str">
        <x:v>ok</x:v>
      </x:c>
      <x:c r="U1086" s="32" t="str">
        <x:v>ok</x:v>
      </x:c>
      <x:c r="V1086" s="32" t="str">
        <x:v>ok</x:v>
      </x:c>
      <x:c r="W1086" s="154" t="str">
        <x:v>{"schema_version":1,"imei":"862323089930703","timestamp":1786028453,"report_sequence":46,"task_version":"rice_tension_soil_demo","sensor_mode":"tension_soil","soil_moisture_percent":39,"soil_temperature_c":25.6,"soil_ec_us_cm":851,"soil_ph":6.48,"battery_mv":3974,"csq":20,"soil_rs485_status":"ok","cycle_status":"ok","soil_tension_kpa":-28,"soil_tension_rs485_status":"ok"}</x:v>
      </x:c>
    </x:row>
    <x:row r="1087">
      <x:c r="A1087" s="72" t="n">
        <x:v>46240.95894675926</x:v>
      </x:c>
      <x:c r="B1087" s="72" t="n">
        <x:v>46240.958960648146</x:v>
      </x:c>
      <x:c r="C1087" s="32" t="str">
        <x:v>P04</x:v>
      </x:c>
      <x:c r="D1087" s="32" t="str">
        <x:v>B1-W1-V2</x:v>
      </x:c>
      <x:c r="E1087" s="32" t="str">
        <x:v>B1</x:v>
      </x:c>
      <x:c r="F1087" s="32" t="str">
        <x:v>W1</x:v>
      </x:c>
      <x:c r="G1087" s="32" t="str">
        <x:v>V2</x:v>
      </x:c>
      <x:c r="H1087" s="32" t="str">
        <x:v>tension_soil</x:v>
      </x:c>
      <x:c r="I1087" s="32" t="str">
        <x:v>862323089930704</x:v>
      </x:c>
      <x:c r="J1087" s="82"/>
      <x:c r="K1087" s="82" t="n">
        <x:v>-29</x:v>
      </x:c>
      <x:c r="L1087" s="82" t="n">
        <x:v>40</x:v>
      </x:c>
      <x:c r="M1087" s="82" t="n">
        <x:v>25.6</x:v>
      </x:c>
      <x:c r="N1087" s="86" t="n">
        <x:v>862</x:v>
      </x:c>
      <x:c r="O1087" s="90" t="n">
        <x:v>6.53</x:v>
      </x:c>
      <x:c r="P1087" s="150" t="n">
        <x:v>3.992</x:v>
      </x:c>
      <x:c r="Q1087" s="86" t="n">
        <x:v>21</x:v>
      </x:c>
      <x:c r="R1087" s="32"/>
      <x:c r="S1087" s="32" t="str">
        <x:v>ok</x:v>
      </x:c>
      <x:c r="T1087" s="32" t="str">
        <x:v>ok</x:v>
      </x:c>
      <x:c r="U1087" s="32" t="str">
        <x:v>ok</x:v>
      </x:c>
      <x:c r="V1087" s="32" t="str">
        <x:v>ok</x:v>
      </x:c>
      <x:c r="W1087" s="154" t="str">
        <x:v>{"schema_version":1,"imei":"862323089930704","timestamp":1786028453,"report_sequence":46,"task_version":"rice_tension_soil_demo","sensor_mode":"tension_soil","soil_moisture_percent":40,"soil_temperature_c":25.6,"soil_ec_us_cm":862,"soil_ph":6.53,"battery_mv":3992,"csq":21,"soil_rs485_status":"ok","cycle_status":"ok","soil_tension_kpa":-29,"soil_tension_rs485_status":"ok"}</x:v>
      </x:c>
    </x:row>
    <x:row r="1088">
      <x:c r="A1088" s="72" t="n">
        <x:v>46240.95894675926</x:v>
      </x:c>
      <x:c r="B1088" s="72" t="n">
        <x:v>46240.958960648146</x:v>
      </x:c>
      <x:c r="C1088" s="32" t="str">
        <x:v>P05</x:v>
      </x:c>
      <x:c r="D1088" s="32" t="str">
        <x:v>B1-W2-V1</x:v>
      </x:c>
      <x:c r="E1088" s="32" t="str">
        <x:v>B1</x:v>
      </x:c>
      <x:c r="F1088" s="32" t="str">
        <x:v>W2</x:v>
      </x:c>
      <x:c r="G1088" s="32" t="str">
        <x:v>V1</x:v>
      </x:c>
      <x:c r="H1088" s="32" t="str">
        <x:v>tension_soil</x:v>
      </x:c>
      <x:c r="I1088" s="32" t="str">
        <x:v>862323089930705</x:v>
      </x:c>
      <x:c r="J1088" s="82"/>
      <x:c r="K1088" s="82" t="n">
        <x:v>-35.8</x:v>
      </x:c>
      <x:c r="L1088" s="82" t="n">
        <x:v>40.8</x:v>
      </x:c>
      <x:c r="M1088" s="82" t="n">
        <x:v>25.6</x:v>
      </x:c>
      <x:c r="N1088" s="86" t="n">
        <x:v>872</x:v>
      </x:c>
      <x:c r="O1088" s="90" t="n">
        <x:v>6.33</x:v>
      </x:c>
      <x:c r="P1088" s="150" t="n">
        <x:v>4.01</x:v>
      </x:c>
      <x:c r="Q1088" s="86" t="n">
        <x:v>22</x:v>
      </x:c>
      <x:c r="R1088" s="32"/>
      <x:c r="S1088" s="32" t="str">
        <x:v>ok</x:v>
      </x:c>
      <x:c r="T1088" s="32" t="str">
        <x:v>ok</x:v>
      </x:c>
      <x:c r="U1088" s="32" t="str">
        <x:v>ok</x:v>
      </x:c>
      <x:c r="V1088" s="32" t="str">
        <x:v>ok</x:v>
      </x:c>
      <x:c r="W1088" s="154" t="str">
        <x:v>{"schema_version":1,"imei":"862323089930705","timestamp":1786028453,"report_sequence":46,"task_version":"rice_tension_soil_demo","sensor_mode":"tension_soil","soil_moisture_percent":40.8,"soil_temperature_c":25.6,"soil_ec_us_cm":872,"soil_ph":6.33,"battery_mv":4010,"csq":22,"soil_rs485_status":"ok","cycle_status":"ok","soil_tension_kpa":-35.8,"soil_tension_rs485_status":"ok"}</x:v>
      </x:c>
    </x:row>
    <x:row r="1089">
      <x:c r="A1089" s="72" t="n">
        <x:v>46240.95894675926</x:v>
      </x:c>
      <x:c r="B1089" s="72" t="n">
        <x:v>46240.958960648146</x:v>
      </x:c>
      <x:c r="C1089" s="32" t="str">
        <x:v>P06</x:v>
      </x:c>
      <x:c r="D1089" s="32" t="str">
        <x:v>B1-W2-V2</x:v>
      </x:c>
      <x:c r="E1089" s="32" t="str">
        <x:v>B1</x:v>
      </x:c>
      <x:c r="F1089" s="32" t="str">
        <x:v>W2</x:v>
      </x:c>
      <x:c r="G1089" s="32" t="str">
        <x:v>V2</x:v>
      </x:c>
      <x:c r="H1089" s="32" t="str">
        <x:v>tension_soil</x:v>
      </x:c>
      <x:c r="I1089" s="32" t="str">
        <x:v>862323089930706</x:v>
      </x:c>
      <x:c r="J1089" s="82"/>
      <x:c r="K1089" s="82" t="n">
        <x:v>-36.6</x:v>
      </x:c>
      <x:c r="L1089" s="82" t="n">
        <x:v>41.6</x:v>
      </x:c>
      <x:c r="M1089" s="82" t="n">
        <x:v>25.5</x:v>
      </x:c>
      <x:c r="N1089" s="86" t="n">
        <x:v>879</x:v>
      </x:c>
      <x:c r="O1089" s="90" t="n">
        <x:v>6.37</x:v>
      </x:c>
      <x:c r="P1089" s="150" t="n">
        <x:v>3.92</x:v>
      </x:c>
      <x:c r="Q1089" s="86" t="n">
        <x:v>23</x:v>
      </x:c>
      <x:c r="R1089" s="32"/>
      <x:c r="S1089" s="32" t="str">
        <x:v>ok</x:v>
      </x:c>
      <x:c r="T1089" s="32" t="str">
        <x:v>ok</x:v>
      </x:c>
      <x:c r="U1089" s="32" t="str">
        <x:v>ok</x:v>
      </x:c>
      <x:c r="V1089" s="32" t="str">
        <x:v>ok</x:v>
      </x:c>
      <x:c r="W1089" s="154" t="str">
        <x:v>{"schema_version":1,"imei":"862323089930706","timestamp":1786028453,"report_sequence":46,"task_version":"rice_tension_soil_demo","sensor_mode":"tension_soil","soil_moisture_percent":41.6,"soil_temperature_c":25.5,"soil_ec_us_cm":879,"soil_ph":6.37,"battery_mv":3920,"csq":23,"soil_rs485_status":"ok","cycle_status":"ok","soil_tension_kpa":-36.6,"soil_tension_rs485_status":"ok"}</x:v>
      </x:c>
    </x:row>
    <x:row r="1090">
      <x:c r="A1090" s="72" t="n">
        <x:v>46240.95894675926</x:v>
      </x:c>
      <x:c r="B1090" s="72" t="n">
        <x:v>46240.958960648146</x:v>
      </x:c>
      <x:c r="C1090" s="32" t="str">
        <x:v>P07</x:v>
      </x:c>
      <x:c r="D1090" s="32" t="str">
        <x:v>B2-W0-V1</x:v>
      </x:c>
      <x:c r="E1090" s="32" t="str">
        <x:v>B2</x:v>
      </x:c>
      <x:c r="F1090" s="32" t="str">
        <x:v>W0</x:v>
      </x:c>
      <x:c r="G1090" s="32" t="str">
        <x:v>V1</x:v>
      </x:c>
      <x:c r="H1090" s="32" t="str">
        <x:v>water_soil</x:v>
      </x:c>
      <x:c r="I1090" s="32" t="str">
        <x:v>862323089930707</x:v>
      </x:c>
      <x:c r="J1090" s="82" t="n">
        <x:v>40</x:v>
      </x:c>
      <x:c r="K1090" s="82"/>
      <x:c r="L1090" s="82" t="n">
        <x:v>42.2</x:v>
      </x:c>
      <x:c r="M1090" s="82" t="n">
        <x:v>25.4</x:v>
      </x:c>
      <x:c r="N1090" s="86" t="n">
        <x:v>885</x:v>
      </x:c>
      <x:c r="O1090" s="90" t="n">
        <x:v>6.42</x:v>
      </x:c>
      <x:c r="P1090" s="150" t="n">
        <x:v>3.938</x:v>
      </x:c>
      <x:c r="Q1090" s="86" t="n">
        <x:v>24</x:v>
      </x:c>
      <x:c r="R1090" s="32" t="str">
        <x:v>ok</x:v>
      </x:c>
      <x:c r="S1090" s="32"/>
      <x:c r="T1090" s="32" t="str">
        <x:v>ok</x:v>
      </x:c>
      <x:c r="U1090" s="32" t="str">
        <x:v>ok</x:v>
      </x:c>
      <x:c r="V1090" s="32" t="str">
        <x:v>ok</x:v>
      </x:c>
      <x:c r="W1090" s="154" t="str">
        <x:v>{"schema_version":1,"imei":"862323089930707","timestamp":1786028453,"report_sequence":46,"task_version":"rice_w0_water_soil_demo","sensor_mode":"water_soil","soil_moisture_percent":42.2,"soil_temperature_c":25.4,"soil_ec_us_cm":885,"soil_ph":6.42,"battery_mv":3938,"csq":24,"soil_rs485_status":"ok","cycle_status":"ok","water_level_mm":40,"water_4_20ma_status":"ok"}</x:v>
      </x:c>
    </x:row>
    <x:row r="1091">
      <x:c r="A1091" s="72" t="n">
        <x:v>46240.95894675926</x:v>
      </x:c>
      <x:c r="B1091" s="72" t="n">
        <x:v>46240.958960648146</x:v>
      </x:c>
      <x:c r="C1091" s="32" t="str">
        <x:v>P08</x:v>
      </x:c>
      <x:c r="D1091" s="32" t="str">
        <x:v>B2-W0-V2</x:v>
      </x:c>
      <x:c r="E1091" s="32" t="str">
        <x:v>B2</x:v>
      </x:c>
      <x:c r="F1091" s="32" t="str">
        <x:v>W0</x:v>
      </x:c>
      <x:c r="G1091" s="32" t="str">
        <x:v>V2</x:v>
      </x:c>
      <x:c r="H1091" s="32" t="str">
        <x:v>water_soil</x:v>
      </x:c>
      <x:c r="I1091" s="32" t="str">
        <x:v>862323089930708</x:v>
      </x:c>
      <x:c r="J1091" s="82" t="n">
        <x:v>29.9</x:v>
      </x:c>
      <x:c r="K1091" s="82"/>
      <x:c r="L1091" s="82" t="n">
        <x:v>34.8</x:v>
      </x:c>
      <x:c r="M1091" s="82" t="n">
        <x:v>25.3</x:v>
      </x:c>
      <x:c r="N1091" s="86" t="n">
        <x:v>889</x:v>
      </x:c>
      <x:c r="O1091" s="90" t="n">
        <x:v>6.46</x:v>
      </x:c>
      <x:c r="P1091" s="150" t="n">
        <x:v>3.956</x:v>
      </x:c>
      <x:c r="Q1091" s="86" t="n">
        <x:v>17</x:v>
      </x:c>
      <x:c r="R1091" s="32" t="str">
        <x:v>ok</x:v>
      </x:c>
      <x:c r="S1091" s="32"/>
      <x:c r="T1091" s="32" t="str">
        <x:v>ok</x:v>
      </x:c>
      <x:c r="U1091" s="32" t="str">
        <x:v>ok</x:v>
      </x:c>
      <x:c r="V1091" s="32" t="str">
        <x:v>ok</x:v>
      </x:c>
      <x:c r="W1091" s="154" t="str">
        <x:v>{"schema_version":1,"imei":"862323089930708","timestamp":1786028453,"report_sequence":46,"task_version":"rice_w0_water_soil_demo","sensor_mode":"water_soil","soil_moisture_percent":34.8,"soil_temperature_c":25.3,"soil_ec_us_cm":889,"soil_ph":6.46,"battery_mv":3956,"csq":17,"soil_rs485_status":"ok","cycle_status":"ok","water_level_mm":29.9,"water_4_20ma_status":"ok"}</x:v>
      </x:c>
    </x:row>
    <x:row r="1092">
      <x:c r="A1092" s="72" t="n">
        <x:v>46240.95894675926</x:v>
      </x:c>
      <x:c r="B1092" s="72" t="n">
        <x:v>46240.958960648146</x:v>
      </x:c>
      <x:c r="C1092" s="32" t="str">
        <x:v>P09</x:v>
      </x:c>
      <x:c r="D1092" s="32" t="str">
        <x:v>B2-W1-V1</x:v>
      </x:c>
      <x:c r="E1092" s="32" t="str">
        <x:v>B2</x:v>
      </x:c>
      <x:c r="F1092" s="32" t="str">
        <x:v>W1</x:v>
      </x:c>
      <x:c r="G1092" s="32" t="str">
        <x:v>V1</x:v>
      </x:c>
      <x:c r="H1092" s="32" t="str">
        <x:v>tension_soil</x:v>
      </x:c>
      <x:c r="I1092" s="32" t="str">
        <x:v>862323089930709</x:v>
      </x:c>
      <x:c r="J1092" s="82"/>
      <x:c r="K1092" s="82" t="n">
        <x:v>-27.3</x:v>
      </x:c>
      <x:c r="L1092" s="82" t="n">
        <x:v>35.3</x:v>
      </x:c>
      <x:c r="M1092" s="82" t="n">
        <x:v>25.2</x:v>
      </x:c>
      <x:c r="N1092" s="86" t="n">
        <x:v>893</x:v>
      </x:c>
      <x:c r="O1092" s="90" t="n">
        <x:v>6.5</x:v>
      </x:c>
      <x:c r="P1092" s="150" t="n">
        <x:v>3.974</x:v>
      </x:c>
      <x:c r="Q1092" s="86" t="n">
        <x:v>18</x:v>
      </x:c>
      <x:c r="R1092" s="32"/>
      <x:c r="S1092" s="32" t="str">
        <x:v>ok</x:v>
      </x:c>
      <x:c r="T1092" s="32" t="str">
        <x:v>ok</x:v>
      </x:c>
      <x:c r="U1092" s="32" t="str">
        <x:v>ok</x:v>
      </x:c>
      <x:c r="V1092" s="32" t="str">
        <x:v>ok</x:v>
      </x:c>
      <x:c r="W1092" s="154" t="str">
        <x:v>{"schema_version":1,"imei":"862323089930709","timestamp":1786028453,"report_sequence":46,"task_version":"rice_tension_soil_demo","sensor_mode":"tension_soil","soil_moisture_percent":35.3,"soil_temperature_c":25.2,"soil_ec_us_cm":893,"soil_ph":6.5,"battery_mv":3974,"csq":18,"soil_rs485_status":"ok","cycle_status":"ok","soil_tension_kpa":-27.3,"soil_tension_rs485_status":"ok"}</x:v>
      </x:c>
    </x:row>
    <x:row r="1093">
      <x:c r="A1093" s="72" t="n">
        <x:v>46240.95894675926</x:v>
      </x:c>
      <x:c r="B1093" s="72" t="n">
        <x:v>46240.958960648146</x:v>
      </x:c>
      <x:c r="C1093" s="32" t="str">
        <x:v>P10</x:v>
      </x:c>
      <x:c r="D1093" s="32" t="str">
        <x:v>B2-W1-V2</x:v>
      </x:c>
      <x:c r="E1093" s="32" t="str">
        <x:v>B2</x:v>
      </x:c>
      <x:c r="F1093" s="32" t="str">
        <x:v>W1</x:v>
      </x:c>
      <x:c r="G1093" s="32" t="str">
        <x:v>V2</x:v>
      </x:c>
      <x:c r="H1093" s="32" t="str">
        <x:v>tension_soil</x:v>
      </x:c>
      <x:c r="I1093" s="32" t="str">
        <x:v>862323089930710</x:v>
      </x:c>
      <x:c r="J1093" s="82"/>
      <x:c r="K1093" s="82" t="n">
        <x:v>-22.8</x:v>
      </x:c>
      <x:c r="L1093" s="82" t="n">
        <x:v>35.8</x:v>
      </x:c>
      <x:c r="M1093" s="82" t="n">
        <x:v>25</x:v>
      </x:c>
      <x:c r="N1093" s="86" t="n">
        <x:v>896</x:v>
      </x:c>
      <x:c r="O1093" s="90" t="n">
        <x:v>6.3</x:v>
      </x:c>
      <x:c r="P1093" s="150" t="n">
        <x:v>3.992</x:v>
      </x:c>
      <x:c r="Q1093" s="86" t="n">
        <x:v>19</x:v>
      </x:c>
      <x:c r="R1093" s="32"/>
      <x:c r="S1093" s="32" t="str">
        <x:v>ok</x:v>
      </x:c>
      <x:c r="T1093" s="32" t="str">
        <x:v>ok</x:v>
      </x:c>
      <x:c r="U1093" s="32" t="str">
        <x:v>ok</x:v>
      </x:c>
      <x:c r="V1093" s="32" t="str">
        <x:v>ok</x:v>
      </x:c>
      <x:c r="W1093" s="154" t="str">
        <x:v>{"schema_version":1,"imei":"862323089930710","timestamp":1786028453,"report_sequence":46,"task_version":"rice_tension_soil_demo","sensor_mode":"tension_soil","soil_moisture_percent":35.8,"soil_temperature_c":25,"soil_ec_us_cm":896,"soil_ph":6.3,"battery_mv":3992,"csq":19,"soil_rs485_status":"ok","cycle_status":"ok","soil_tension_kpa":-22.8,"soil_tension_rs485_status":"ok"}</x:v>
      </x:c>
    </x:row>
    <x:row r="1094">
      <x:c r="A1094" s="72" t="n">
        <x:v>46240.95894675926</x:v>
      </x:c>
      <x:c r="B1094" s="72" t="n">
        <x:v>46240.958960648146</x:v>
      </x:c>
      <x:c r="C1094" s="32" t="str">
        <x:v>P11</x:v>
      </x:c>
      <x:c r="D1094" s="32" t="str">
        <x:v>B2-W2-V1</x:v>
      </x:c>
      <x:c r="E1094" s="32" t="str">
        <x:v>B2</x:v>
      </x:c>
      <x:c r="F1094" s="32" t="str">
        <x:v>W2</x:v>
      </x:c>
      <x:c r="G1094" s="32" t="str">
        <x:v>V1</x:v>
      </x:c>
      <x:c r="H1094" s="32" t="str">
        <x:v>tension_soil</x:v>
      </x:c>
      <x:c r="I1094" s="32" t="str">
        <x:v>862323089930711</x:v>
      </x:c>
      <x:c r="J1094" s="82"/>
      <x:c r="K1094" s="82" t="n">
        <x:v>-34.3</x:v>
      </x:c>
      <x:c r="L1094" s="82" t="n">
        <x:v>36.3</x:v>
      </x:c>
      <x:c r="M1094" s="82" t="n">
        <x:v>24.9</x:v>
      </x:c>
      <x:c r="N1094" s="86" t="n">
        <x:v>900</x:v>
      </x:c>
      <x:c r="O1094" s="90" t="n">
        <x:v>6.34</x:v>
      </x:c>
      <x:c r="P1094" s="150" t="n">
        <x:v>4.01</x:v>
      </x:c>
      <x:c r="Q1094" s="86" t="n">
        <x:v>20</x:v>
      </x:c>
      <x:c r="R1094" s="32"/>
      <x:c r="S1094" s="32" t="str">
        <x:v>ok</x:v>
      </x:c>
      <x:c r="T1094" s="32" t="str">
        <x:v>ok</x:v>
      </x:c>
      <x:c r="U1094" s="32" t="str">
        <x:v>ok</x:v>
      </x:c>
      <x:c r="V1094" s="32" t="str">
        <x:v>ok</x:v>
      </x:c>
      <x:c r="W1094" s="154" t="str">
        <x:v>{"schema_version":1,"imei":"862323089930711","timestamp":1786028453,"report_sequence":46,"task_version":"rice_tension_soil_demo","sensor_mode":"tension_soil","soil_moisture_percent":36.3,"soil_temperature_c":24.9,"soil_ec_us_cm":900,"soil_ph":6.34,"battery_mv":4010,"csq":20,"soil_rs485_status":"ok","cycle_status":"ok","soil_tension_kpa":-34.3,"soil_tension_rs485_status":"ok"}</x:v>
      </x:c>
    </x:row>
    <x:row r="1095">
      <x:c r="A1095" s="72" t="n">
        <x:v>46240.95894675926</x:v>
      </x:c>
      <x:c r="B1095" s="72" t="n">
        <x:v>46240.958960648146</x:v>
      </x:c>
      <x:c r="C1095" s="32" t="str">
        <x:v>P12</x:v>
      </x:c>
      <x:c r="D1095" s="32" t="str">
        <x:v>B2-W2-V2</x:v>
      </x:c>
      <x:c r="E1095" s="32" t="str">
        <x:v>B2</x:v>
      </x:c>
      <x:c r="F1095" s="32" t="str">
        <x:v>W2</x:v>
      </x:c>
      <x:c r="G1095" s="32" t="str">
        <x:v>V2</x:v>
      </x:c>
      <x:c r="H1095" s="32" t="str">
        <x:v>tension_soil</x:v>
      </x:c>
      <x:c r="I1095" s="32" t="str">
        <x:v>862323089930712</x:v>
      </x:c>
      <x:c r="J1095" s="82"/>
      <x:c r="K1095" s="82" t="n">
        <x:v>-34.9</x:v>
      </x:c>
      <x:c r="L1095" s="82" t="n">
        <x:v>36.9</x:v>
      </x:c>
      <x:c r="M1095" s="82" t="n">
        <x:v>24.8</x:v>
      </x:c>
      <x:c r="N1095" s="86" t="n">
        <x:v>904</x:v>
      </x:c>
      <x:c r="O1095" s="90" t="n">
        <x:v>6.38</x:v>
      </x:c>
      <x:c r="P1095" s="150" t="n">
        <x:v>3.92</x:v>
      </x:c>
      <x:c r="Q1095" s="86" t="n">
        <x:v>21</x:v>
      </x:c>
      <x:c r="R1095" s="32"/>
      <x:c r="S1095" s="32" t="str">
        <x:v>ok</x:v>
      </x:c>
      <x:c r="T1095" s="32" t="str">
        <x:v>ok</x:v>
      </x:c>
      <x:c r="U1095" s="32" t="str">
        <x:v>ok</x:v>
      </x:c>
      <x:c r="V1095" s="32" t="str">
        <x:v>ok</x:v>
      </x:c>
      <x:c r="W1095" s="154" t="str">
        <x:v>{"schema_version":1,"imei":"862323089930712","timestamp":1786028453,"report_sequence":46,"task_version":"rice_tension_soil_demo","sensor_mode":"tension_soil","soil_moisture_percent":36.9,"soil_temperature_c":24.8,"soil_ec_us_cm":904,"soil_ph":6.38,"battery_mv":3920,"csq":21,"soil_rs485_status":"ok","cycle_status":"ok","soil_tension_kpa":-34.9,"soil_tension_rs485_status":"ok"}</x:v>
      </x:c>
    </x:row>
    <x:row r="1096">
      <x:c r="A1096" s="72" t="n">
        <x:v>46240.95894675926</x:v>
      </x:c>
      <x:c r="B1096" s="72" t="n">
        <x:v>46240.958960648146</x:v>
      </x:c>
      <x:c r="C1096" s="32" t="str">
        <x:v>P13</x:v>
      </x:c>
      <x:c r="D1096" s="32" t="str">
        <x:v>B3-W0-V1</x:v>
      </x:c>
      <x:c r="E1096" s="32" t="str">
        <x:v>B3</x:v>
      </x:c>
      <x:c r="F1096" s="32" t="str">
        <x:v>W0</x:v>
      </x:c>
      <x:c r="G1096" s="32" t="str">
        <x:v>V1</x:v>
      </x:c>
      <x:c r="H1096" s="32" t="str">
        <x:v>water_soil</x:v>
      </x:c>
      <x:c r="I1096" s="32" t="str">
        <x:v>862323089930713</x:v>
      </x:c>
      <x:c r="J1096" s="82" t="n">
        <x:v>27.2</x:v>
      </x:c>
      <x:c r="K1096" s="82"/>
      <x:c r="L1096" s="82" t="n">
        <x:v>37.5</x:v>
      </x:c>
      <x:c r="M1096" s="82" t="n">
        <x:v>24.7</x:v>
      </x:c>
      <x:c r="N1096" s="86" t="n">
        <x:v>910</x:v>
      </x:c>
      <x:c r="O1096" s="90" t="n">
        <x:v>6.43</x:v>
      </x:c>
      <x:c r="P1096" s="150" t="n">
        <x:v>3.938</x:v>
      </x:c>
      <x:c r="Q1096" s="86" t="n">
        <x:v>22</x:v>
      </x:c>
      <x:c r="R1096" s="32" t="str">
        <x:v>ok</x:v>
      </x:c>
      <x:c r="S1096" s="32"/>
      <x:c r="T1096" s="32" t="str">
        <x:v>ok</x:v>
      </x:c>
      <x:c r="U1096" s="32" t="str">
        <x:v>ok</x:v>
      </x:c>
      <x:c r="V1096" s="32" t="str">
        <x:v>ok</x:v>
      </x:c>
      <x:c r="W1096" s="154" t="str">
        <x:v>{"schema_version":1,"imei":"862323089930713","timestamp":1786028453,"report_sequence":46,"task_version":"rice_w0_water_soil_demo","sensor_mode":"water_soil","soil_moisture_percent":37.5,"soil_temperature_c":24.7,"soil_ec_us_cm":910,"soil_ph":6.43,"battery_mv":3938,"csq":22,"soil_rs485_status":"ok","cycle_status":"ok","water_level_mm":27.2,"water_4_20ma_status":"ok"}</x:v>
      </x:c>
    </x:row>
    <x:row r="1097">
      <x:c r="A1097" s="72" t="n">
        <x:v>46240.95894675926</x:v>
      </x:c>
      <x:c r="B1097" s="72" t="n">
        <x:v>46240.958960648146</x:v>
      </x:c>
      <x:c r="C1097" s="32" t="str">
        <x:v>P14</x:v>
      </x:c>
      <x:c r="D1097" s="32" t="str">
        <x:v>B3-W0-V2</x:v>
      </x:c>
      <x:c r="E1097" s="32" t="str">
        <x:v>B3</x:v>
      </x:c>
      <x:c r="F1097" s="32" t="str">
        <x:v>W0</x:v>
      </x:c>
      <x:c r="G1097" s="32" t="str">
        <x:v>V2</x:v>
      </x:c>
      <x:c r="H1097" s="32" t="str">
        <x:v>water_soil</x:v>
      </x:c>
      <x:c r="I1097" s="32" t="str">
        <x:v>862323089930714</x:v>
      </x:c>
      <x:c r="J1097" s="82" t="n">
        <x:v>29.5</x:v>
      </x:c>
      <x:c r="K1097" s="82"/>
      <x:c r="L1097" s="82" t="n">
        <x:v>38.2</x:v>
      </x:c>
      <x:c r="M1097" s="82" t="n">
        <x:v>24.7</x:v>
      </x:c>
      <x:c r="N1097" s="86" t="n">
        <x:v>917</x:v>
      </x:c>
      <x:c r="O1097" s="90" t="n">
        <x:v>6.47</x:v>
      </x:c>
      <x:c r="P1097" s="150" t="n">
        <x:v>3.956</x:v>
      </x:c>
      <x:c r="Q1097" s="86" t="n">
        <x:v>23</x:v>
      </x:c>
      <x:c r="R1097" s="32" t="str">
        <x:v>ok</x:v>
      </x:c>
      <x:c r="S1097" s="32"/>
      <x:c r="T1097" s="32" t="str">
        <x:v>ok</x:v>
      </x:c>
      <x:c r="U1097" s="32" t="str">
        <x:v>ok</x:v>
      </x:c>
      <x:c r="V1097" s="32" t="str">
        <x:v>ok</x:v>
      </x:c>
      <x:c r="W1097" s="154" t="str">
        <x:v>{"schema_version":1,"imei":"862323089930714","timestamp":1786028453,"report_sequence":46,"task_version":"rice_w0_water_soil_demo","sensor_mode":"water_soil","soil_moisture_percent":38.2,"soil_temperature_c":24.7,"soil_ec_us_cm":917,"soil_ph":6.47,"battery_mv":3956,"csq":23,"soil_rs485_status":"ok","cycle_status":"ok","water_level_mm":29.5,"water_4_20ma_status":"ok"}</x:v>
      </x:c>
    </x:row>
    <x:row r="1098">
      <x:c r="A1098" s="72" t="n">
        <x:v>46240.95894675926</x:v>
      </x:c>
      <x:c r="B1098" s="72" t="n">
        <x:v>46240.958960648146</x:v>
      </x:c>
      <x:c r="C1098" s="32" t="str">
        <x:v>P15</x:v>
      </x:c>
      <x:c r="D1098" s="32" t="str">
        <x:v>B3-W1-V1</x:v>
      </x:c>
      <x:c r="E1098" s="32" t="str">
        <x:v>B3</x:v>
      </x:c>
      <x:c r="F1098" s="32" t="str">
        <x:v>W1</x:v>
      </x:c>
      <x:c r="G1098" s="32" t="str">
        <x:v>V1</x:v>
      </x:c>
      <x:c r="H1098" s="32" t="str">
        <x:v>tension_soil</x:v>
      </x:c>
      <x:c r="I1098" s="32" t="str">
        <x:v>862323089930715</x:v>
      </x:c>
      <x:c r="J1098" s="82"/>
      <x:c r="K1098" s="82" t="n">
        <x:v>-21</x:v>
      </x:c>
      <x:c r="L1098" s="82" t="n">
        <x:v>39</x:v>
      </x:c>
      <x:c r="M1098" s="82" t="n">
        <x:v>24.6</x:v>
      </x:c>
      <x:c r="N1098" s="86" t="n">
        <x:v>926</x:v>
      </x:c>
      <x:c r="O1098" s="90" t="n">
        <x:v>6.27</x:v>
      </x:c>
      <x:c r="P1098" s="150" t="n">
        <x:v>3.974</x:v>
      </x:c>
      <x:c r="Q1098" s="86" t="n">
        <x:v>24</x:v>
      </x:c>
      <x:c r="R1098" s="32"/>
      <x:c r="S1098" s="32" t="str">
        <x:v>ok</x:v>
      </x:c>
      <x:c r="T1098" s="32" t="str">
        <x:v>ok</x:v>
      </x:c>
      <x:c r="U1098" s="32" t="str">
        <x:v>ok</x:v>
      </x:c>
      <x:c r="V1098" s="32" t="str">
        <x:v>ok</x:v>
      </x:c>
      <x:c r="W1098" s="154" t="str">
        <x:v>{"schema_version":1,"imei":"862323089930715","timestamp":1786028453,"report_sequence":46,"task_version":"rice_tension_soil_demo","sensor_mode":"tension_soil","soil_moisture_percent":39,"soil_temperature_c":24.6,"soil_ec_us_cm":926,"soil_ph":6.27,"battery_mv":3974,"csq":24,"soil_rs485_status":"ok","cycle_status":"ok","soil_tension_kpa":-21,"soil_tension_rs485_status":"ok"}</x:v>
      </x:c>
    </x:row>
    <x:row r="1099">
      <x:c r="A1099" s="72" t="n">
        <x:v>46240.95894675926</x:v>
      </x:c>
      <x:c r="B1099" s="72" t="n">
        <x:v>46240.958960648146</x:v>
      </x:c>
      <x:c r="C1099" s="32" t="str">
        <x:v>P16</x:v>
      </x:c>
      <x:c r="D1099" s="32" t="str">
        <x:v>B3-W1-V2</x:v>
      </x:c>
      <x:c r="E1099" s="32" t="str">
        <x:v>B3</x:v>
      </x:c>
      <x:c r="F1099" s="32" t="str">
        <x:v>W1</x:v>
      </x:c>
      <x:c r="G1099" s="32" t="str">
        <x:v>V2</x:v>
      </x:c>
      <x:c r="H1099" s="32" t="str">
        <x:v>tension_soil</x:v>
      </x:c>
      <x:c r="I1099" s="32" t="str">
        <x:v>862323089930716</x:v>
      </x:c>
      <x:c r="J1099" s="82"/>
      <x:c r="K1099" s="82" t="n">
        <x:v>-22</x:v>
      </x:c>
      <x:c r="L1099" s="82" t="n">
        <x:v>32</x:v>
      </x:c>
      <x:c r="M1099" s="82" t="n">
        <x:v>24.6</x:v>
      </x:c>
      <x:c r="N1099" s="86" t="n">
        <x:v>937</x:v>
      </x:c>
      <x:c r="O1099" s="90" t="n">
        <x:v>6.32</x:v>
      </x:c>
      <x:c r="P1099" s="150" t="n">
        <x:v>3.992</x:v>
      </x:c>
      <x:c r="Q1099" s="86" t="n">
        <x:v>17</x:v>
      </x:c>
      <x:c r="R1099" s="32"/>
      <x:c r="S1099" s="32" t="str">
        <x:v>ok</x:v>
      </x:c>
      <x:c r="T1099" s="32" t="str">
        <x:v>ok</x:v>
      </x:c>
      <x:c r="U1099" s="32" t="str">
        <x:v>ok</x:v>
      </x:c>
      <x:c r="V1099" s="32" t="str">
        <x:v>ok</x:v>
      </x:c>
      <x:c r="W1099" s="154" t="str">
        <x:v>{"schema_version":1,"imei":"862323089930716","timestamp":1786028453,"report_sequence":46,"task_version":"rice_tension_soil_demo","sensor_mode":"tension_soil","soil_moisture_percent":32,"soil_temperature_c":24.6,"soil_ec_us_cm":937,"soil_ph":6.32,"battery_mv":3992,"csq":17,"soil_rs485_status":"ok","cycle_status":"ok","soil_tension_kpa":-22,"soil_tension_rs485_status":"ok"}</x:v>
      </x:c>
    </x:row>
    <x:row r="1100">
      <x:c r="A1100" s="72" t="n">
        <x:v>46240.95894675926</x:v>
      </x:c>
      <x:c r="B1100" s="72" t="n">
        <x:v>46240.958960648146</x:v>
      </x:c>
      <x:c r="C1100" s="32" t="str">
        <x:v>P17</x:v>
      </x:c>
      <x:c r="D1100" s="32" t="str">
        <x:v>B3-W2-V1</x:v>
      </x:c>
      <x:c r="E1100" s="32" t="str">
        <x:v>B3</x:v>
      </x:c>
      <x:c r="F1100" s="32" t="str">
        <x:v>W2</x:v>
      </x:c>
      <x:c r="G1100" s="32" t="str">
        <x:v>V1</x:v>
      </x:c>
      <x:c r="H1100" s="32" t="str">
        <x:v>tension_soil</x:v>
      </x:c>
      <x:c r="I1100" s="32" t="str">
        <x:v>862323089930717</x:v>
      </x:c>
      <x:c r="J1100" s="82"/>
      <x:c r="K1100" s="82" t="n">
        <x:v>-34.1</x:v>
      </x:c>
      <x:c r="L1100" s="82" t="n">
        <x:v>33.1</x:v>
      </x:c>
      <x:c r="M1100" s="82" t="n">
        <x:v>24.6</x:v>
      </x:c>
      <x:c r="N1100" s="86" t="n">
        <x:v>950</x:v>
      </x:c>
      <x:c r="O1100" s="90" t="n">
        <x:v>6.37</x:v>
      </x:c>
      <x:c r="P1100" s="150" t="n">
        <x:v>4.01</x:v>
      </x:c>
      <x:c r="Q1100" s="86" t="n">
        <x:v>18</x:v>
      </x:c>
      <x:c r="R1100" s="32"/>
      <x:c r="S1100" s="32" t="str">
        <x:v>ok</x:v>
      </x:c>
      <x:c r="T1100" s="32" t="str">
        <x:v>ok</x:v>
      </x:c>
      <x:c r="U1100" s="32" t="str">
        <x:v>ok</x:v>
      </x:c>
      <x:c r="V1100" s="32" t="str">
        <x:v>ok</x:v>
      </x:c>
      <x:c r="W1100" s="154" t="str">
        <x:v>{"schema_version":1,"imei":"862323089930717","timestamp":1786028453,"report_sequence":46,"task_version":"rice_tension_soil_demo","sensor_mode":"tension_soil","soil_moisture_percent":33.1,"soil_temperature_c":24.6,"soil_ec_us_cm":950,"soil_ph":6.37,"battery_mv":4010,"csq":18,"soil_rs485_status":"ok","cycle_status":"ok","soil_tension_kpa":-34.1,"soil_tension_rs485_status":"ok"}</x:v>
      </x:c>
    </x:row>
    <x:row r="1101">
      <x:c r="A1101" s="72" t="n">
        <x:v>46240.95894675926</x:v>
      </x:c>
      <x:c r="B1101" s="72" t="n">
        <x:v>46240.958960648146</x:v>
      </x:c>
      <x:c r="C1101" s="32" t="str">
        <x:v>P18</x:v>
      </x:c>
      <x:c r="D1101" s="32" t="str">
        <x:v>B3-W2-V2</x:v>
      </x:c>
      <x:c r="E1101" s="32" t="str">
        <x:v>B3</x:v>
      </x:c>
      <x:c r="F1101" s="32" t="str">
        <x:v>W2</x:v>
      </x:c>
      <x:c r="G1101" s="32" t="str">
        <x:v>V2</x:v>
      </x:c>
      <x:c r="H1101" s="32" t="str">
        <x:v>tension_soil</x:v>
      </x:c>
      <x:c r="I1101" s="32" t="str">
        <x:v>862323089930718</x:v>
      </x:c>
      <x:c r="J1101" s="82"/>
      <x:c r="K1101" s="82" t="n">
        <x:v>-35.3</x:v>
      </x:c>
      <x:c r="L1101" s="82" t="n">
        <x:v>34.3</x:v>
      </x:c>
      <x:c r="M1101" s="82" t="n">
        <x:v>24.7</x:v>
      </x:c>
      <x:c r="N1101" s="86" t="n">
        <x:v>966</x:v>
      </x:c>
      <x:c r="O1101" s="90" t="n">
        <x:v>6.42</x:v>
      </x:c>
      <x:c r="P1101" s="150" t="n">
        <x:v>3.92</x:v>
      </x:c>
      <x:c r="Q1101" s="86" t="n">
        <x:v>19</x:v>
      </x:c>
      <x:c r="R1101" s="32"/>
      <x:c r="S1101" s="32" t="str">
        <x:v>ok</x:v>
      </x:c>
      <x:c r="T1101" s="32" t="str">
        <x:v>ok</x:v>
      </x:c>
      <x:c r="U1101" s="32" t="str">
        <x:v>ok</x:v>
      </x:c>
      <x:c r="V1101" s="32" t="str">
        <x:v>ok</x:v>
      </x:c>
      <x:c r="W1101" s="154" t="str">
        <x:v>{"schema_version":1,"imei":"862323089930718","timestamp":1786028453,"report_sequence":46,"task_version":"rice_tension_soil_demo","sensor_mode":"tension_soil","soil_moisture_percent":34.3,"soil_temperature_c":24.7,"soil_ec_us_cm":966,"soil_ph":6.42,"battery_mv":3920,"csq":19,"soil_rs485_status":"ok","cycle_status":"ok","soil_tension_kpa":-35.3,"soil_tension_rs485_status":"ok"}</x:v>
      </x:c>
    </x:row>
    <x:row r="1102">
      <x:c r="A1102" s="72" t="n">
        <x:v>46240.95894675926</x:v>
      </x:c>
      <x:c r="B1102" s="72" t="n">
        <x:v>46240.958960648146</x:v>
      </x:c>
      <x:c r="C1102" s="32" t="str">
        <x:v>P19</x:v>
      </x:c>
      <x:c r="D1102" s="32" t="str">
        <x:v>B4-W0-V1</x:v>
      </x:c>
      <x:c r="E1102" s="32" t="str">
        <x:v>B4</x:v>
      </x:c>
      <x:c r="F1102" s="32" t="str">
        <x:v>W0</x:v>
      </x:c>
      <x:c r="G1102" s="32" t="str">
        <x:v>V1</x:v>
      </x:c>
      <x:c r="H1102" s="32" t="str">
        <x:v>water_soil</x:v>
      </x:c>
      <x:c r="I1102" s="32" t="str">
        <x:v>862323089930719</x:v>
      </x:c>
      <x:c r="J1102" s="82" t="n">
        <x:v>33.5</x:v>
      </x:c>
      <x:c r="K1102" s="82"/>
      <x:c r="L1102" s="82" t="n">
        <x:v>35.6</x:v>
      </x:c>
      <x:c r="M1102" s="82" t="n">
        <x:v>24.7</x:v>
      </x:c>
      <x:c r="N1102" s="86" t="n">
        <x:v>983</x:v>
      </x:c>
      <x:c r="O1102" s="90" t="n">
        <x:v>6.48</x:v>
      </x:c>
      <x:c r="P1102" s="150" t="n">
        <x:v>3.938</x:v>
      </x:c>
      <x:c r="Q1102" s="86" t="n">
        <x:v>20</x:v>
      </x:c>
      <x:c r="R1102" s="32" t="str">
        <x:v>ok</x:v>
      </x:c>
      <x:c r="S1102" s="32"/>
      <x:c r="T1102" s="32" t="str">
        <x:v>ok</x:v>
      </x:c>
      <x:c r="U1102" s="32" t="str">
        <x:v>ok</x:v>
      </x:c>
      <x:c r="V1102" s="32" t="str">
        <x:v>ok</x:v>
      </x:c>
      <x:c r="W1102" s="154" t="str">
        <x:v>{"schema_version":1,"imei":"862323089930719","timestamp":1786028453,"report_sequence":46,"task_version":"rice_w0_water_soil_demo","sensor_mode":"water_soil","soil_moisture_percent":35.6,"soil_temperature_c":24.7,"soil_ec_us_cm":983,"soil_ph":6.48,"battery_mv":3938,"csq":20,"soil_rs485_status":"ok","cycle_status":"ok","water_level_mm":33.5,"water_4_20ma_status":"ok"}</x:v>
      </x:c>
    </x:row>
    <x:row r="1103">
      <x:c r="A1103" s="72" t="n">
        <x:v>46240.95894675926</x:v>
      </x:c>
      <x:c r="B1103" s="72" t="n">
        <x:v>46240.958960648146</x:v>
      </x:c>
      <x:c r="C1103" s="32" t="str">
        <x:v>P20</x:v>
      </x:c>
      <x:c r="D1103" s="32" t="str">
        <x:v>B4-W0-V2</x:v>
      </x:c>
      <x:c r="E1103" s="32" t="str">
        <x:v>B4</x:v>
      </x:c>
      <x:c r="F1103" s="32" t="str">
        <x:v>W0</x:v>
      </x:c>
      <x:c r="G1103" s="32" t="str">
        <x:v>V2</x:v>
      </x:c>
      <x:c r="H1103" s="32" t="str">
        <x:v>water_soil</x:v>
      </x:c>
      <x:c r="I1103" s="32" t="str">
        <x:v>862323089930720</x:v>
      </x:c>
      <x:c r="J1103" s="82" t="n">
        <x:v>25.5</x:v>
      </x:c>
      <x:c r="K1103" s="82"/>
      <x:c r="L1103" s="82" t="n">
        <x:v>37</x:v>
      </x:c>
      <x:c r="M1103" s="82" t="n">
        <x:v>24.8</x:v>
      </x:c>
      <x:c r="N1103" s="86" t="n">
        <x:v>1002</x:v>
      </x:c>
      <x:c r="O1103" s="90" t="n">
        <x:v>6.28</x:v>
      </x:c>
      <x:c r="P1103" s="150" t="n">
        <x:v>3.956</x:v>
      </x:c>
      <x:c r="Q1103" s="86" t="n">
        <x:v>21</x:v>
      </x:c>
      <x:c r="R1103" s="32" t="str">
        <x:v>ok</x:v>
      </x:c>
      <x:c r="S1103" s="32"/>
      <x:c r="T1103" s="32" t="str">
        <x:v>ok</x:v>
      </x:c>
      <x:c r="U1103" s="32" t="str">
        <x:v>ok</x:v>
      </x:c>
      <x:c r="V1103" s="32" t="str">
        <x:v>ok</x:v>
      </x:c>
      <x:c r="W1103" s="154" t="str">
        <x:v>{"schema_version":1,"imei":"862323089930720","timestamp":1786028453,"report_sequence":46,"task_version":"rice_w0_water_soil_demo","sensor_mode":"water_soil","soil_moisture_percent":37,"soil_temperature_c":24.8,"soil_ec_us_cm":1002,"soil_ph":6.28,"battery_mv":3956,"csq":21,"soil_rs485_status":"ok","cycle_status":"ok","water_level_mm":25.5,"water_4_20ma_status":"ok"}</x:v>
      </x:c>
    </x:row>
    <x:row r="1104">
      <x:c r="A1104" s="72" t="n">
        <x:v>46240.95894675926</x:v>
      </x:c>
      <x:c r="B1104" s="72" t="n">
        <x:v>46240.958960648146</x:v>
      </x:c>
      <x:c r="C1104" s="32" t="str">
        <x:v>P21</x:v>
      </x:c>
      <x:c r="D1104" s="32" t="str">
        <x:v>B4-W1-V1</x:v>
      </x:c>
      <x:c r="E1104" s="32" t="str">
        <x:v>B4</x:v>
      </x:c>
      <x:c r="F1104" s="32" t="str">
        <x:v>W1</x:v>
      </x:c>
      <x:c r="G1104" s="32" t="str">
        <x:v>V1</x:v>
      </x:c>
      <x:c r="H1104" s="32" t="str">
        <x:v>tension_soil</x:v>
      </x:c>
      <x:c r="I1104" s="32" t="str">
        <x:v>862323089930721</x:v>
      </x:c>
      <x:c r="J1104" s="82"/>
      <x:c r="K1104" s="82" t="n">
        <x:v>-23.4</x:v>
      </x:c>
      <x:c r="L1104" s="82" t="n">
        <x:v>38.4</x:v>
      </x:c>
      <x:c r="M1104" s="82" t="n">
        <x:v>25</x:v>
      </x:c>
      <x:c r="N1104" s="86" t="n">
        <x:v>1022</x:v>
      </x:c>
      <x:c r="O1104" s="90" t="n">
        <x:v>6.34</x:v>
      </x:c>
      <x:c r="P1104" s="150" t="n">
        <x:v>3.974</x:v>
      </x:c>
      <x:c r="Q1104" s="86" t="n">
        <x:v>22</x:v>
      </x:c>
      <x:c r="R1104" s="32"/>
      <x:c r="S1104" s="32" t="str">
        <x:v>ok</x:v>
      </x:c>
      <x:c r="T1104" s="32" t="str">
        <x:v>ok</x:v>
      </x:c>
      <x:c r="U1104" s="32" t="str">
        <x:v>ok</x:v>
      </x:c>
      <x:c r="V1104" s="32" t="str">
        <x:v>ok</x:v>
      </x:c>
      <x:c r="W1104" s="154" t="str">
        <x:v>{"schema_version":1,"imei":"862323089930721","timestamp":1786028453,"report_sequence":46,"task_version":"rice_tension_soil_demo","sensor_mode":"tension_soil","soil_moisture_percent":38.4,"soil_temperature_c":25,"soil_ec_us_cm":1022,"soil_ph":6.34,"battery_mv":3974,"csq":22,"soil_rs485_status":"ok","cycle_status":"ok","soil_tension_kpa":-23.4,"soil_tension_rs485_status":"ok"}</x:v>
      </x:c>
    </x:row>
    <x:row r="1105">
      <x:c r="A1105" s="72" t="n">
        <x:v>46240.95894675926</x:v>
      </x:c>
      <x:c r="B1105" s="72" t="n">
        <x:v>46240.958960648146</x:v>
      </x:c>
      <x:c r="C1105" s="32" t="str">
        <x:v>P22</x:v>
      </x:c>
      <x:c r="D1105" s="32" t="str">
        <x:v>B4-W1-V2</x:v>
      </x:c>
      <x:c r="E1105" s="32" t="str">
        <x:v>B4</x:v>
      </x:c>
      <x:c r="F1105" s="32" t="str">
        <x:v>W1</x:v>
      </x:c>
      <x:c r="G1105" s="32" t="str">
        <x:v>V2</x:v>
      </x:c>
      <x:c r="H1105" s="32" t="str">
        <x:v>tension_soil</x:v>
      </x:c>
      <x:c r="I1105" s="32" t="str">
        <x:v>862323089930722</x:v>
      </x:c>
      <x:c r="J1105" s="82"/>
      <x:c r="K1105" s="82" t="n">
        <x:v>-24.9</x:v>
      </x:c>
      <x:c r="L1105" s="82" t="n">
        <x:v>39.9</x:v>
      </x:c>
      <x:c r="M1105" s="82" t="n">
        <x:v>25.1</x:v>
      </x:c>
      <x:c r="N1105" s="86" t="n">
        <x:v>1043</x:v>
      </x:c>
      <x:c r="O1105" s="90" t="n">
        <x:v>6.4</x:v>
      </x:c>
      <x:c r="P1105" s="150" t="n">
        <x:v>3.992</x:v>
      </x:c>
      <x:c r="Q1105" s="86" t="n">
        <x:v>23</x:v>
      </x:c>
      <x:c r="R1105" s="32"/>
      <x:c r="S1105" s="32" t="str">
        <x:v>ok</x:v>
      </x:c>
      <x:c r="T1105" s="32" t="str">
        <x:v>ok</x:v>
      </x:c>
      <x:c r="U1105" s="32" t="str">
        <x:v>ok</x:v>
      </x:c>
      <x:c r="V1105" s="32" t="str">
        <x:v>ok</x:v>
      </x:c>
      <x:c r="W1105" s="154" t="str">
        <x:v>{"schema_version":1,"imei":"862323089930722","timestamp":1786028453,"report_sequence":46,"task_version":"rice_tension_soil_demo","sensor_mode":"tension_soil","soil_moisture_percent":39.9,"soil_temperature_c":25.1,"soil_ec_us_cm":1043,"soil_ph":6.4,"battery_mv":3992,"csq":23,"soil_rs485_status":"ok","cycle_status":"ok","soil_tension_kpa":-24.9,"soil_tension_rs485_status":"ok"}</x:v>
      </x:c>
    </x:row>
    <x:row r="1106">
      <x:c r="A1106" s="72" t="n">
        <x:v>46240.95894675926</x:v>
      </x:c>
      <x:c r="B1106" s="72" t="n">
        <x:v>46240.958960648146</x:v>
      </x:c>
      <x:c r="C1106" s="32" t="str">
        <x:v>P23</x:v>
      </x:c>
      <x:c r="D1106" s="32" t="str">
        <x:v>B4-W2-V1</x:v>
      </x:c>
      <x:c r="E1106" s="32" t="str">
        <x:v>B4</x:v>
      </x:c>
      <x:c r="F1106" s="32" t="str">
        <x:v>W2</x:v>
      </x:c>
      <x:c r="G1106" s="32" t="str">
        <x:v>V1</x:v>
      </x:c>
      <x:c r="H1106" s="32" t="str">
        <x:v>tension_soil</x:v>
      </x:c>
      <x:c r="I1106" s="32" t="str">
        <x:v>862323089930723</x:v>
      </x:c>
      <x:c r="J1106" s="82"/>
      <x:c r="K1106" s="82" t="n">
        <x:v>-37.4</x:v>
      </x:c>
      <x:c r="L1106" s="82" t="n">
        <x:v>41.4</x:v>
      </x:c>
      <x:c r="M1106" s="82" t="n">
        <x:v>25.2</x:v>
      </x:c>
      <x:c r="N1106" s="86" t="n">
        <x:v>1064</x:v>
      </x:c>
      <x:c r="O1106" s="90" t="n">
        <x:v>6.46</x:v>
      </x:c>
      <x:c r="P1106" s="150" t="n">
        <x:v>4.01</x:v>
      </x:c>
      <x:c r="Q1106" s="86" t="n">
        <x:v>24</x:v>
      </x:c>
      <x:c r="R1106" s="32"/>
      <x:c r="S1106" s="32" t="str">
        <x:v>ok</x:v>
      </x:c>
      <x:c r="T1106" s="32" t="str">
        <x:v>ok</x:v>
      </x:c>
      <x:c r="U1106" s="32" t="str">
        <x:v>ok</x:v>
      </x:c>
      <x:c r="V1106" s="32" t="str">
        <x:v>ok</x:v>
      </x:c>
      <x:c r="W1106" s="154" t="str">
        <x:v>{"schema_version":1,"imei":"862323089930723","timestamp":1786028453,"report_sequence":46,"task_version":"rice_tension_soil_demo","sensor_mode":"tension_soil","soil_moisture_percent":41.4,"soil_temperature_c":25.2,"soil_ec_us_cm":1064,"soil_ph":6.46,"battery_mv":4010,"csq":24,"soil_rs485_status":"ok","cycle_status":"ok","soil_tension_kpa":-37.4,"soil_tension_rs485_status":"ok"}</x:v>
      </x:c>
    </x:row>
    <x:row r="1107">
      <x:c r="A1107" s="72" t="n">
        <x:v>46240.95894675926</x:v>
      </x:c>
      <x:c r="B1107" s="72" t="n">
        <x:v>46240.958960648146</x:v>
      </x:c>
      <x:c r="C1107" s="32" t="str">
        <x:v>P24</x:v>
      </x:c>
      <x:c r="D1107" s="32" t="str">
        <x:v>B4-W2-V2</x:v>
      </x:c>
      <x:c r="E1107" s="32" t="str">
        <x:v>B4</x:v>
      </x:c>
      <x:c r="F1107" s="32" t="str">
        <x:v>W2</x:v>
      </x:c>
      <x:c r="G1107" s="32" t="str">
        <x:v>V2</x:v>
      </x:c>
      <x:c r="H1107" s="32" t="str">
        <x:v>tension_soil</x:v>
      </x:c>
      <x:c r="I1107" s="32" t="str">
        <x:v>862323089930724</x:v>
      </x:c>
      <x:c r="J1107" s="82"/>
      <x:c r="K1107" s="82" t="n">
        <x:v>-38.9</x:v>
      </x:c>
      <x:c r="L1107" s="82" t="n">
        <x:v>34.9</x:v>
      </x:c>
      <x:c r="M1107" s="82" t="n">
        <x:v>25.3</x:v>
      </x:c>
      <x:c r="N1107" s="86" t="n">
        <x:v>1084</x:v>
      </x:c>
      <x:c r="O1107" s="90" t="n">
        <x:v>6.51</x:v>
      </x:c>
      <x:c r="P1107" s="150" t="n">
        <x:v>3.92</x:v>
      </x:c>
      <x:c r="Q1107" s="86" t="n">
        <x:v>17</x:v>
      </x:c>
      <x:c r="R1107" s="32"/>
      <x:c r="S1107" s="32" t="str">
        <x:v>ok</x:v>
      </x:c>
      <x:c r="T1107" s="32" t="str">
        <x:v>ok</x:v>
      </x:c>
      <x:c r="U1107" s="32" t="str">
        <x:v>ok</x:v>
      </x:c>
      <x:c r="V1107" s="32" t="str">
        <x:v>ok</x:v>
      </x:c>
      <x:c r="W1107" s="154" t="str">
        <x:v>{"schema_version":1,"imei":"862323089930724","timestamp":1786028453,"report_sequence":46,"task_version":"rice_tension_soil_demo","sensor_mode":"tension_soil","soil_moisture_percent":34.9,"soil_temperature_c":25.3,"soil_ec_us_cm":1084,"soil_ph":6.51,"battery_mv":3920,"csq":17,"soil_rs485_status":"ok","cycle_status":"ok","soil_tension_kpa":-38.9,"soil_tension_rs485_status":"ok"}</x:v>
      </x:c>
    </x:row>
    <x:row r="1108">
      <x:c r="A1108" s="72" t="n">
        <x:v>46240.96241898148</x:v>
      </x:c>
      <x:c r="B1108" s="72" t="n">
        <x:v>46240.96243287037</x:v>
      </x:c>
      <x:c r="C1108" s="32" t="str">
        <x:v>P01</x:v>
      </x:c>
      <x:c r="D1108" s="32" t="str">
        <x:v>B1-W0-V1</x:v>
      </x:c>
      <x:c r="E1108" s="32" t="str">
        <x:v>B1</x:v>
      </x:c>
      <x:c r="F1108" s="32" t="str">
        <x:v>W0</x:v>
      </x:c>
      <x:c r="G1108" s="32" t="str">
        <x:v>V1</x:v>
      </x:c>
      <x:c r="H1108" s="32" t="str">
        <x:v>water_soil</x:v>
      </x:c>
      <x:c r="I1108" s="32" t="str">
        <x:v>862323089930701</x:v>
      </x:c>
      <x:c r="J1108" s="82" t="n">
        <x:v>34.4</x:v>
      </x:c>
      <x:c r="K1108" s="82"/>
      <x:c r="L1108" s="82" t="n">
        <x:v>36.4</x:v>
      </x:c>
      <x:c r="M1108" s="82" t="n">
        <x:v>25.4</x:v>
      </x:c>
      <x:c r="N1108" s="86" t="n">
        <x:v>816</x:v>
      </x:c>
      <x:c r="O1108" s="90" t="n">
        <x:v>6.37</x:v>
      </x:c>
      <x:c r="P1108" s="150" t="n">
        <x:v>3.938</x:v>
      </x:c>
      <x:c r="Q1108" s="86" t="n">
        <x:v>18</x:v>
      </x:c>
      <x:c r="R1108" s="32" t="str">
        <x:v>ok</x:v>
      </x:c>
      <x:c r="S1108" s="32"/>
      <x:c r="T1108" s="32" t="str">
        <x:v>ok</x:v>
      </x:c>
      <x:c r="U1108" s="32" t="str">
        <x:v>ok</x:v>
      </x:c>
      <x:c r="V1108" s="32" t="str">
        <x:v>ok</x:v>
      </x:c>
      <x:c r="W1108" s="154" t="str">
        <x:v>{"schema_version":1,"imei":"862323089930701","timestamp":1786028753,"report_sequence":47,"task_version":"rice_w0_water_soil_demo","sensor_mode":"water_soil","soil_moisture_percent":36.4,"soil_temperature_c":25.4,"soil_ec_us_cm":816,"soil_ph":6.37,"battery_mv":3938,"csq":18,"soil_rs485_status":"ok","cycle_status":"ok","water_level_mm":34.4,"water_4_20ma_status":"ok"}</x:v>
      </x:c>
    </x:row>
    <x:row r="1109">
      <x:c r="A1109" s="72" t="n">
        <x:v>46240.96241898148</x:v>
      </x:c>
      <x:c r="B1109" s="72" t="n">
        <x:v>46240.96243287037</x:v>
      </x:c>
      <x:c r="C1109" s="32" t="str">
        <x:v>P02</x:v>
      </x:c>
      <x:c r="D1109" s="32" t="str">
        <x:v>B1-W0-V2</x:v>
      </x:c>
      <x:c r="E1109" s="32" t="str">
        <x:v>B1</x:v>
      </x:c>
      <x:c r="F1109" s="32" t="str">
        <x:v>W0</x:v>
      </x:c>
      <x:c r="G1109" s="32" t="str">
        <x:v>V2</x:v>
      </x:c>
      <x:c r="H1109" s="32" t="str">
        <x:v>water_soil</x:v>
      </x:c>
      <x:c r="I1109" s="32" t="str">
        <x:v>862323089930702</x:v>
      </x:c>
      <x:c r="J1109" s="82" t="n">
        <x:v>38.2</x:v>
      </x:c>
      <x:c r="K1109" s="82"/>
      <x:c r="L1109" s="82" t="n">
        <x:v>37.7</x:v>
      </x:c>
      <x:c r="M1109" s="82" t="n">
        <x:v>25.5</x:v>
      </x:c>
      <x:c r="N1109" s="86" t="n">
        <x:v>833</x:v>
      </x:c>
      <x:c r="O1109" s="90" t="n">
        <x:v>6.43</x:v>
      </x:c>
      <x:c r="P1109" s="150" t="n">
        <x:v>3.956</x:v>
      </x:c>
      <x:c r="Q1109" s="86" t="n">
        <x:v>19</x:v>
      </x:c>
      <x:c r="R1109" s="32" t="str">
        <x:v>ok</x:v>
      </x:c>
      <x:c r="S1109" s="32"/>
      <x:c r="T1109" s="32" t="str">
        <x:v>ok</x:v>
      </x:c>
      <x:c r="U1109" s="32" t="str">
        <x:v>ok</x:v>
      </x:c>
      <x:c r="V1109" s="32" t="str">
        <x:v>ok</x:v>
      </x:c>
      <x:c r="W1109" s="154" t="str">
        <x:v>{"schema_version":1,"imei":"862323089930702","timestamp":1786028753,"report_sequence":47,"task_version":"rice_w0_water_soil_demo","sensor_mode":"water_soil","soil_moisture_percent":37.7,"soil_temperature_c":25.5,"soil_ec_us_cm":833,"soil_ph":6.43,"battery_mv":3956,"csq":19,"soil_rs485_status":"ok","cycle_status":"ok","water_level_mm":38.2,"water_4_20ma_status":"ok"}</x:v>
      </x:c>
    </x:row>
    <x:row r="1110">
      <x:c r="A1110" s="72" t="n">
        <x:v>46240.96241898148</x:v>
      </x:c>
      <x:c r="B1110" s="72" t="n">
        <x:v>46240.96243287037</x:v>
      </x:c>
      <x:c r="C1110" s="32" t="str">
        <x:v>P03</x:v>
      </x:c>
      <x:c r="D1110" s="32" t="str">
        <x:v>B1-W1-V1</x:v>
      </x:c>
      <x:c r="E1110" s="32" t="str">
        <x:v>B1</x:v>
      </x:c>
      <x:c r="F1110" s="32" t="str">
        <x:v>W1</x:v>
      </x:c>
      <x:c r="G1110" s="32" t="str">
        <x:v>V1</x:v>
      </x:c>
      <x:c r="H1110" s="32" t="str">
        <x:v>tension_soil</x:v>
      </x:c>
      <x:c r="I1110" s="32" t="str">
        <x:v>862323089930703</x:v>
      </x:c>
      <x:c r="J1110" s="82"/>
      <x:c r="K1110" s="82" t="n">
        <x:v>-27.9</x:v>
      </x:c>
      <x:c r="L1110" s="82" t="n">
        <x:v>38.9</x:v>
      </x:c>
      <x:c r="M1110" s="82" t="n">
        <x:v>25.6</x:v>
      </x:c>
      <x:c r="N1110" s="86" t="n">
        <x:v>849</x:v>
      </x:c>
      <x:c r="O1110" s="90" t="n">
        <x:v>6.48</x:v>
      </x:c>
      <x:c r="P1110" s="150" t="n">
        <x:v>3.974</x:v>
      </x:c>
      <x:c r="Q1110" s="86" t="n">
        <x:v>20</x:v>
      </x:c>
      <x:c r="R1110" s="32"/>
      <x:c r="S1110" s="32" t="str">
        <x:v>ok</x:v>
      </x:c>
      <x:c r="T1110" s="32" t="str">
        <x:v>ok</x:v>
      </x:c>
      <x:c r="U1110" s="32" t="str">
        <x:v>ok</x:v>
      </x:c>
      <x:c r="V1110" s="32" t="str">
        <x:v>ok</x:v>
      </x:c>
      <x:c r="W1110" s="154" t="str">
        <x:v>{"schema_version":1,"imei":"862323089930703","timestamp":1786028753,"report_sequence":47,"task_version":"rice_tension_soil_demo","sensor_mode":"tension_soil","soil_moisture_percent":38.9,"soil_temperature_c":25.6,"soil_ec_us_cm":849,"soil_ph":6.48,"battery_mv":3974,"csq":20,"soil_rs485_status":"ok","cycle_status":"ok","soil_tension_kpa":-27.9,"soil_tension_rs485_status":"ok"}</x:v>
      </x:c>
    </x:row>
    <x:row r="1111">
      <x:c r="A1111" s="72" t="n">
        <x:v>46240.96241898148</x:v>
      </x:c>
      <x:c r="B1111" s="72" t="n">
        <x:v>46240.96243287037</x:v>
      </x:c>
      <x:c r="C1111" s="32" t="str">
        <x:v>P04</x:v>
      </x:c>
      <x:c r="D1111" s="32" t="str">
        <x:v>B1-W1-V2</x:v>
      </x:c>
      <x:c r="E1111" s="32" t="str">
        <x:v>B1</x:v>
      </x:c>
      <x:c r="F1111" s="32" t="str">
        <x:v>W1</x:v>
      </x:c>
      <x:c r="G1111" s="32" t="str">
        <x:v>V2</x:v>
      </x:c>
      <x:c r="H1111" s="32" t="str">
        <x:v>tension_soil</x:v>
      </x:c>
      <x:c r="I1111" s="32" t="str">
        <x:v>862323089930704</x:v>
      </x:c>
      <x:c r="J1111" s="82"/>
      <x:c r="K1111" s="82" t="n">
        <x:v>-29</x:v>
      </x:c>
      <x:c r="L1111" s="82" t="n">
        <x:v>40</x:v>
      </x:c>
      <x:c r="M1111" s="82" t="n">
        <x:v>25.6</x:v>
      </x:c>
      <x:c r="N1111" s="86" t="n">
        <x:v>863</x:v>
      </x:c>
      <x:c r="O1111" s="90" t="n">
        <x:v>6.53</x:v>
      </x:c>
      <x:c r="P1111" s="150" t="n">
        <x:v>3.992</x:v>
      </x:c>
      <x:c r="Q1111" s="86" t="n">
        <x:v>21</x:v>
      </x:c>
      <x:c r="R1111" s="32"/>
      <x:c r="S1111" s="32" t="str">
        <x:v>ok</x:v>
      </x:c>
      <x:c r="T1111" s="32" t="str">
        <x:v>ok</x:v>
      </x:c>
      <x:c r="U1111" s="32" t="str">
        <x:v>ok</x:v>
      </x:c>
      <x:c r="V1111" s="32" t="str">
        <x:v>ok</x:v>
      </x:c>
      <x:c r="W1111" s="154" t="str">
        <x:v>{"schema_version":1,"imei":"862323089930704","timestamp":1786028753,"report_sequence":47,"task_version":"rice_tension_soil_demo","sensor_mode":"tension_soil","soil_moisture_percent":40,"soil_temperature_c":25.6,"soil_ec_us_cm":863,"soil_ph":6.53,"battery_mv":3992,"csq":21,"soil_rs485_status":"ok","cycle_status":"ok","soil_tension_kpa":-29,"soil_tension_rs485_status":"ok"}</x:v>
      </x:c>
    </x:row>
    <x:row r="1112">
      <x:c r="A1112" s="72" t="n">
        <x:v>46240.96241898148</x:v>
      </x:c>
      <x:c r="B1112" s="72" t="n">
        <x:v>46240.96243287037</x:v>
      </x:c>
      <x:c r="C1112" s="32" t="str">
        <x:v>P05</x:v>
      </x:c>
      <x:c r="D1112" s="32" t="str">
        <x:v>B1-W2-V1</x:v>
      </x:c>
      <x:c r="E1112" s="32" t="str">
        <x:v>B1</x:v>
      </x:c>
      <x:c r="F1112" s="32" t="str">
        <x:v>W2</x:v>
      </x:c>
      <x:c r="G1112" s="32" t="str">
        <x:v>V1</x:v>
      </x:c>
      <x:c r="H1112" s="32" t="str">
        <x:v>tension_soil</x:v>
      </x:c>
      <x:c r="I1112" s="32" t="str">
        <x:v>862323089930705</x:v>
      </x:c>
      <x:c r="J1112" s="82"/>
      <x:c r="K1112" s="82" t="n">
        <x:v>-36</x:v>
      </x:c>
      <x:c r="L1112" s="82" t="n">
        <x:v>41</x:v>
      </x:c>
      <x:c r="M1112" s="82" t="n">
        <x:v>25.6</x:v>
      </x:c>
      <x:c r="N1112" s="86" t="n">
        <x:v>874</x:v>
      </x:c>
      <x:c r="O1112" s="90" t="n">
        <x:v>6.33</x:v>
      </x:c>
      <x:c r="P1112" s="150" t="n">
        <x:v>4.01</x:v>
      </x:c>
      <x:c r="Q1112" s="86" t="n">
        <x:v>22</x:v>
      </x:c>
      <x:c r="R1112" s="32"/>
      <x:c r="S1112" s="32" t="str">
        <x:v>ok</x:v>
      </x:c>
      <x:c r="T1112" s="32" t="str">
        <x:v>ok</x:v>
      </x:c>
      <x:c r="U1112" s="32" t="str">
        <x:v>ok</x:v>
      </x:c>
      <x:c r="V1112" s="32" t="str">
        <x:v>ok</x:v>
      </x:c>
      <x:c r="W1112" s="154" t="str">
        <x:v>{"schema_version":1,"imei":"862323089930705","timestamp":1786028753,"report_sequence":47,"task_version":"rice_tension_soil_demo","sensor_mode":"tension_soil","soil_moisture_percent":41,"soil_temperature_c":25.6,"soil_ec_us_cm":874,"soil_ph":6.33,"battery_mv":4010,"csq":22,"soil_rs485_status":"ok","cycle_status":"ok","soil_tension_kpa":-36,"soil_tension_rs485_status":"ok"}</x:v>
      </x:c>
    </x:row>
    <x:row r="1113">
      <x:c r="A1113" s="72" t="n">
        <x:v>46240.96241898148</x:v>
      </x:c>
      <x:c r="B1113" s="72" t="n">
        <x:v>46240.96243287037</x:v>
      </x:c>
      <x:c r="C1113" s="32" t="str">
        <x:v>P06</x:v>
      </x:c>
      <x:c r="D1113" s="32" t="str">
        <x:v>B1-W2-V2</x:v>
      </x:c>
      <x:c r="E1113" s="32" t="str">
        <x:v>B1</x:v>
      </x:c>
      <x:c r="F1113" s="32" t="str">
        <x:v>W2</x:v>
      </x:c>
      <x:c r="G1113" s="32" t="str">
        <x:v>V2</x:v>
      </x:c>
      <x:c r="H1113" s="32" t="str">
        <x:v>tension_soil</x:v>
      </x:c>
      <x:c r="I1113" s="32" t="str">
        <x:v>862323089930706</x:v>
      </x:c>
      <x:c r="J1113" s="82"/>
      <x:c r="K1113" s="82" t="n">
        <x:v>-36.8</x:v>
      </x:c>
      <x:c r="L1113" s="82" t="n">
        <x:v>41.8</x:v>
      </x:c>
      <x:c r="M1113" s="82" t="n">
        <x:v>25.6</x:v>
      </x:c>
      <x:c r="N1113" s="86" t="n">
        <x:v>884</x:v>
      </x:c>
      <x:c r="O1113" s="90" t="n">
        <x:v>6.38</x:v>
      </x:c>
      <x:c r="P1113" s="150" t="n">
        <x:v>3.92</x:v>
      </x:c>
      <x:c r="Q1113" s="86" t="n">
        <x:v>23</x:v>
      </x:c>
      <x:c r="R1113" s="32"/>
      <x:c r="S1113" s="32" t="str">
        <x:v>ok</x:v>
      </x:c>
      <x:c r="T1113" s="32" t="str">
        <x:v>ok</x:v>
      </x:c>
      <x:c r="U1113" s="32" t="str">
        <x:v>ok</x:v>
      </x:c>
      <x:c r="V1113" s="32" t="str">
        <x:v>ok</x:v>
      </x:c>
      <x:c r="W1113" s="154" t="str">
        <x:v>{"schema_version":1,"imei":"862323089930706","timestamp":1786028753,"report_sequence":47,"task_version":"rice_tension_soil_demo","sensor_mode":"tension_soil","soil_moisture_percent":41.8,"soil_temperature_c":25.6,"soil_ec_us_cm":884,"soil_ph":6.38,"battery_mv":3920,"csq":23,"soil_rs485_status":"ok","cycle_status":"ok","soil_tension_kpa":-36.8,"soil_tension_rs485_status":"ok"}</x:v>
      </x:c>
    </x:row>
    <x:row r="1114">
      <x:c r="A1114" s="72" t="n">
        <x:v>46240.96241898148</x:v>
      </x:c>
      <x:c r="B1114" s="72" t="n">
        <x:v>46240.96243287037</x:v>
      </x:c>
      <x:c r="C1114" s="32" t="str">
        <x:v>P07</x:v>
      </x:c>
      <x:c r="D1114" s="32" t="str">
        <x:v>B2-W0-V1</x:v>
      </x:c>
      <x:c r="E1114" s="32" t="str">
        <x:v>B2</x:v>
      </x:c>
      <x:c r="F1114" s="32" t="str">
        <x:v>W0</x:v>
      </x:c>
      <x:c r="G1114" s="32" t="str">
        <x:v>V1</x:v>
      </x:c>
      <x:c r="H1114" s="32" t="str">
        <x:v>water_soil</x:v>
      </x:c>
      <x:c r="I1114" s="32" t="str">
        <x:v>862323089930707</x:v>
      </x:c>
      <x:c r="J1114" s="82" t="n">
        <x:v>40.9</x:v>
      </x:c>
      <x:c r="K1114" s="82"/>
      <x:c r="L1114" s="82" t="n">
        <x:v>42.6</x:v>
      </x:c>
      <x:c r="M1114" s="82" t="n">
        <x:v>25.5</x:v>
      </x:c>
      <x:c r="N1114" s="86" t="n">
        <x:v>891</x:v>
      </x:c>
      <x:c r="O1114" s="90" t="n">
        <x:v>6.42</x:v>
      </x:c>
      <x:c r="P1114" s="150" t="n">
        <x:v>3.938</x:v>
      </x:c>
      <x:c r="Q1114" s="86" t="n">
        <x:v>24</x:v>
      </x:c>
      <x:c r="R1114" s="32" t="str">
        <x:v>ok</x:v>
      </x:c>
      <x:c r="S1114" s="32"/>
      <x:c r="T1114" s="32" t="str">
        <x:v>ok</x:v>
      </x:c>
      <x:c r="U1114" s="32" t="str">
        <x:v>ok</x:v>
      </x:c>
      <x:c r="V1114" s="32" t="str">
        <x:v>ok</x:v>
      </x:c>
      <x:c r="W1114" s="154" t="str">
        <x:v>{"schema_version":1,"imei":"862323089930707","timestamp":1786028753,"report_sequence":47,"task_version":"rice_w0_water_soil_demo","sensor_mode":"water_soil","soil_moisture_percent":42.6,"soil_temperature_c":25.5,"soil_ec_us_cm":891,"soil_ph":6.42,"battery_mv":3938,"csq":24,"soil_rs485_status":"ok","cycle_status":"ok","water_level_mm":40.9,"water_4_20ma_status":"ok"}</x:v>
      </x:c>
    </x:row>
    <x:row r="1115">
      <x:c r="A1115" s="72" t="n">
        <x:v>46240.96241898148</x:v>
      </x:c>
      <x:c r="B1115" s="72" t="n">
        <x:v>46240.96243287037</x:v>
      </x:c>
      <x:c r="C1115" s="32" t="str">
        <x:v>P08</x:v>
      </x:c>
      <x:c r="D1115" s="32" t="str">
        <x:v>B2-W0-V2</x:v>
      </x:c>
      <x:c r="E1115" s="32" t="str">
        <x:v>B2</x:v>
      </x:c>
      <x:c r="F1115" s="32" t="str">
        <x:v>W0</x:v>
      </x:c>
      <x:c r="G1115" s="32" t="str">
        <x:v>V2</x:v>
      </x:c>
      <x:c r="H1115" s="32" t="str">
        <x:v>water_soil</x:v>
      </x:c>
      <x:c r="I1115" s="32" t="str">
        <x:v>862323089930708</x:v>
      </x:c>
      <x:c r="J1115" s="82" t="n">
        <x:v>31</x:v>
      </x:c>
      <x:c r="K1115" s="82"/>
      <x:c r="L1115" s="82" t="n">
        <x:v>35.2</x:v>
      </x:c>
      <x:c r="M1115" s="82" t="n">
        <x:v>25.4</x:v>
      </x:c>
      <x:c r="N1115" s="86" t="n">
        <x:v>897</x:v>
      </x:c>
      <x:c r="O1115" s="90" t="n">
        <x:v>6.47</x:v>
      </x:c>
      <x:c r="P1115" s="150" t="n">
        <x:v>3.956</x:v>
      </x:c>
      <x:c r="Q1115" s="86" t="n">
        <x:v>17</x:v>
      </x:c>
      <x:c r="R1115" s="32" t="str">
        <x:v>ok</x:v>
      </x:c>
      <x:c r="S1115" s="32"/>
      <x:c r="T1115" s="32" t="str">
        <x:v>ok</x:v>
      </x:c>
      <x:c r="U1115" s="32" t="str">
        <x:v>ok</x:v>
      </x:c>
      <x:c r="V1115" s="32" t="str">
        <x:v>ok</x:v>
      </x:c>
      <x:c r="W1115" s="154" t="str">
        <x:v>{"schema_version":1,"imei":"862323089930708","timestamp":1786028753,"report_sequence":47,"task_version":"rice_w0_water_soil_demo","sensor_mode":"water_soil","soil_moisture_percent":35.2,"soil_temperature_c":25.4,"soil_ec_us_cm":897,"soil_ph":6.47,"battery_mv":3956,"csq":17,"soil_rs485_status":"ok","cycle_status":"ok","water_level_mm":31,"water_4_20ma_status":"ok"}</x:v>
      </x:c>
    </x:row>
    <x:row r="1116">
      <x:c r="A1116" s="72" t="n">
        <x:v>46240.96241898148</x:v>
      </x:c>
      <x:c r="B1116" s="72" t="n">
        <x:v>46240.96243287037</x:v>
      </x:c>
      <x:c r="C1116" s="32" t="str">
        <x:v>P09</x:v>
      </x:c>
      <x:c r="D1116" s="32" t="str">
        <x:v>B2-W1-V1</x:v>
      </x:c>
      <x:c r="E1116" s="32" t="str">
        <x:v>B2</x:v>
      </x:c>
      <x:c r="F1116" s="32" t="str">
        <x:v>W1</x:v>
      </x:c>
      <x:c r="G1116" s="32" t="str">
        <x:v>V1</x:v>
      </x:c>
      <x:c r="H1116" s="32" t="str">
        <x:v>tension_soil</x:v>
      </x:c>
      <x:c r="I1116" s="32" t="str">
        <x:v>862323089930709</x:v>
      </x:c>
      <x:c r="J1116" s="82"/>
      <x:c r="K1116" s="82" t="n">
        <x:v>-27.8</x:v>
      </x:c>
      <x:c r="L1116" s="82" t="n">
        <x:v>35.8</x:v>
      </x:c>
      <x:c r="M1116" s="82" t="n">
        <x:v>25.3</x:v>
      </x:c>
      <x:c r="N1116" s="86" t="n">
        <x:v>901</x:v>
      </x:c>
      <x:c r="O1116" s="90" t="n">
        <x:v>6.51</x:v>
      </x:c>
      <x:c r="P1116" s="150" t="n">
        <x:v>3.974</x:v>
      </x:c>
      <x:c r="Q1116" s="86" t="n">
        <x:v>18</x:v>
      </x:c>
      <x:c r="R1116" s="32"/>
      <x:c r="S1116" s="32" t="str">
        <x:v>ok</x:v>
      </x:c>
      <x:c r="T1116" s="32" t="str">
        <x:v>ok</x:v>
      </x:c>
      <x:c r="U1116" s="32" t="str">
        <x:v>ok</x:v>
      </x:c>
      <x:c r="V1116" s="32" t="str">
        <x:v>ok</x:v>
      </x:c>
      <x:c r="W1116" s="154" t="str">
        <x:v>{"schema_version":1,"imei":"862323089930709","timestamp":1786028753,"report_sequence":47,"task_version":"rice_tension_soil_demo","sensor_mode":"tension_soil","soil_moisture_percent":35.8,"soil_temperature_c":25.3,"soil_ec_us_cm":901,"soil_ph":6.51,"battery_mv":3974,"csq":18,"soil_rs485_status":"ok","cycle_status":"ok","soil_tension_kpa":-27.8,"soil_tension_rs485_status":"ok"}</x:v>
      </x:c>
    </x:row>
    <x:row r="1117">
      <x:c r="A1117" s="72" t="n">
        <x:v>46240.96241898148</x:v>
      </x:c>
      <x:c r="B1117" s="72" t="n">
        <x:v>46240.96243287037</x:v>
      </x:c>
      <x:c r="C1117" s="32" t="str">
        <x:v>P10</x:v>
      </x:c>
      <x:c r="D1117" s="32" t="str">
        <x:v>B2-W1-V2</x:v>
      </x:c>
      <x:c r="E1117" s="32" t="str">
        <x:v>B2</x:v>
      </x:c>
      <x:c r="F1117" s="32" t="str">
        <x:v>W1</x:v>
      </x:c>
      <x:c r="G1117" s="32" t="str">
        <x:v>V2</x:v>
      </x:c>
      <x:c r="H1117" s="32" t="str">
        <x:v>tension_soil</x:v>
      </x:c>
      <x:c r="I1117" s="32" t="str">
        <x:v>862323089930710</x:v>
      </x:c>
      <x:c r="J1117" s="82"/>
      <x:c r="K1117" s="82" t="n">
        <x:v>-23.3</x:v>
      </x:c>
      <x:c r="L1117" s="82" t="n">
        <x:v>36.3</x:v>
      </x:c>
      <x:c r="M1117" s="82" t="n">
        <x:v>25.2</x:v>
      </x:c>
      <x:c r="N1117" s="86" t="n">
        <x:v>905</x:v>
      </x:c>
      <x:c r="O1117" s="90" t="n">
        <x:v>6.3</x:v>
      </x:c>
      <x:c r="P1117" s="150" t="n">
        <x:v>3.992</x:v>
      </x:c>
      <x:c r="Q1117" s="86" t="n">
        <x:v>19</x:v>
      </x:c>
      <x:c r="R1117" s="32"/>
      <x:c r="S1117" s="32" t="str">
        <x:v>ok</x:v>
      </x:c>
      <x:c r="T1117" s="32" t="str">
        <x:v>ok</x:v>
      </x:c>
      <x:c r="U1117" s="32" t="str">
        <x:v>ok</x:v>
      </x:c>
      <x:c r="V1117" s="32" t="str">
        <x:v>ok</x:v>
      </x:c>
      <x:c r="W1117" s="154" t="str">
        <x:v>{"schema_version":1,"imei":"862323089930710","timestamp":1786028753,"report_sequence":47,"task_version":"rice_tension_soil_demo","sensor_mode":"tension_soil","soil_moisture_percent":36.3,"soil_temperature_c":25.2,"soil_ec_us_cm":905,"soil_ph":6.3,"battery_mv":3992,"csq":19,"soil_rs485_status":"ok","cycle_status":"ok","soil_tension_kpa":-23.3,"soil_tension_rs485_status":"ok"}</x:v>
      </x:c>
    </x:row>
    <x:row r="1118">
      <x:c r="A1118" s="72" t="n">
        <x:v>46240.96241898148</x:v>
      </x:c>
      <x:c r="B1118" s="72" t="n">
        <x:v>46240.96243287037</x:v>
      </x:c>
      <x:c r="C1118" s="32" t="str">
        <x:v>P11</x:v>
      </x:c>
      <x:c r="D1118" s="32" t="str">
        <x:v>B2-W2-V1</x:v>
      </x:c>
      <x:c r="E1118" s="32" t="str">
        <x:v>B2</x:v>
      </x:c>
      <x:c r="F1118" s="32" t="str">
        <x:v>W2</x:v>
      </x:c>
      <x:c r="G1118" s="32" t="str">
        <x:v>V1</x:v>
      </x:c>
      <x:c r="H1118" s="32" t="str">
        <x:v>tension_soil</x:v>
      </x:c>
      <x:c r="I1118" s="32" t="str">
        <x:v>862323089930711</x:v>
      </x:c>
      <x:c r="J1118" s="82"/>
      <x:c r="K1118" s="82" t="n">
        <x:v>-34.8</x:v>
      </x:c>
      <x:c r="L1118" s="82" t="n">
        <x:v>36.8</x:v>
      </x:c>
      <x:c r="M1118" s="82" t="n">
        <x:v>25</x:v>
      </x:c>
      <x:c r="N1118" s="86" t="n">
        <x:v>908</x:v>
      </x:c>
      <x:c r="O1118" s="90" t="n">
        <x:v>6.35</x:v>
      </x:c>
      <x:c r="P1118" s="150" t="n">
        <x:v>4.01</x:v>
      </x:c>
      <x:c r="Q1118" s="86" t="n">
        <x:v>20</x:v>
      </x:c>
      <x:c r="R1118" s="32"/>
      <x:c r="S1118" s="32" t="str">
        <x:v>ok</x:v>
      </x:c>
      <x:c r="T1118" s="32" t="str">
        <x:v>ok</x:v>
      </x:c>
      <x:c r="U1118" s="32" t="str">
        <x:v>ok</x:v>
      </x:c>
      <x:c r="V1118" s="32" t="str">
        <x:v>ok</x:v>
      </x:c>
      <x:c r="W1118" s="154" t="str">
        <x:v>{"schema_version":1,"imei":"862323089930711","timestamp":1786028753,"report_sequence":47,"task_version":"rice_tension_soil_demo","sensor_mode":"tension_soil","soil_moisture_percent":36.8,"soil_temperature_c":25,"soil_ec_us_cm":908,"soil_ph":6.35,"battery_mv":4010,"csq":20,"soil_rs485_status":"ok","cycle_status":"ok","soil_tension_kpa":-34.8,"soil_tension_rs485_status":"ok"}</x:v>
      </x:c>
    </x:row>
    <x:row r="1119">
      <x:c r="A1119" s="72" t="n">
        <x:v>46240.96241898148</x:v>
      </x:c>
      <x:c r="B1119" s="72" t="n">
        <x:v>46240.96243287037</x:v>
      </x:c>
      <x:c r="C1119" s="32" t="str">
        <x:v>P12</x:v>
      </x:c>
      <x:c r="D1119" s="32" t="str">
        <x:v>B2-W2-V2</x:v>
      </x:c>
      <x:c r="E1119" s="32" t="str">
        <x:v>B2</x:v>
      </x:c>
      <x:c r="F1119" s="32" t="str">
        <x:v>W2</x:v>
      </x:c>
      <x:c r="G1119" s="32" t="str">
        <x:v>V2</x:v>
      </x:c>
      <x:c r="H1119" s="32" t="str">
        <x:v>tension_soil</x:v>
      </x:c>
      <x:c r="I1119" s="32" t="str">
        <x:v>862323089930712</x:v>
      </x:c>
      <x:c r="J1119" s="82"/>
      <x:c r="K1119" s="82" t="n">
        <x:v>-35.3</x:v>
      </x:c>
      <x:c r="L1119" s="82" t="n">
        <x:v>37.3</x:v>
      </x:c>
      <x:c r="M1119" s="82" t="n">
        <x:v>24.9</x:v>
      </x:c>
      <x:c r="N1119" s="86" t="n">
        <x:v>912</x:v>
      </x:c>
      <x:c r="O1119" s="90" t="n">
        <x:v>6.39</x:v>
      </x:c>
      <x:c r="P1119" s="150" t="n">
        <x:v>3.92</x:v>
      </x:c>
      <x:c r="Q1119" s="86" t="n">
        <x:v>21</x:v>
      </x:c>
      <x:c r="R1119" s="32"/>
      <x:c r="S1119" s="32" t="str">
        <x:v>ok</x:v>
      </x:c>
      <x:c r="T1119" s="32" t="str">
        <x:v>ok</x:v>
      </x:c>
      <x:c r="U1119" s="32" t="str">
        <x:v>ok</x:v>
      </x:c>
      <x:c r="V1119" s="32" t="str">
        <x:v>ok</x:v>
      </x:c>
      <x:c r="W1119" s="154" t="str">
        <x:v>{"schema_version":1,"imei":"862323089930712","timestamp":1786028753,"report_sequence":47,"task_version":"rice_tension_soil_demo","sensor_mode":"tension_soil","soil_moisture_percent":37.3,"soil_temperature_c":24.9,"soil_ec_us_cm":912,"soil_ph":6.39,"battery_mv":3920,"csq":21,"soil_rs485_status":"ok","cycle_status":"ok","soil_tension_kpa":-35.3,"soil_tension_rs485_status":"ok"}</x:v>
      </x:c>
    </x:row>
    <x:row r="1120">
      <x:c r="A1120" s="72" t="n">
        <x:v>46240.96241898148</x:v>
      </x:c>
      <x:c r="B1120" s="72" t="n">
        <x:v>46240.96243287037</x:v>
      </x:c>
      <x:c r="C1120" s="32" t="str">
        <x:v>P13</x:v>
      </x:c>
      <x:c r="D1120" s="32" t="str">
        <x:v>B3-W0-V1</x:v>
      </x:c>
      <x:c r="E1120" s="32" t="str">
        <x:v>B3</x:v>
      </x:c>
      <x:c r="F1120" s="32" t="str">
        <x:v>W0</x:v>
      </x:c>
      <x:c r="G1120" s="32" t="str">
        <x:v>V1</x:v>
      </x:c>
      <x:c r="H1120" s="32" t="str">
        <x:v>water_soil</x:v>
      </x:c>
      <x:c r="I1120" s="32" t="str">
        <x:v>862323089930713</x:v>
      </x:c>
      <x:c r="J1120" s="82" t="n">
        <x:v>28.1</x:v>
      </x:c>
      <x:c r="K1120" s="82"/>
      <x:c r="L1120" s="82" t="n">
        <x:v>37.9</x:v>
      </x:c>
      <x:c r="M1120" s="82" t="n">
        <x:v>24.8</x:v>
      </x:c>
      <x:c r="N1120" s="86" t="n">
        <x:v>916</x:v>
      </x:c>
      <x:c r="O1120" s="90" t="n">
        <x:v>6.43</x:v>
      </x:c>
      <x:c r="P1120" s="150" t="n">
        <x:v>3.938</x:v>
      </x:c>
      <x:c r="Q1120" s="86" t="n">
        <x:v>22</x:v>
      </x:c>
      <x:c r="R1120" s="32" t="str">
        <x:v>ok</x:v>
      </x:c>
      <x:c r="S1120" s="32"/>
      <x:c r="T1120" s="32" t="str">
        <x:v>ok</x:v>
      </x:c>
      <x:c r="U1120" s="32" t="str">
        <x:v>ok</x:v>
      </x:c>
      <x:c r="V1120" s="32" t="str">
        <x:v>ok</x:v>
      </x:c>
      <x:c r="W1120" s="154" t="str">
        <x:v>{"schema_version":1,"imei":"862323089930713","timestamp":1786028753,"report_sequence":47,"task_version":"rice_w0_water_soil_demo","sensor_mode":"water_soil","soil_moisture_percent":37.9,"soil_temperature_c":24.8,"soil_ec_us_cm":916,"soil_ph":6.43,"battery_mv":3938,"csq":22,"soil_rs485_status":"ok","cycle_status":"ok","water_level_mm":28.1,"water_4_20ma_status":"ok"}</x:v>
      </x:c>
    </x:row>
    <x:row r="1121">
      <x:c r="A1121" s="72" t="n">
        <x:v>46240.96241898148</x:v>
      </x:c>
      <x:c r="B1121" s="72" t="n">
        <x:v>46240.96243287037</x:v>
      </x:c>
      <x:c r="C1121" s="32" t="str">
        <x:v>P14</x:v>
      </x:c>
      <x:c r="D1121" s="32" t="str">
        <x:v>B3-W0-V2</x:v>
      </x:c>
      <x:c r="E1121" s="32" t="str">
        <x:v>B3</x:v>
      </x:c>
      <x:c r="F1121" s="32" t="str">
        <x:v>W0</x:v>
      </x:c>
      <x:c r="G1121" s="32" t="str">
        <x:v>V2</x:v>
      </x:c>
      <x:c r="H1121" s="32" t="str">
        <x:v>water_soil</x:v>
      </x:c>
      <x:c r="I1121" s="32" t="str">
        <x:v>862323089930714</x:v>
      </x:c>
      <x:c r="J1121" s="82" t="n">
        <x:v>30.2</x:v>
      </x:c>
      <x:c r="K1121" s="82"/>
      <x:c r="L1121" s="82" t="n">
        <x:v>38.5</x:v>
      </x:c>
      <x:c r="M1121" s="82" t="n">
        <x:v>24.7</x:v>
      </x:c>
      <x:c r="N1121" s="86" t="n">
        <x:v>922</x:v>
      </x:c>
      <x:c r="O1121" s="90" t="n">
        <x:v>6.48</x:v>
      </x:c>
      <x:c r="P1121" s="150" t="n">
        <x:v>3.956</x:v>
      </x:c>
      <x:c r="Q1121" s="86" t="n">
        <x:v>23</x:v>
      </x:c>
      <x:c r="R1121" s="32" t="str">
        <x:v>ok</x:v>
      </x:c>
      <x:c r="S1121" s="32"/>
      <x:c r="T1121" s="32" t="str">
        <x:v>ok</x:v>
      </x:c>
      <x:c r="U1121" s="32" t="str">
        <x:v>ok</x:v>
      </x:c>
      <x:c r="V1121" s="32" t="str">
        <x:v>ok</x:v>
      </x:c>
      <x:c r="W1121" s="154" t="str">
        <x:v>{"schema_version":1,"imei":"862323089930714","timestamp":1786028753,"report_sequence":47,"task_version":"rice_w0_water_soil_demo","sensor_mode":"water_soil","soil_moisture_percent":38.5,"soil_temperature_c":24.7,"soil_ec_us_cm":922,"soil_ph":6.48,"battery_mv":3956,"csq":23,"soil_rs485_status":"ok","cycle_status":"ok","water_level_mm":30.2,"water_4_20ma_status":"ok"}</x:v>
      </x:c>
    </x:row>
    <x:row r="1122">
      <x:c r="A1122" s="72" t="n">
        <x:v>46240.96241898148</x:v>
      </x:c>
      <x:c r="B1122" s="72" t="n">
        <x:v>46240.96243287037</x:v>
      </x:c>
      <x:c r="C1122" s="32" t="str">
        <x:v>P15</x:v>
      </x:c>
      <x:c r="D1122" s="32" t="str">
        <x:v>B3-W1-V1</x:v>
      </x:c>
      <x:c r="E1122" s="32" t="str">
        <x:v>B3</x:v>
      </x:c>
      <x:c r="F1122" s="32" t="str">
        <x:v>W1</x:v>
      </x:c>
      <x:c r="G1122" s="32" t="str">
        <x:v>V1</x:v>
      </x:c>
      <x:c r="H1122" s="32" t="str">
        <x:v>tension_soil</x:v>
      </x:c>
      <x:c r="I1122" s="32" t="str">
        <x:v>862323089930715</x:v>
      </x:c>
      <x:c r="J1122" s="82"/>
      <x:c r="K1122" s="82" t="n">
        <x:v>-21.2</x:v>
      </x:c>
      <x:c r="L1122" s="82" t="n">
        <x:v>39.2</x:v>
      </x:c>
      <x:c r="M1122" s="82" t="n">
        <x:v>24.7</x:v>
      </x:c>
      <x:c r="N1122" s="86" t="n">
        <x:v>929</x:v>
      </x:c>
      <x:c r="O1122" s="90" t="n">
        <x:v>6.27</x:v>
      </x:c>
      <x:c r="P1122" s="150" t="n">
        <x:v>3.974</x:v>
      </x:c>
      <x:c r="Q1122" s="86" t="n">
        <x:v>24</x:v>
      </x:c>
      <x:c r="R1122" s="32"/>
      <x:c r="S1122" s="32" t="str">
        <x:v>ok</x:v>
      </x:c>
      <x:c r="T1122" s="32" t="str">
        <x:v>ok</x:v>
      </x:c>
      <x:c r="U1122" s="32" t="str">
        <x:v>ok</x:v>
      </x:c>
      <x:c r="V1122" s="32" t="str">
        <x:v>ok</x:v>
      </x:c>
      <x:c r="W1122" s="154" t="str">
        <x:v>{"schema_version":1,"imei":"862323089930715","timestamp":1786028753,"report_sequence":47,"task_version":"rice_tension_soil_demo","sensor_mode":"tension_soil","soil_moisture_percent":39.2,"soil_temperature_c":24.7,"soil_ec_us_cm":929,"soil_ph":6.27,"battery_mv":3974,"csq":24,"soil_rs485_status":"ok","cycle_status":"ok","soil_tension_kpa":-21.2,"soil_tension_rs485_status":"ok"}</x:v>
      </x:c>
    </x:row>
    <x:row r="1123">
      <x:c r="A1123" s="72" t="n">
        <x:v>46240.96241898148</x:v>
      </x:c>
      <x:c r="B1123" s="72" t="n">
        <x:v>46240.96243287037</x:v>
      </x:c>
      <x:c r="C1123" s="32" t="str">
        <x:v>P16</x:v>
      </x:c>
      <x:c r="D1123" s="32" t="str">
        <x:v>B3-W1-V2</x:v>
      </x:c>
      <x:c r="E1123" s="32" t="str">
        <x:v>B3</x:v>
      </x:c>
      <x:c r="F1123" s="32" t="str">
        <x:v>W1</x:v>
      </x:c>
      <x:c r="G1123" s="32" t="str">
        <x:v>V2</x:v>
      </x:c>
      <x:c r="H1123" s="32" t="str">
        <x:v>tension_soil</x:v>
      </x:c>
      <x:c r="I1123" s="32" t="str">
        <x:v>862323089930716</x:v>
      </x:c>
      <x:c r="J1123" s="82"/>
      <x:c r="K1123" s="82" t="n">
        <x:v>-22</x:v>
      </x:c>
      <x:c r="L1123" s="82" t="n">
        <x:v>32</x:v>
      </x:c>
      <x:c r="M1123" s="82" t="n">
        <x:v>24.6</x:v>
      </x:c>
      <x:c r="N1123" s="86" t="n">
        <x:v>938</x:v>
      </x:c>
      <x:c r="O1123" s="90" t="n">
        <x:v>6.32</x:v>
      </x:c>
      <x:c r="P1123" s="150" t="n">
        <x:v>3.992</x:v>
      </x:c>
      <x:c r="Q1123" s="86" t="n">
        <x:v>17</x:v>
      </x:c>
      <x:c r="R1123" s="32"/>
      <x:c r="S1123" s="32" t="str">
        <x:v>ok</x:v>
      </x:c>
      <x:c r="T1123" s="32" t="str">
        <x:v>ok</x:v>
      </x:c>
      <x:c r="U1123" s="32" t="str">
        <x:v>ok</x:v>
      </x:c>
      <x:c r="V1123" s="32" t="str">
        <x:v>ok</x:v>
      </x:c>
      <x:c r="W1123" s="154" t="str">
        <x:v>{"schema_version":1,"imei":"862323089930716","timestamp":1786028753,"report_sequence":47,"task_version":"rice_tension_soil_demo","sensor_mode":"tension_soil","soil_moisture_percent":32,"soil_temperature_c":24.6,"soil_ec_us_cm":938,"soil_ph":6.32,"battery_mv":3992,"csq":17,"soil_rs485_status":"ok","cycle_status":"ok","soil_tension_kpa":-22,"soil_tension_rs485_status":"ok"}</x:v>
      </x:c>
    </x:row>
    <x:row r="1124">
      <x:c r="A1124" s="72" t="n">
        <x:v>46240.96241898148</x:v>
      </x:c>
      <x:c r="B1124" s="72" t="n">
        <x:v>46240.96243287037</x:v>
      </x:c>
      <x:c r="C1124" s="32" t="str">
        <x:v>P17</x:v>
      </x:c>
      <x:c r="D1124" s="32" t="str">
        <x:v>B3-W2-V1</x:v>
      </x:c>
      <x:c r="E1124" s="32" t="str">
        <x:v>B3</x:v>
      </x:c>
      <x:c r="F1124" s="32" t="str">
        <x:v>W2</x:v>
      </x:c>
      <x:c r="G1124" s="32" t="str">
        <x:v>V1</x:v>
      </x:c>
      <x:c r="H1124" s="32" t="str">
        <x:v>tension_soil</x:v>
      </x:c>
      <x:c r="I1124" s="32" t="str">
        <x:v>862323089930717</x:v>
      </x:c>
      <x:c r="J1124" s="82"/>
      <x:c r="K1124" s="82" t="n">
        <x:v>-34</x:v>
      </x:c>
      <x:c r="L1124" s="82" t="n">
        <x:v>33</x:v>
      </x:c>
      <x:c r="M1124" s="82" t="n">
        <x:v>24.6</x:v>
      </x:c>
      <x:c r="N1124" s="86" t="n">
        <x:v>949</x:v>
      </x:c>
      <x:c r="O1124" s="90" t="n">
        <x:v>6.37</x:v>
      </x:c>
      <x:c r="P1124" s="150" t="n">
        <x:v>4.01</x:v>
      </x:c>
      <x:c r="Q1124" s="86" t="n">
        <x:v>18</x:v>
      </x:c>
      <x:c r="R1124" s="32"/>
      <x:c r="S1124" s="32" t="str">
        <x:v>ok</x:v>
      </x:c>
      <x:c r="T1124" s="32" t="str">
        <x:v>ok</x:v>
      </x:c>
      <x:c r="U1124" s="32" t="str">
        <x:v>ok</x:v>
      </x:c>
      <x:c r="V1124" s="32" t="str">
        <x:v>ok</x:v>
      </x:c>
      <x:c r="W1124" s="154" t="str">
        <x:v>{"schema_version":1,"imei":"862323089930717","timestamp":1786028753,"report_sequence":47,"task_version":"rice_tension_soil_demo","sensor_mode":"tension_soil","soil_moisture_percent":33,"soil_temperature_c":24.6,"soil_ec_us_cm":949,"soil_ph":6.37,"battery_mv":4010,"csq":18,"soil_rs485_status":"ok","cycle_status":"ok","soil_tension_kpa":-34,"soil_tension_rs485_status":"ok"}</x:v>
      </x:c>
    </x:row>
    <x:row r="1125">
      <x:c r="A1125" s="72" t="n">
        <x:v>46240.96241898148</x:v>
      </x:c>
      <x:c r="B1125" s="72" t="n">
        <x:v>46240.96243287037</x:v>
      </x:c>
      <x:c r="C1125" s="32" t="str">
        <x:v>P18</x:v>
      </x:c>
      <x:c r="D1125" s="32" t="str">
        <x:v>B3-W2-V2</x:v>
      </x:c>
      <x:c r="E1125" s="32" t="str">
        <x:v>B3</x:v>
      </x:c>
      <x:c r="F1125" s="32" t="str">
        <x:v>W2</x:v>
      </x:c>
      <x:c r="G1125" s="32" t="str">
        <x:v>V2</x:v>
      </x:c>
      <x:c r="H1125" s="32" t="str">
        <x:v>tension_soil</x:v>
      </x:c>
      <x:c r="I1125" s="32" t="str">
        <x:v>862323089930718</x:v>
      </x:c>
      <x:c r="J1125" s="82"/>
      <x:c r="K1125" s="82" t="n">
        <x:v>-35.1</x:v>
      </x:c>
      <x:c r="L1125" s="82" t="n">
        <x:v>34.1</x:v>
      </x:c>
      <x:c r="M1125" s="82" t="n">
        <x:v>24.6</x:v>
      </x:c>
      <x:c r="N1125" s="86" t="n">
        <x:v>962</x:v>
      </x:c>
      <x:c r="O1125" s="90" t="n">
        <x:v>6.42</x:v>
      </x:c>
      <x:c r="P1125" s="150" t="n">
        <x:v>3.92</x:v>
      </x:c>
      <x:c r="Q1125" s="86" t="n">
        <x:v>19</x:v>
      </x:c>
      <x:c r="R1125" s="32"/>
      <x:c r="S1125" s="32" t="str">
        <x:v>ok</x:v>
      </x:c>
      <x:c r="T1125" s="32" t="str">
        <x:v>ok</x:v>
      </x:c>
      <x:c r="U1125" s="32" t="str">
        <x:v>ok</x:v>
      </x:c>
      <x:c r="V1125" s="32" t="str">
        <x:v>ok</x:v>
      </x:c>
      <x:c r="W1125" s="154" t="str">
        <x:v>{"schema_version":1,"imei":"862323089930718","timestamp":1786028753,"report_sequence":47,"task_version":"rice_tension_soil_demo","sensor_mode":"tension_soil","soil_moisture_percent":34.1,"soil_temperature_c":24.6,"soil_ec_us_cm":962,"soil_ph":6.42,"battery_mv":3920,"csq":19,"soil_rs485_status":"ok","cycle_status":"ok","soil_tension_kpa":-35.1,"soil_tension_rs485_status":"ok"}</x:v>
      </x:c>
    </x:row>
    <x:row r="1126">
      <x:c r="A1126" s="72" t="n">
        <x:v>46240.96241898148</x:v>
      </x:c>
      <x:c r="B1126" s="72" t="n">
        <x:v>46240.96243287037</x:v>
      </x:c>
      <x:c r="C1126" s="32" t="str">
        <x:v>P19</x:v>
      </x:c>
      <x:c r="D1126" s="32" t="str">
        <x:v>B4-W0-V1</x:v>
      </x:c>
      <x:c r="E1126" s="32" t="str">
        <x:v>B4</x:v>
      </x:c>
      <x:c r="F1126" s="32" t="str">
        <x:v>W0</x:v>
      </x:c>
      <x:c r="G1126" s="32" t="str">
        <x:v>V1</x:v>
      </x:c>
      <x:c r="H1126" s="32" t="str">
        <x:v>water_soil</x:v>
      </x:c>
      <x:c r="I1126" s="32" t="str">
        <x:v>862323089930719</x:v>
      </x:c>
      <x:c r="J1126" s="82" t="n">
        <x:v>32.7</x:v>
      </x:c>
      <x:c r="K1126" s="82"/>
      <x:c r="L1126" s="82" t="n">
        <x:v>35.3</x:v>
      </x:c>
      <x:c r="M1126" s="82" t="n">
        <x:v>24.7</x:v>
      </x:c>
      <x:c r="N1126" s="86" t="n">
        <x:v>978</x:v>
      </x:c>
      <x:c r="O1126" s="90" t="n">
        <x:v>6.47</x:v>
      </x:c>
      <x:c r="P1126" s="150" t="n">
        <x:v>3.938</x:v>
      </x:c>
      <x:c r="Q1126" s="86" t="n">
        <x:v>20</x:v>
      </x:c>
      <x:c r="R1126" s="32" t="str">
        <x:v>ok</x:v>
      </x:c>
      <x:c r="S1126" s="32"/>
      <x:c r="T1126" s="32" t="str">
        <x:v>ok</x:v>
      </x:c>
      <x:c r="U1126" s="32" t="str">
        <x:v>ok</x:v>
      </x:c>
      <x:c r="V1126" s="32" t="str">
        <x:v>ok</x:v>
      </x:c>
      <x:c r="W1126" s="154" t="str">
        <x:v>{"schema_version":1,"imei":"862323089930719","timestamp":1786028753,"report_sequence":47,"task_version":"rice_w0_water_soil_demo","sensor_mode":"water_soil","soil_moisture_percent":35.3,"soil_temperature_c":24.7,"soil_ec_us_cm":978,"soil_ph":6.47,"battery_mv":3938,"csq":20,"soil_rs485_status":"ok","cycle_status":"ok","water_level_mm":32.7,"water_4_20ma_status":"ok"}</x:v>
      </x:c>
    </x:row>
    <x:row r="1127">
      <x:c r="A1127" s="72" t="n">
        <x:v>46240.96241898148</x:v>
      </x:c>
      <x:c r="B1127" s="72" t="n">
        <x:v>46240.96243287037</x:v>
      </x:c>
      <x:c r="C1127" s="32" t="str">
        <x:v>P20</x:v>
      </x:c>
      <x:c r="D1127" s="32" t="str">
        <x:v>B4-W0-V2</x:v>
      </x:c>
      <x:c r="E1127" s="32" t="str">
        <x:v>B4</x:v>
      </x:c>
      <x:c r="F1127" s="32" t="str">
        <x:v>W0</x:v>
      </x:c>
      <x:c r="G1127" s="32" t="str">
        <x:v>V2</x:v>
      </x:c>
      <x:c r="H1127" s="32" t="str">
        <x:v>water_soil</x:v>
      </x:c>
      <x:c r="I1127" s="32" t="str">
        <x:v>862323089930720</x:v>
      </x:c>
      <x:c r="J1127" s="82" t="n">
        <x:v>24.5</x:v>
      </x:c>
      <x:c r="K1127" s="82"/>
      <x:c r="L1127" s="82" t="n">
        <x:v>36.6</x:v>
      </x:c>
      <x:c r="M1127" s="82" t="n">
        <x:v>24.7</x:v>
      </x:c>
      <x:c r="N1127" s="86" t="n">
        <x:v>995</x:v>
      </x:c>
      <x:c r="O1127" s="90" t="n">
        <x:v>6.28</x:v>
      </x:c>
      <x:c r="P1127" s="150" t="n">
        <x:v>3.956</x:v>
      </x:c>
      <x:c r="Q1127" s="86" t="n">
        <x:v>21</x:v>
      </x:c>
      <x:c r="R1127" s="32" t="str">
        <x:v>ok</x:v>
      </x:c>
      <x:c r="S1127" s="32"/>
      <x:c r="T1127" s="32" t="str">
        <x:v>ok</x:v>
      </x:c>
      <x:c r="U1127" s="32" t="str">
        <x:v>ok</x:v>
      </x:c>
      <x:c r="V1127" s="32" t="str">
        <x:v>ok</x:v>
      </x:c>
      <x:c r="W1127" s="154" t="str">
        <x:v>{"schema_version":1,"imei":"862323089930720","timestamp":1786028753,"report_sequence":47,"task_version":"rice_w0_water_soil_demo","sensor_mode":"water_soil","soil_moisture_percent":36.6,"soil_temperature_c":24.7,"soil_ec_us_cm":995,"soil_ph":6.28,"battery_mv":3956,"csq":21,"soil_rs485_status":"ok","cycle_status":"ok","water_level_mm":24.5,"water_4_20ma_status":"ok"}</x:v>
      </x:c>
    </x:row>
    <x:row r="1128">
      <x:c r="A1128" s="72" t="n">
        <x:v>46240.96241898148</x:v>
      </x:c>
      <x:c r="B1128" s="72" t="n">
        <x:v>46240.96243287037</x:v>
      </x:c>
      <x:c r="C1128" s="32" t="str">
        <x:v>P21</x:v>
      </x:c>
      <x:c r="D1128" s="32" t="str">
        <x:v>B4-W1-V1</x:v>
      </x:c>
      <x:c r="E1128" s="32" t="str">
        <x:v>B4</x:v>
      </x:c>
      <x:c r="F1128" s="32" t="str">
        <x:v>W1</x:v>
      </x:c>
      <x:c r="G1128" s="32" t="str">
        <x:v>V1</x:v>
      </x:c>
      <x:c r="H1128" s="32" t="str">
        <x:v>tension_soil</x:v>
      </x:c>
      <x:c r="I1128" s="32" t="str">
        <x:v>862323089930721</x:v>
      </x:c>
      <x:c r="J1128" s="82"/>
      <x:c r="K1128" s="82" t="n">
        <x:v>-23</x:v>
      </x:c>
      <x:c r="L1128" s="82" t="n">
        <x:v>38</x:v>
      </x:c>
      <x:c r="M1128" s="82" t="n">
        <x:v>24.8</x:v>
      </x:c>
      <x:c r="N1128" s="86" t="n">
        <x:v>1014</x:v>
      </x:c>
      <x:c r="O1128" s="90" t="n">
        <x:v>6.33</x:v>
      </x:c>
      <x:c r="P1128" s="150" t="n">
        <x:v>3.974</x:v>
      </x:c>
      <x:c r="Q1128" s="86" t="n">
        <x:v>22</x:v>
      </x:c>
      <x:c r="R1128" s="32"/>
      <x:c r="S1128" s="32" t="str">
        <x:v>ok</x:v>
      </x:c>
      <x:c r="T1128" s="32" t="str">
        <x:v>ok</x:v>
      </x:c>
      <x:c r="U1128" s="32" t="str">
        <x:v>ok</x:v>
      </x:c>
      <x:c r="V1128" s="32" t="str">
        <x:v>ok</x:v>
      </x:c>
      <x:c r="W1128" s="154" t="str">
        <x:v>{"schema_version":1,"imei":"862323089930721","timestamp":1786028753,"report_sequence":47,"task_version":"rice_tension_soil_demo","sensor_mode":"tension_soil","soil_moisture_percent":38,"soil_temperature_c":24.8,"soil_ec_us_cm":1014,"soil_ph":6.33,"battery_mv":3974,"csq":22,"soil_rs485_status":"ok","cycle_status":"ok","soil_tension_kpa":-23,"soil_tension_rs485_status":"ok"}</x:v>
      </x:c>
    </x:row>
    <x:row r="1129">
      <x:c r="A1129" s="72" t="n">
        <x:v>46240.96241898148</x:v>
      </x:c>
      <x:c r="B1129" s="72" t="n">
        <x:v>46240.96243287037</x:v>
      </x:c>
      <x:c r="C1129" s="32" t="str">
        <x:v>P22</x:v>
      </x:c>
      <x:c r="D1129" s="32" t="str">
        <x:v>B4-W1-V2</x:v>
      </x:c>
      <x:c r="E1129" s="32" t="str">
        <x:v>B4</x:v>
      </x:c>
      <x:c r="F1129" s="32" t="str">
        <x:v>W1</x:v>
      </x:c>
      <x:c r="G1129" s="32" t="str">
        <x:v>V2</x:v>
      </x:c>
      <x:c r="H1129" s="32" t="str">
        <x:v>tension_soil</x:v>
      </x:c>
      <x:c r="I1129" s="32" t="str">
        <x:v>862323089930722</x:v>
      </x:c>
      <x:c r="J1129" s="82"/>
      <x:c r="K1129" s="82" t="n">
        <x:v>-24.4</x:v>
      </x:c>
      <x:c r="L1129" s="82" t="n">
        <x:v>39.4</x:v>
      </x:c>
      <x:c r="M1129" s="82" t="n">
        <x:v>25</x:v>
      </x:c>
      <x:c r="N1129" s="86" t="n">
        <x:v>1034</x:v>
      </x:c>
      <x:c r="O1129" s="90" t="n">
        <x:v>6.39</x:v>
      </x:c>
      <x:c r="P1129" s="150" t="n">
        <x:v>3.992</x:v>
      </x:c>
      <x:c r="Q1129" s="86" t="n">
        <x:v>23</x:v>
      </x:c>
      <x:c r="R1129" s="32"/>
      <x:c r="S1129" s="32" t="str">
        <x:v>ok</x:v>
      </x:c>
      <x:c r="T1129" s="32" t="str">
        <x:v>ok</x:v>
      </x:c>
      <x:c r="U1129" s="32" t="str">
        <x:v>ok</x:v>
      </x:c>
      <x:c r="V1129" s="32" t="str">
        <x:v>ok</x:v>
      </x:c>
      <x:c r="W1129" s="154" t="str">
        <x:v>{"schema_version":1,"imei":"862323089930722","timestamp":1786028753,"report_sequence":47,"task_version":"rice_tension_soil_demo","sensor_mode":"tension_soil","soil_moisture_percent":39.4,"soil_temperature_c":25,"soil_ec_us_cm":1034,"soil_ph":6.39,"battery_mv":3992,"csq":23,"soil_rs485_status":"ok","cycle_status":"ok","soil_tension_kpa":-24.4,"soil_tension_rs485_status":"ok"}</x:v>
      </x:c>
    </x:row>
    <x:row r="1130">
      <x:c r="A1130" s="72" t="n">
        <x:v>46240.96241898148</x:v>
      </x:c>
      <x:c r="B1130" s="72" t="n">
        <x:v>46240.96243287037</x:v>
      </x:c>
      <x:c r="C1130" s="32" t="str">
        <x:v>P23</x:v>
      </x:c>
      <x:c r="D1130" s="32" t="str">
        <x:v>B4-W2-V1</x:v>
      </x:c>
      <x:c r="E1130" s="32" t="str">
        <x:v>B4</x:v>
      </x:c>
      <x:c r="F1130" s="32" t="str">
        <x:v>W2</x:v>
      </x:c>
      <x:c r="G1130" s="32" t="str">
        <x:v>V1</x:v>
      </x:c>
      <x:c r="H1130" s="32" t="str">
        <x:v>tension_soil</x:v>
      </x:c>
      <x:c r="I1130" s="32" t="str">
        <x:v>862323089930723</x:v>
      </x:c>
      <x:c r="J1130" s="82"/>
      <x:c r="K1130" s="82" t="n">
        <x:v>-36.9</x:v>
      </x:c>
      <x:c r="L1130" s="82" t="n">
        <x:v>40.9</x:v>
      </x:c>
      <x:c r="M1130" s="82" t="n">
        <x:v>25.1</x:v>
      </x:c>
      <x:c r="N1130" s="86" t="n">
        <x:v>1055</x:v>
      </x:c>
      <x:c r="O1130" s="90" t="n">
        <x:v>6.45</x:v>
      </x:c>
      <x:c r="P1130" s="150" t="n">
        <x:v>4.01</x:v>
      </x:c>
      <x:c r="Q1130" s="86" t="n">
        <x:v>24</x:v>
      </x:c>
      <x:c r="R1130" s="32"/>
      <x:c r="S1130" s="32" t="str">
        <x:v>ok</x:v>
      </x:c>
      <x:c r="T1130" s="32" t="str">
        <x:v>ok</x:v>
      </x:c>
      <x:c r="U1130" s="32" t="str">
        <x:v>ok</x:v>
      </x:c>
      <x:c r="V1130" s="32" t="str">
        <x:v>ok</x:v>
      </x:c>
      <x:c r="W1130" s="154" t="str">
        <x:v>{"schema_version":1,"imei":"862323089930723","timestamp":1786028753,"report_sequence":47,"task_version":"rice_tension_soil_demo","sensor_mode":"tension_soil","soil_moisture_percent":40.9,"soil_temperature_c":25.1,"soil_ec_us_cm":1055,"soil_ph":6.45,"battery_mv":4010,"csq":24,"soil_rs485_status":"ok","cycle_status":"ok","soil_tension_kpa":-36.9,"soil_tension_rs485_status":"ok"}</x:v>
      </x:c>
    </x:row>
    <x:row r="1131">
      <x:c r="A1131" s="72" t="n">
        <x:v>46240.96241898148</x:v>
      </x:c>
      <x:c r="B1131" s="72" t="n">
        <x:v>46240.96243287037</x:v>
      </x:c>
      <x:c r="C1131" s="32" t="str">
        <x:v>P24</x:v>
      </x:c>
      <x:c r="D1131" s="32" t="str">
        <x:v>B4-W2-V2</x:v>
      </x:c>
      <x:c r="E1131" s="32" t="str">
        <x:v>B4</x:v>
      </x:c>
      <x:c r="F1131" s="32" t="str">
        <x:v>W2</x:v>
      </x:c>
      <x:c r="G1131" s="32" t="str">
        <x:v>V2</x:v>
      </x:c>
      <x:c r="H1131" s="32" t="str">
        <x:v>tension_soil</x:v>
      </x:c>
      <x:c r="I1131" s="32" t="str">
        <x:v>862323089930724</x:v>
      </x:c>
      <x:c r="J1131" s="82"/>
      <x:c r="K1131" s="82" t="n">
        <x:v>-38.4</x:v>
      </x:c>
      <x:c r="L1131" s="82" t="n">
        <x:v>34.4</x:v>
      </x:c>
      <x:c r="M1131" s="82" t="n">
        <x:v>25.2</x:v>
      </x:c>
      <x:c r="N1131" s="86" t="n">
        <x:v>1076</x:v>
      </x:c>
      <x:c r="O1131" s="90" t="n">
        <x:v>6.51</x:v>
      </x:c>
      <x:c r="P1131" s="150" t="n">
        <x:v>3.92</x:v>
      </x:c>
      <x:c r="Q1131" s="86" t="n">
        <x:v>17</x:v>
      </x:c>
      <x:c r="R1131" s="32"/>
      <x:c r="S1131" s="32" t="str">
        <x:v>ok</x:v>
      </x:c>
      <x:c r="T1131" s="32" t="str">
        <x:v>ok</x:v>
      </x:c>
      <x:c r="U1131" s="32" t="str">
        <x:v>ok</x:v>
      </x:c>
      <x:c r="V1131" s="32" t="str">
        <x:v>ok</x:v>
      </x:c>
      <x:c r="W1131" s="154" t="str">
        <x:v>{"schema_version":1,"imei":"862323089930724","timestamp":1786028753,"report_sequence":47,"task_version":"rice_tension_soil_demo","sensor_mode":"tension_soil","soil_moisture_percent":34.4,"soil_temperature_c":25.2,"soil_ec_us_cm":1076,"soil_ph":6.51,"battery_mv":3920,"csq":17,"soil_rs485_status":"ok","cycle_status":"ok","soil_tension_kpa":-38.4,"soil_tension_rs485_status":"ok"}</x:v>
      </x:c>
    </x:row>
    <x:row r="1132">
      <x:c r="A1132" s="72" t="n">
        <x:v>46240.965891203705</x:v>
      </x:c>
      <x:c r="B1132" s="72" t="n">
        <x:v>46240.96590509259</x:v>
      </x:c>
      <x:c r="C1132" s="32" t="str">
        <x:v>P01</x:v>
      </x:c>
      <x:c r="D1132" s="32" t="str">
        <x:v>B1-W0-V1</x:v>
      </x:c>
      <x:c r="E1132" s="32" t="str">
        <x:v>B1</x:v>
      </x:c>
      <x:c r="F1132" s="32" t="str">
        <x:v>W0</x:v>
      </x:c>
      <x:c r="G1132" s="32" t="str">
        <x:v>V1</x:v>
      </x:c>
      <x:c r="H1132" s="32" t="str">
        <x:v>water_soil</x:v>
      </x:c>
      <x:c r="I1132" s="32" t="str">
        <x:v>862323089930701</x:v>
      </x:c>
      <x:c r="J1132" s="82" t="n">
        <x:v>33.4</x:v>
      </x:c>
      <x:c r="K1132" s="82"/>
      <x:c r="L1132" s="82" t="n">
        <x:v>36</x:v>
      </x:c>
      <x:c r="M1132" s="82" t="n">
        <x:v>25.3</x:v>
      </x:c>
      <x:c r="N1132" s="86" t="n">
        <x:v>809</x:v>
      </x:c>
      <x:c r="O1132" s="90" t="n">
        <x:v>6.36</x:v>
      </x:c>
      <x:c r="P1132" s="150" t="n">
        <x:v>3.938</x:v>
      </x:c>
      <x:c r="Q1132" s="86" t="n">
        <x:v>18</x:v>
      </x:c>
      <x:c r="R1132" s="32" t="str">
        <x:v>ok</x:v>
      </x:c>
      <x:c r="S1132" s="32"/>
      <x:c r="T1132" s="32" t="str">
        <x:v>ok</x:v>
      </x:c>
      <x:c r="U1132" s="32" t="str">
        <x:v>ok</x:v>
      </x:c>
      <x:c r="V1132" s="32" t="str">
        <x:v>ok</x:v>
      </x:c>
      <x:c r="W1132" s="154" t="str">
        <x:v>{"schema_version":1,"imei":"862323089930701","timestamp":1786029053,"report_sequence":48,"task_version":"rice_w0_water_soil_demo","sensor_mode":"water_soil","soil_moisture_percent":36,"soil_temperature_c":25.3,"soil_ec_us_cm":809,"soil_ph":6.36,"battery_mv":3938,"csq":18,"soil_rs485_status":"ok","cycle_status":"ok","water_level_mm":33.4,"water_4_20ma_status":"ok"}</x:v>
      </x:c>
    </x:row>
    <x:row r="1133">
      <x:c r="A1133" s="72" t="n">
        <x:v>46240.965891203705</x:v>
      </x:c>
      <x:c r="B1133" s="72" t="n">
        <x:v>46240.96590509259</x:v>
      </x:c>
      <x:c r="C1133" s="32" t="str">
        <x:v>P02</x:v>
      </x:c>
      <x:c r="D1133" s="32" t="str">
        <x:v>B1-W0-V2</x:v>
      </x:c>
      <x:c r="E1133" s="32" t="str">
        <x:v>B1</x:v>
      </x:c>
      <x:c r="F1133" s="32" t="str">
        <x:v>W0</x:v>
      </x:c>
      <x:c r="G1133" s="32" t="str">
        <x:v>V2</x:v>
      </x:c>
      <x:c r="H1133" s="32" t="str">
        <x:v>water_soil</x:v>
      </x:c>
      <x:c r="I1133" s="32" t="str">
        <x:v>862323089930702</x:v>
      </x:c>
      <x:c r="J1133" s="82" t="n">
        <x:v>37.4</x:v>
      </x:c>
      <x:c r="K1133" s="82"/>
      <x:c r="L1133" s="82" t="n">
        <x:v>37.4</x:v>
      </x:c>
      <x:c r="M1133" s="82" t="n">
        <x:v>25.4</x:v>
      </x:c>
      <x:c r="N1133" s="86" t="n">
        <x:v>828</x:v>
      </x:c>
      <x:c r="O1133" s="90" t="n">
        <x:v>6.42</x:v>
      </x:c>
      <x:c r="P1133" s="150" t="n">
        <x:v>3.956</x:v>
      </x:c>
      <x:c r="Q1133" s="86" t="n">
        <x:v>19</x:v>
      </x:c>
      <x:c r="R1133" s="32" t="str">
        <x:v>ok</x:v>
      </x:c>
      <x:c r="S1133" s="32"/>
      <x:c r="T1133" s="32" t="str">
        <x:v>ok</x:v>
      </x:c>
      <x:c r="U1133" s="32" t="str">
        <x:v>ok</x:v>
      </x:c>
      <x:c r="V1133" s="32" t="str">
        <x:v>ok</x:v>
      </x:c>
      <x:c r="W1133" s="154" t="str">
        <x:v>{"schema_version":1,"imei":"862323089930702","timestamp":1786029053,"report_sequence":48,"task_version":"rice_w0_water_soil_demo","sensor_mode":"water_soil","soil_moisture_percent":37.4,"soil_temperature_c":25.4,"soil_ec_us_cm":828,"soil_ph":6.42,"battery_mv":3956,"csq":19,"soil_rs485_status":"ok","cycle_status":"ok","water_level_mm":37.4,"water_4_20ma_status":"ok"}</x:v>
      </x:c>
    </x:row>
    <x:row r="1134">
      <x:c r="A1134" s="72" t="n">
        <x:v>46240.965891203705</x:v>
      </x:c>
      <x:c r="B1134" s="72" t="n">
        <x:v>46240.96590509259</x:v>
      </x:c>
      <x:c r="C1134" s="32" t="str">
        <x:v>P03</x:v>
      </x:c>
      <x:c r="D1134" s="32" t="str">
        <x:v>B1-W1-V1</x:v>
      </x:c>
      <x:c r="E1134" s="32" t="str">
        <x:v>B1</x:v>
      </x:c>
      <x:c r="F1134" s="32" t="str">
        <x:v>W1</x:v>
      </x:c>
      <x:c r="G1134" s="32" t="str">
        <x:v>V1</x:v>
      </x:c>
      <x:c r="H1134" s="32" t="str">
        <x:v>tension_soil</x:v>
      </x:c>
      <x:c r="I1134" s="32" t="str">
        <x:v>862323089930703</x:v>
      </x:c>
      <x:c r="J1134" s="82"/>
      <x:c r="K1134" s="82" t="n">
        <x:v>-27.7</x:v>
      </x:c>
      <x:c r="L1134" s="82" t="n">
        <x:v>38.7</x:v>
      </x:c>
      <x:c r="M1134" s="82" t="n">
        <x:v>25.5</x:v>
      </x:c>
      <x:c r="N1134" s="86" t="n">
        <x:v>845</x:v>
      </x:c>
      <x:c r="O1134" s="90" t="n">
        <x:v>6.48</x:v>
      </x:c>
      <x:c r="P1134" s="150" t="n">
        <x:v>3.974</x:v>
      </x:c>
      <x:c r="Q1134" s="86" t="n">
        <x:v>20</x:v>
      </x:c>
      <x:c r="R1134" s="32"/>
      <x:c r="S1134" s="32" t="str">
        <x:v>ok</x:v>
      </x:c>
      <x:c r="T1134" s="32" t="str">
        <x:v>ok</x:v>
      </x:c>
      <x:c r="U1134" s="32" t="str">
        <x:v>ok</x:v>
      </x:c>
      <x:c r="V1134" s="32" t="str">
        <x:v>ok</x:v>
      </x:c>
      <x:c r="W1134" s="154" t="str">
        <x:v>{"schema_version":1,"imei":"862323089930703","timestamp":1786029053,"report_sequence":48,"task_version":"rice_tension_soil_demo","sensor_mode":"tension_soil","soil_moisture_percent":38.7,"soil_temperature_c":25.5,"soil_ec_us_cm":845,"soil_ph":6.48,"battery_mv":3974,"csq":20,"soil_rs485_status":"ok","cycle_status":"ok","soil_tension_kpa":-27.7,"soil_tension_rs485_status":"ok"}</x:v>
      </x:c>
    </x:row>
    <x:row r="1135">
      <x:c r="A1135" s="72" t="n">
        <x:v>46240.965891203705</x:v>
      </x:c>
      <x:c r="B1135" s="72" t="n">
        <x:v>46240.96590509259</x:v>
      </x:c>
      <x:c r="C1135" s="32" t="str">
        <x:v>P04</x:v>
      </x:c>
      <x:c r="D1135" s="32" t="str">
        <x:v>B1-W1-V2</x:v>
      </x:c>
      <x:c r="E1135" s="32" t="str">
        <x:v>B1</x:v>
      </x:c>
      <x:c r="F1135" s="32" t="str">
        <x:v>W1</x:v>
      </x:c>
      <x:c r="G1135" s="32" t="str">
        <x:v>V2</x:v>
      </x:c>
      <x:c r="H1135" s="32" t="str">
        <x:v>tension_soil</x:v>
      </x:c>
      <x:c r="I1135" s="32" t="str">
        <x:v>862323089930704</x:v>
      </x:c>
      <x:c r="J1135" s="82"/>
      <x:c r="K1135" s="82" t="n">
        <x:v>-28.9</x:v>
      </x:c>
      <x:c r="L1135" s="82" t="n">
        <x:v>39.9</x:v>
      </x:c>
      <x:c r="M1135" s="82" t="n">
        <x:v>25.6</x:v>
      </x:c>
      <x:c r="N1135" s="86" t="n">
        <x:v>861</x:v>
      </x:c>
      <x:c r="O1135" s="90" t="n">
        <x:v>6.53</x:v>
      </x:c>
      <x:c r="P1135" s="150" t="n">
        <x:v>3.992</x:v>
      </x:c>
      <x:c r="Q1135" s="86" t="n">
        <x:v>21</x:v>
      </x:c>
      <x:c r="R1135" s="32"/>
      <x:c r="S1135" s="32" t="str">
        <x:v>ok</x:v>
      </x:c>
      <x:c r="T1135" s="32" t="str">
        <x:v>ok</x:v>
      </x:c>
      <x:c r="U1135" s="32" t="str">
        <x:v>ok</x:v>
      </x:c>
      <x:c r="V1135" s="32" t="str">
        <x:v>ok</x:v>
      </x:c>
      <x:c r="W1135" s="154" t="str">
        <x:v>{"schema_version":1,"imei":"862323089930704","timestamp":1786029053,"report_sequence":48,"task_version":"rice_tension_soil_demo","sensor_mode":"tension_soil","soil_moisture_percent":39.9,"soil_temperature_c":25.6,"soil_ec_us_cm":861,"soil_ph":6.53,"battery_mv":3992,"csq":21,"soil_rs485_status":"ok","cycle_status":"ok","soil_tension_kpa":-28.9,"soil_tension_rs485_status":"ok"}</x:v>
      </x:c>
    </x:row>
    <x:row r="1136">
      <x:c r="A1136" s="72" t="n">
        <x:v>46240.965891203705</x:v>
      </x:c>
      <x:c r="B1136" s="72" t="n">
        <x:v>46240.96590509259</x:v>
      </x:c>
      <x:c r="C1136" s="32" t="str">
        <x:v>P05</x:v>
      </x:c>
      <x:c r="D1136" s="32" t="str">
        <x:v>B1-W2-V1</x:v>
      </x:c>
      <x:c r="E1136" s="32" t="str">
        <x:v>B1</x:v>
      </x:c>
      <x:c r="F1136" s="32" t="str">
        <x:v>W2</x:v>
      </x:c>
      <x:c r="G1136" s="32" t="str">
        <x:v>V1</x:v>
      </x:c>
      <x:c r="H1136" s="32" t="str">
        <x:v>tension_soil</x:v>
      </x:c>
      <x:c r="I1136" s="32" t="str">
        <x:v>862323089930705</x:v>
      </x:c>
      <x:c r="J1136" s="82"/>
      <x:c r="K1136" s="82" t="n">
        <x:v>-36</x:v>
      </x:c>
      <x:c r="L1136" s="82" t="n">
        <x:v>41</x:v>
      </x:c>
      <x:c r="M1136" s="82" t="n">
        <x:v>25.6</x:v>
      </x:c>
      <x:c r="N1136" s="86" t="n">
        <x:v>875</x:v>
      </x:c>
      <x:c r="O1136" s="90" t="n">
        <x:v>6.33</x:v>
      </x:c>
      <x:c r="P1136" s="150" t="n">
        <x:v>4.01</x:v>
      </x:c>
      <x:c r="Q1136" s="86" t="n">
        <x:v>22</x:v>
      </x:c>
      <x:c r="R1136" s="32"/>
      <x:c r="S1136" s="32" t="str">
        <x:v>ok</x:v>
      </x:c>
      <x:c r="T1136" s="32" t="str">
        <x:v>ok</x:v>
      </x:c>
      <x:c r="U1136" s="32" t="str">
        <x:v>ok</x:v>
      </x:c>
      <x:c r="V1136" s="32" t="str">
        <x:v>ok</x:v>
      </x:c>
      <x:c r="W1136" s="154" t="str">
        <x:v>{"schema_version":1,"imei":"862323089930705","timestamp":1786029053,"report_sequence":48,"task_version":"rice_tension_soil_demo","sensor_mode":"tension_soil","soil_moisture_percent":41,"soil_temperature_c":25.6,"soil_ec_us_cm":875,"soil_ph":6.33,"battery_mv":4010,"csq":22,"soil_rs485_status":"ok","cycle_status":"ok","soil_tension_kpa":-36,"soil_tension_rs485_status":"ok"}</x:v>
      </x:c>
    </x:row>
    <x:row r="1137">
      <x:c r="A1137" s="72" t="n">
        <x:v>46240.965891203705</x:v>
      </x:c>
      <x:c r="B1137" s="72" t="n">
        <x:v>46240.96590509259</x:v>
      </x:c>
      <x:c r="C1137" s="32" t="str">
        <x:v>P06</x:v>
      </x:c>
      <x:c r="D1137" s="32" t="str">
        <x:v>B1-W2-V2</x:v>
      </x:c>
      <x:c r="E1137" s="32" t="str">
        <x:v>B1</x:v>
      </x:c>
      <x:c r="F1137" s="32" t="str">
        <x:v>W2</x:v>
      </x:c>
      <x:c r="G1137" s="32" t="str">
        <x:v>V2</x:v>
      </x:c>
      <x:c r="H1137" s="32" t="str">
        <x:v>tension_soil</x:v>
      </x:c>
      <x:c r="I1137" s="32" t="str">
        <x:v>862323089930706</x:v>
      </x:c>
      <x:c r="J1137" s="82"/>
      <x:c r="K1137" s="82" t="n">
        <x:v>-37</x:v>
      </x:c>
      <x:c r="L1137" s="82" t="n">
        <x:v>42</x:v>
      </x:c>
      <x:c r="M1137" s="82" t="n">
        <x:v>25.6</x:v>
      </x:c>
      <x:c r="N1137" s="86" t="n">
        <x:v>886</x:v>
      </x:c>
      <x:c r="O1137" s="90" t="n">
        <x:v>6.38</x:v>
      </x:c>
      <x:c r="P1137" s="150" t="n">
        <x:v>3.92</x:v>
      </x:c>
      <x:c r="Q1137" s="86" t="n">
        <x:v>23</x:v>
      </x:c>
      <x:c r="R1137" s="32"/>
      <x:c r="S1137" s="32" t="str">
        <x:v>ok</x:v>
      </x:c>
      <x:c r="T1137" s="32" t="str">
        <x:v>ok</x:v>
      </x:c>
      <x:c r="U1137" s="32" t="str">
        <x:v>ok</x:v>
      </x:c>
      <x:c r="V1137" s="32" t="str">
        <x:v>ok</x:v>
      </x:c>
      <x:c r="W1137" s="154" t="str">
        <x:v>{"schema_version":1,"imei":"862323089930706","timestamp":1786029053,"report_sequence":48,"task_version":"rice_tension_soil_demo","sensor_mode":"tension_soil","soil_moisture_percent":42,"soil_temperature_c":25.6,"soil_ec_us_cm":886,"soil_ph":6.38,"battery_mv":3920,"csq":23,"soil_rs485_status":"ok","cycle_status":"ok","soil_tension_kpa":-37,"soil_tension_rs485_status":"ok"}</x:v>
      </x:c>
    </x:row>
    <x:row r="1138">
      <x:c r="A1138" s="72" t="n">
        <x:v>46240.965891203705</x:v>
      </x:c>
      <x:c r="B1138" s="72" t="n">
        <x:v>46240.96590509259</x:v>
      </x:c>
      <x:c r="C1138" s="32" t="str">
        <x:v>P07</x:v>
      </x:c>
      <x:c r="D1138" s="32" t="str">
        <x:v>B2-W0-V1</x:v>
      </x:c>
      <x:c r="E1138" s="32" t="str">
        <x:v>B2</x:v>
      </x:c>
      <x:c r="F1138" s="32" t="str">
        <x:v>W0</x:v>
      </x:c>
      <x:c r="G1138" s="32" t="str">
        <x:v>V1</x:v>
      </x:c>
      <x:c r="H1138" s="32" t="str">
        <x:v>water_soil</x:v>
      </x:c>
      <x:c r="I1138" s="32" t="str">
        <x:v>862323089930707</x:v>
      </x:c>
      <x:c r="J1138" s="82" t="n">
        <x:v>41.5</x:v>
      </x:c>
      <x:c r="K1138" s="82"/>
      <x:c r="L1138" s="82" t="n">
        <x:v>42.8</x:v>
      </x:c>
      <x:c r="M1138" s="82" t="n">
        <x:v>25.6</x:v>
      </x:c>
      <x:c r="N1138" s="86" t="n">
        <x:v>896</x:v>
      </x:c>
      <x:c r="O1138" s="90" t="n">
        <x:v>6.43</x:v>
      </x:c>
      <x:c r="P1138" s="150" t="n">
        <x:v>3.938</x:v>
      </x:c>
      <x:c r="Q1138" s="86" t="n">
        <x:v>24</x:v>
      </x:c>
      <x:c r="R1138" s="32" t="str">
        <x:v>ok</x:v>
      </x:c>
      <x:c r="S1138" s="32"/>
      <x:c r="T1138" s="32" t="str">
        <x:v>ok</x:v>
      </x:c>
      <x:c r="U1138" s="32" t="str">
        <x:v>ok</x:v>
      </x:c>
      <x:c r="V1138" s="32" t="str">
        <x:v>ok</x:v>
      </x:c>
      <x:c r="W1138" s="154" t="str">
        <x:v>{"schema_version":1,"imei":"862323089930707","timestamp":1786029053,"report_sequence":48,"task_version":"rice_w0_water_soil_demo","sensor_mode":"water_soil","soil_moisture_percent":42.8,"soil_temperature_c":25.6,"soil_ec_us_cm":896,"soil_ph":6.43,"battery_mv":3938,"csq":24,"soil_rs485_status":"ok","cycle_status":"ok","water_level_mm":41.5,"water_4_20ma_status":"ok"}</x:v>
      </x:c>
    </x:row>
    <x:row r="1139">
      <x:c r="A1139" s="72" t="n">
        <x:v>46240.965891203705</x:v>
      </x:c>
      <x:c r="B1139" s="72" t="n">
        <x:v>46240.96590509259</x:v>
      </x:c>
      <x:c r="C1139" s="32" t="str">
        <x:v>P08</x:v>
      </x:c>
      <x:c r="D1139" s="32" t="str">
        <x:v>B2-W0-V2</x:v>
      </x:c>
      <x:c r="E1139" s="32" t="str">
        <x:v>B2</x:v>
      </x:c>
      <x:c r="F1139" s="32" t="str">
        <x:v>W0</x:v>
      </x:c>
      <x:c r="G1139" s="32" t="str">
        <x:v>V2</x:v>
      </x:c>
      <x:c r="H1139" s="32" t="str">
        <x:v>water_soil</x:v>
      </x:c>
      <x:c r="I1139" s="32" t="str">
        <x:v>862323089930708</x:v>
      </x:c>
      <x:c r="J1139" s="82" t="n">
        <x:v>31.9</x:v>
      </x:c>
      <x:c r="K1139" s="82"/>
      <x:c r="L1139" s="82" t="n">
        <x:v>35.6</x:v>
      </x:c>
      <x:c r="M1139" s="82" t="n">
        <x:v>25.5</x:v>
      </x:c>
      <x:c r="N1139" s="86" t="n">
        <x:v>903</x:v>
      </x:c>
      <x:c r="O1139" s="90" t="n">
        <x:v>6.47</x:v>
      </x:c>
      <x:c r="P1139" s="150" t="n">
        <x:v>3.956</x:v>
      </x:c>
      <x:c r="Q1139" s="86" t="n">
        <x:v>17</x:v>
      </x:c>
      <x:c r="R1139" s="32" t="str">
        <x:v>ok</x:v>
      </x:c>
      <x:c r="S1139" s="32"/>
      <x:c r="T1139" s="32" t="str">
        <x:v>ok</x:v>
      </x:c>
      <x:c r="U1139" s="32" t="str">
        <x:v>ok</x:v>
      </x:c>
      <x:c r="V1139" s="32" t="str">
        <x:v>ok</x:v>
      </x:c>
      <x:c r="W1139" s="154" t="str">
        <x:v>{"schema_version":1,"imei":"862323089930708","timestamp":1786029053,"report_sequence":48,"task_version":"rice_w0_water_soil_demo","sensor_mode":"water_soil","soil_moisture_percent":35.6,"soil_temperature_c":25.5,"soil_ec_us_cm":903,"soil_ph":6.47,"battery_mv":3956,"csq":17,"soil_rs485_status":"ok","cycle_status":"ok","water_level_mm":31.9,"water_4_20ma_status":"ok"}</x:v>
      </x:c>
    </x:row>
    <x:row r="1140">
      <x:c r="A1140" s="72" t="n">
        <x:v>46240.965891203705</x:v>
      </x:c>
      <x:c r="B1140" s="72" t="n">
        <x:v>46240.96590509259</x:v>
      </x:c>
      <x:c r="C1140" s="32" t="str">
        <x:v>P09</x:v>
      </x:c>
      <x:c r="D1140" s="32" t="str">
        <x:v>B2-W1-V1</x:v>
      </x:c>
      <x:c r="E1140" s="32" t="str">
        <x:v>B2</x:v>
      </x:c>
      <x:c r="F1140" s="32" t="str">
        <x:v>W1</x:v>
      </x:c>
      <x:c r="G1140" s="32" t="str">
        <x:v>V1</x:v>
      </x:c>
      <x:c r="H1140" s="32" t="str">
        <x:v>tension_soil</x:v>
      </x:c>
      <x:c r="I1140" s="32" t="str">
        <x:v>862323089930709</x:v>
      </x:c>
      <x:c r="J1140" s="82"/>
      <x:c r="K1140" s="82" t="n">
        <x:v>-28.2</x:v>
      </x:c>
      <x:c r="L1140" s="82" t="n">
        <x:v>36.2</x:v>
      </x:c>
      <x:c r="M1140" s="82" t="n">
        <x:v>25.4</x:v>
      </x:c>
      <x:c r="N1140" s="86" t="n">
        <x:v>909</x:v>
      </x:c>
      <x:c r="O1140" s="90" t="n">
        <x:v>6.52</x:v>
      </x:c>
      <x:c r="P1140" s="150" t="n">
        <x:v>3.974</x:v>
      </x:c>
      <x:c r="Q1140" s="86" t="n">
        <x:v>18</x:v>
      </x:c>
      <x:c r="R1140" s="32"/>
      <x:c r="S1140" s="32" t="str">
        <x:v>ok</x:v>
      </x:c>
      <x:c r="T1140" s="32" t="str">
        <x:v>ok</x:v>
      </x:c>
      <x:c r="U1140" s="32" t="str">
        <x:v>ok</x:v>
      </x:c>
      <x:c r="V1140" s="32" t="str">
        <x:v>ok</x:v>
      </x:c>
      <x:c r="W1140" s="154" t="str">
        <x:v>{"schema_version":1,"imei":"862323089930709","timestamp":1786029053,"report_sequence":48,"task_version":"rice_tension_soil_demo","sensor_mode":"tension_soil","soil_moisture_percent":36.2,"soil_temperature_c":25.4,"soil_ec_us_cm":909,"soil_ph":6.52,"battery_mv":3974,"csq":18,"soil_rs485_status":"ok","cycle_status":"ok","soil_tension_kpa":-28.2,"soil_tension_rs485_status":"ok"}</x:v>
      </x:c>
    </x:row>
    <x:row r="1141">
      <x:c r="A1141" s="72" t="n">
        <x:v>46240.965891203705</x:v>
      </x:c>
      <x:c r="B1141" s="72" t="n">
        <x:v>46240.96590509259</x:v>
      </x:c>
      <x:c r="C1141" s="32" t="str">
        <x:v>P10</x:v>
      </x:c>
      <x:c r="D1141" s="32" t="str">
        <x:v>B2-W1-V2</x:v>
      </x:c>
      <x:c r="E1141" s="32" t="str">
        <x:v>B2</x:v>
      </x:c>
      <x:c r="F1141" s="32" t="str">
        <x:v>W1</x:v>
      </x:c>
      <x:c r="G1141" s="32" t="str">
        <x:v>V2</x:v>
      </x:c>
      <x:c r="H1141" s="32" t="str">
        <x:v>tension_soil</x:v>
      </x:c>
      <x:c r="I1141" s="32" t="str">
        <x:v>862323089930710</x:v>
      </x:c>
      <x:c r="J1141" s="82"/>
      <x:c r="K1141" s="82" t="n">
        <x:v>-23.8</x:v>
      </x:c>
      <x:c r="L1141" s="82" t="n">
        <x:v>36.8</x:v>
      </x:c>
      <x:c r="M1141" s="82" t="n">
        <x:v>25.3</x:v>
      </x:c>
      <x:c r="N1141" s="86" t="n">
        <x:v>913</x:v>
      </x:c>
      <x:c r="O1141" s="90" t="n">
        <x:v>6.31</x:v>
      </x:c>
      <x:c r="P1141" s="150" t="n">
        <x:v>3.992</x:v>
      </x:c>
      <x:c r="Q1141" s="86" t="n">
        <x:v>19</x:v>
      </x:c>
      <x:c r="R1141" s="32"/>
      <x:c r="S1141" s="32" t="str">
        <x:v>ok</x:v>
      </x:c>
      <x:c r="T1141" s="32" t="str">
        <x:v>ok</x:v>
      </x:c>
      <x:c r="U1141" s="32" t="str">
        <x:v>ok</x:v>
      </x:c>
      <x:c r="V1141" s="32" t="str">
        <x:v>ok</x:v>
      </x:c>
      <x:c r="W1141" s="154" t="str">
        <x:v>{"schema_version":1,"imei":"862323089930710","timestamp":1786029053,"report_sequence":48,"task_version":"rice_tension_soil_demo","sensor_mode":"tension_soil","soil_moisture_percent":36.8,"soil_temperature_c":25.3,"soil_ec_us_cm":913,"soil_ph":6.31,"battery_mv":3992,"csq":19,"soil_rs485_status":"ok","cycle_status":"ok","soil_tension_kpa":-23.8,"soil_tension_rs485_status":"ok"}</x:v>
      </x:c>
    </x:row>
    <x:row r="1142">
      <x:c r="A1142" s="72" t="n">
        <x:v>46240.965891203705</x:v>
      </x:c>
      <x:c r="B1142" s="72" t="n">
        <x:v>46240.96590509259</x:v>
      </x:c>
      <x:c r="C1142" s="32" t="str">
        <x:v>P11</x:v>
      </x:c>
      <x:c r="D1142" s="32" t="str">
        <x:v>B2-W2-V1</x:v>
      </x:c>
      <x:c r="E1142" s="32" t="str">
        <x:v>B2</x:v>
      </x:c>
      <x:c r="F1142" s="32" t="str">
        <x:v>W2</x:v>
      </x:c>
      <x:c r="G1142" s="32" t="str">
        <x:v>V1</x:v>
      </x:c>
      <x:c r="H1142" s="32" t="str">
        <x:v>tension_soil</x:v>
      </x:c>
      <x:c r="I1142" s="32" t="str">
        <x:v>862323089930711</x:v>
      </x:c>
      <x:c r="J1142" s="82"/>
      <x:c r="K1142" s="82" t="n">
        <x:v>-35.3</x:v>
      </x:c>
      <x:c r="L1142" s="82" t="n">
        <x:v>37.3</x:v>
      </x:c>
      <x:c r="M1142" s="82" t="n">
        <x:v>25.2</x:v>
      </x:c>
      <x:c r="N1142" s="86" t="n">
        <x:v>917</x:v>
      </x:c>
      <x:c r="O1142" s="90" t="n">
        <x:v>6.35</x:v>
      </x:c>
      <x:c r="P1142" s="150" t="n">
        <x:v>4.01</x:v>
      </x:c>
      <x:c r="Q1142" s="86" t="n">
        <x:v>20</x:v>
      </x:c>
      <x:c r="R1142" s="32"/>
      <x:c r="S1142" s="32" t="str">
        <x:v>ok</x:v>
      </x:c>
      <x:c r="T1142" s="32" t="str">
        <x:v>ok</x:v>
      </x:c>
      <x:c r="U1142" s="32" t="str">
        <x:v>ok</x:v>
      </x:c>
      <x:c r="V1142" s="32" t="str">
        <x:v>ok</x:v>
      </x:c>
      <x:c r="W1142" s="154" t="str">
        <x:v>{"schema_version":1,"imei":"862323089930711","timestamp":1786029053,"report_sequence":48,"task_version":"rice_tension_soil_demo","sensor_mode":"tension_soil","soil_moisture_percent":37.3,"soil_temperature_c":25.2,"soil_ec_us_cm":917,"soil_ph":6.35,"battery_mv":4010,"csq":20,"soil_rs485_status":"ok","cycle_status":"ok","soil_tension_kpa":-35.3,"soil_tension_rs485_status":"ok"}</x:v>
      </x:c>
    </x:row>
    <x:row r="1143">
      <x:c r="A1143" s="72" t="n">
        <x:v>46240.965891203705</x:v>
      </x:c>
      <x:c r="B1143" s="72" t="n">
        <x:v>46240.96590509259</x:v>
      </x:c>
      <x:c r="C1143" s="32" t="str">
        <x:v>P12</x:v>
      </x:c>
      <x:c r="D1143" s="32" t="str">
        <x:v>B2-W2-V2</x:v>
      </x:c>
      <x:c r="E1143" s="32" t="str">
        <x:v>B2</x:v>
      </x:c>
      <x:c r="F1143" s="32" t="str">
        <x:v>W2</x:v>
      </x:c>
      <x:c r="G1143" s="32" t="str">
        <x:v>V2</x:v>
      </x:c>
      <x:c r="H1143" s="32" t="str">
        <x:v>tension_soil</x:v>
      </x:c>
      <x:c r="I1143" s="32" t="str">
        <x:v>862323089930712</x:v>
      </x:c>
      <x:c r="J1143" s="82"/>
      <x:c r="K1143" s="82" t="n">
        <x:v>-35.8</x:v>
      </x:c>
      <x:c r="L1143" s="82" t="n">
        <x:v>37.8</x:v>
      </x:c>
      <x:c r="M1143" s="82" t="n">
        <x:v>25</x:v>
      </x:c>
      <x:c r="N1143" s="86" t="n">
        <x:v>920</x:v>
      </x:c>
      <x:c r="O1143" s="90" t="n">
        <x:v>6.4</x:v>
      </x:c>
      <x:c r="P1143" s="150" t="n">
        <x:v>3.92</x:v>
      </x:c>
      <x:c r="Q1143" s="86" t="n">
        <x:v>21</x:v>
      </x:c>
      <x:c r="R1143" s="32"/>
      <x:c r="S1143" s="32" t="str">
        <x:v>ok</x:v>
      </x:c>
      <x:c r="T1143" s="32" t="str">
        <x:v>ok</x:v>
      </x:c>
      <x:c r="U1143" s="32" t="str">
        <x:v>ok</x:v>
      </x:c>
      <x:c r="V1143" s="32" t="str">
        <x:v>ok</x:v>
      </x:c>
      <x:c r="W1143" s="154" t="str">
        <x:v>{"schema_version":1,"imei":"862323089930712","timestamp":1786029053,"report_sequence":48,"task_version":"rice_tension_soil_demo","sensor_mode":"tension_soil","soil_moisture_percent":37.8,"soil_temperature_c":25,"soil_ec_us_cm":920,"soil_ph":6.4,"battery_mv":3920,"csq":21,"soil_rs485_status":"ok","cycle_status":"ok","soil_tension_kpa":-35.8,"soil_tension_rs485_status":"ok"}</x:v>
      </x:c>
    </x:row>
    <x:row r="1144">
      <x:c r="A1144" s="72" t="n">
        <x:v>46240.965891203705</x:v>
      </x:c>
      <x:c r="B1144" s="72" t="n">
        <x:v>46240.96590509259</x:v>
      </x:c>
      <x:c r="C1144" s="32" t="str">
        <x:v>P13</x:v>
      </x:c>
      <x:c r="D1144" s="32" t="str">
        <x:v>B3-W0-V1</x:v>
      </x:c>
      <x:c r="E1144" s="32" t="str">
        <x:v>B3</x:v>
      </x:c>
      <x:c r="F1144" s="32" t="str">
        <x:v>W0</x:v>
      </x:c>
      <x:c r="G1144" s="32" t="str">
        <x:v>V1</x:v>
      </x:c>
      <x:c r="H1144" s="32" t="str">
        <x:v>water_soil</x:v>
      </x:c>
      <x:c r="I1144" s="32" t="str">
        <x:v>862323089930713</x:v>
      </x:c>
      <x:c r="J1144" s="82" t="n">
        <x:v>29.2</x:v>
      </x:c>
      <x:c r="K1144" s="82"/>
      <x:c r="L1144" s="82" t="n">
        <x:v>38.3</x:v>
      </x:c>
      <x:c r="M1144" s="82" t="n">
        <x:v>24.9</x:v>
      </x:c>
      <x:c r="N1144" s="86" t="n">
        <x:v>924</x:v>
      </x:c>
      <x:c r="O1144" s="90" t="n">
        <x:v>6.44</x:v>
      </x:c>
      <x:c r="P1144" s="150" t="n">
        <x:v>3.938</x:v>
      </x:c>
      <x:c r="Q1144" s="86" t="n">
        <x:v>22</x:v>
      </x:c>
      <x:c r="R1144" s="32" t="str">
        <x:v>ok</x:v>
      </x:c>
      <x:c r="S1144" s="32"/>
      <x:c r="T1144" s="32" t="str">
        <x:v>ok</x:v>
      </x:c>
      <x:c r="U1144" s="32" t="str">
        <x:v>ok</x:v>
      </x:c>
      <x:c r="V1144" s="32" t="str">
        <x:v>ok</x:v>
      </x:c>
      <x:c r="W1144" s="154" t="str">
        <x:v>{"schema_version":1,"imei":"862323089930713","timestamp":1786029053,"report_sequence":48,"task_version":"rice_w0_water_soil_demo","sensor_mode":"water_soil","soil_moisture_percent":38.3,"soil_temperature_c":24.9,"soil_ec_us_cm":924,"soil_ph":6.44,"battery_mv":3938,"csq":22,"soil_rs485_status":"ok","cycle_status":"ok","water_level_mm":29.2,"water_4_20ma_status":"ok"}</x:v>
      </x:c>
    </x:row>
    <x:row r="1145">
      <x:c r="A1145" s="72" t="n">
        <x:v>46240.965891203705</x:v>
      </x:c>
      <x:c r="B1145" s="72" t="n">
        <x:v>46240.96590509259</x:v>
      </x:c>
      <x:c r="C1145" s="32" t="str">
        <x:v>P14</x:v>
      </x:c>
      <x:c r="D1145" s="32" t="str">
        <x:v>B3-W0-V2</x:v>
      </x:c>
      <x:c r="E1145" s="32" t="str">
        <x:v>B3</x:v>
      </x:c>
      <x:c r="F1145" s="32" t="str">
        <x:v>W0</x:v>
      </x:c>
      <x:c r="G1145" s="32" t="str">
        <x:v>V2</x:v>
      </x:c>
      <x:c r="H1145" s="32" t="str">
        <x:v>water_soil</x:v>
      </x:c>
      <x:c r="I1145" s="32" t="str">
        <x:v>862323089930714</x:v>
      </x:c>
      <x:c r="J1145" s="82" t="n">
        <x:v>31.1</x:v>
      </x:c>
      <x:c r="K1145" s="82"/>
      <x:c r="L1145" s="82" t="n">
        <x:v>38.9</x:v>
      </x:c>
      <x:c r="M1145" s="82" t="n">
        <x:v>24.8</x:v>
      </x:c>
      <x:c r="N1145" s="86" t="n">
        <x:v>928</x:v>
      </x:c>
      <x:c r="O1145" s="90" t="n">
        <x:v>6.48</x:v>
      </x:c>
      <x:c r="P1145" s="150" t="n">
        <x:v>3.956</x:v>
      </x:c>
      <x:c r="Q1145" s="86" t="n">
        <x:v>23</x:v>
      </x:c>
      <x:c r="R1145" s="32" t="str">
        <x:v>ok</x:v>
      </x:c>
      <x:c r="S1145" s="32"/>
      <x:c r="T1145" s="32" t="str">
        <x:v>ok</x:v>
      </x:c>
      <x:c r="U1145" s="32" t="str">
        <x:v>ok</x:v>
      </x:c>
      <x:c r="V1145" s="32" t="str">
        <x:v>ok</x:v>
      </x:c>
      <x:c r="W1145" s="154" t="str">
        <x:v>{"schema_version":1,"imei":"862323089930714","timestamp":1786029053,"report_sequence":48,"task_version":"rice_w0_water_soil_demo","sensor_mode":"water_soil","soil_moisture_percent":38.9,"soil_temperature_c":24.8,"soil_ec_us_cm":928,"soil_ph":6.48,"battery_mv":3956,"csq":23,"soil_rs485_status":"ok","cycle_status":"ok","water_level_mm":31.1,"water_4_20ma_status":"ok"}</x:v>
      </x:c>
    </x:row>
    <x:row r="1146">
      <x:c r="A1146" s="72" t="n">
        <x:v>46240.965891203705</x:v>
      </x:c>
      <x:c r="B1146" s="72" t="n">
        <x:v>46240.96590509259</x:v>
      </x:c>
      <x:c r="C1146" s="32" t="str">
        <x:v>P15</x:v>
      </x:c>
      <x:c r="D1146" s="32" t="str">
        <x:v>B3-W1-V1</x:v>
      </x:c>
      <x:c r="E1146" s="32" t="str">
        <x:v>B3</x:v>
      </x:c>
      <x:c r="F1146" s="32" t="str">
        <x:v>W1</x:v>
      </x:c>
      <x:c r="G1146" s="32" t="str">
        <x:v>V1</x:v>
      </x:c>
      <x:c r="H1146" s="32" t="str">
        <x:v>tension_soil</x:v>
      </x:c>
      <x:c r="I1146" s="32" t="str">
        <x:v>862323089930715</x:v>
      </x:c>
      <x:c r="J1146" s="82"/>
      <x:c r="K1146" s="82" t="n">
        <x:v>-21.5</x:v>
      </x:c>
      <x:c r="L1146" s="82" t="n">
        <x:v>39.5</x:v>
      </x:c>
      <x:c r="M1146" s="82" t="n">
        <x:v>24.7</x:v>
      </x:c>
      <x:c r="N1146" s="86" t="n">
        <x:v>934</x:v>
      </x:c>
      <x:c r="O1146" s="90" t="n">
        <x:v>6.28</x:v>
      </x:c>
      <x:c r="P1146" s="150" t="n">
        <x:v>3.974</x:v>
      </x:c>
      <x:c r="Q1146" s="86" t="n">
        <x:v>24</x:v>
      </x:c>
      <x:c r="R1146" s="32"/>
      <x:c r="S1146" s="32" t="str">
        <x:v>ok</x:v>
      </x:c>
      <x:c r="T1146" s="32" t="str">
        <x:v>ok</x:v>
      </x:c>
      <x:c r="U1146" s="32" t="str">
        <x:v>ok</x:v>
      </x:c>
      <x:c r="V1146" s="32" t="str">
        <x:v>ok</x:v>
      </x:c>
      <x:c r="W1146" s="154" t="str">
        <x:v>{"schema_version":1,"imei":"862323089930715","timestamp":1786029053,"report_sequence":48,"task_version":"rice_tension_soil_demo","sensor_mode":"tension_soil","soil_moisture_percent":39.5,"soil_temperature_c":24.7,"soil_ec_us_cm":934,"soil_ph":6.28,"battery_mv":3974,"csq":24,"soil_rs485_status":"ok","cycle_status":"ok","soil_tension_kpa":-21.5,"soil_tension_rs485_status":"ok"}</x:v>
      </x:c>
    </x:row>
    <x:row r="1147">
      <x:c r="A1147" s="72" t="n">
        <x:v>46240.965891203705</x:v>
      </x:c>
      <x:c r="B1147" s="72" t="n">
        <x:v>46240.96590509259</x:v>
      </x:c>
      <x:c r="C1147" s="32" t="str">
        <x:v>P16</x:v>
      </x:c>
      <x:c r="D1147" s="32" t="str">
        <x:v>B3-W1-V2</x:v>
      </x:c>
      <x:c r="E1147" s="32" t="str">
        <x:v>B3</x:v>
      </x:c>
      <x:c r="F1147" s="32" t="str">
        <x:v>W1</x:v>
      </x:c>
      <x:c r="G1147" s="32" t="str">
        <x:v>V2</x:v>
      </x:c>
      <x:c r="H1147" s="32" t="str">
        <x:v>tension_soil</x:v>
      </x:c>
      <x:c r="I1147" s="32" t="str">
        <x:v>862323089930716</x:v>
      </x:c>
      <x:c r="J1147" s="82"/>
      <x:c r="K1147" s="82" t="n">
        <x:v>-22.2</x:v>
      </x:c>
      <x:c r="L1147" s="82" t="n">
        <x:v>32.2</x:v>
      </x:c>
      <x:c r="M1147" s="82" t="n">
        <x:v>24.7</x:v>
      </x:c>
      <x:c r="N1147" s="86" t="n">
        <x:v>941</x:v>
      </x:c>
      <x:c r="O1147" s="90" t="n">
        <x:v>6.32</x:v>
      </x:c>
      <x:c r="P1147" s="150" t="n">
        <x:v>3.992</x:v>
      </x:c>
      <x:c r="Q1147" s="86" t="n">
        <x:v>17</x:v>
      </x:c>
      <x:c r="R1147" s="32"/>
      <x:c r="S1147" s="32" t="str">
        <x:v>ok</x:v>
      </x:c>
      <x:c r="T1147" s="32" t="str">
        <x:v>ok</x:v>
      </x:c>
      <x:c r="U1147" s="32" t="str">
        <x:v>ok</x:v>
      </x:c>
      <x:c r="V1147" s="32" t="str">
        <x:v>ok</x:v>
      </x:c>
      <x:c r="W1147" s="154" t="str">
        <x:v>{"schema_version":1,"imei":"862323089930716","timestamp":1786029053,"report_sequence":48,"task_version":"rice_tension_soil_demo","sensor_mode":"tension_soil","soil_moisture_percent":32.2,"soil_temperature_c":24.7,"soil_ec_us_cm":941,"soil_ph":6.32,"battery_mv":3992,"csq":17,"soil_rs485_status":"ok","cycle_status":"ok","soil_tension_kpa":-22.2,"soil_tension_rs485_status":"ok"}</x:v>
      </x:c>
    </x:row>
    <x:row r="1148">
      <x:c r="A1148" s="72" t="n">
        <x:v>46240.965891203705</x:v>
      </x:c>
      <x:c r="B1148" s="72" t="n">
        <x:v>46240.96590509259</x:v>
      </x:c>
      <x:c r="C1148" s="32" t="str">
        <x:v>P17</x:v>
      </x:c>
      <x:c r="D1148" s="32" t="str">
        <x:v>B3-W2-V1</x:v>
      </x:c>
      <x:c r="E1148" s="32" t="str">
        <x:v>B3</x:v>
      </x:c>
      <x:c r="F1148" s="32" t="str">
        <x:v>W2</x:v>
      </x:c>
      <x:c r="G1148" s="32" t="str">
        <x:v>V1</x:v>
      </x:c>
      <x:c r="H1148" s="32" t="str">
        <x:v>tension_soil</x:v>
      </x:c>
      <x:c r="I1148" s="32" t="str">
        <x:v>862323089930717</x:v>
      </x:c>
      <x:c r="J1148" s="82"/>
      <x:c r="K1148" s="82" t="n">
        <x:v>-34</x:v>
      </x:c>
      <x:c r="L1148" s="82" t="n">
        <x:v>33</x:v>
      </x:c>
      <x:c r="M1148" s="82" t="n">
        <x:v>24.6</x:v>
      </x:c>
      <x:c r="N1148" s="86" t="n">
        <x:v>950</x:v>
      </x:c>
      <x:c r="O1148" s="90" t="n">
        <x:v>6.37</x:v>
      </x:c>
      <x:c r="P1148" s="150" t="n">
        <x:v>4.01</x:v>
      </x:c>
      <x:c r="Q1148" s="86" t="n">
        <x:v>18</x:v>
      </x:c>
      <x:c r="R1148" s="32"/>
      <x:c r="S1148" s="32" t="str">
        <x:v>ok</x:v>
      </x:c>
      <x:c r="T1148" s="32" t="str">
        <x:v>ok</x:v>
      </x:c>
      <x:c r="U1148" s="32" t="str">
        <x:v>ok</x:v>
      </x:c>
      <x:c r="V1148" s="32" t="str">
        <x:v>ok</x:v>
      </x:c>
      <x:c r="W1148" s="154" t="str">
        <x:v>{"schema_version":1,"imei":"862323089930717","timestamp":1786029053,"report_sequence":48,"task_version":"rice_tension_soil_demo","sensor_mode":"tension_soil","soil_moisture_percent":33,"soil_temperature_c":24.6,"soil_ec_us_cm":950,"soil_ph":6.37,"battery_mv":4010,"csq":18,"soil_rs485_status":"ok","cycle_status":"ok","soil_tension_kpa":-34,"soil_tension_rs485_status":"ok"}</x:v>
      </x:c>
    </x:row>
    <x:row r="1149">
      <x:c r="A1149" s="72" t="n">
        <x:v>46240.965891203705</x:v>
      </x:c>
      <x:c r="B1149" s="72" t="n">
        <x:v>46240.96590509259</x:v>
      </x:c>
      <x:c r="C1149" s="32" t="str">
        <x:v>P18</x:v>
      </x:c>
      <x:c r="D1149" s="32" t="str">
        <x:v>B3-W2-V2</x:v>
      </x:c>
      <x:c r="E1149" s="32" t="str">
        <x:v>B3</x:v>
      </x:c>
      <x:c r="F1149" s="32" t="str">
        <x:v>W2</x:v>
      </x:c>
      <x:c r="G1149" s="32" t="str">
        <x:v>V2</x:v>
      </x:c>
      <x:c r="H1149" s="32" t="str">
        <x:v>tension_soil</x:v>
      </x:c>
      <x:c r="I1149" s="32" t="str">
        <x:v>862323089930718</x:v>
      </x:c>
      <x:c r="J1149" s="82"/>
      <x:c r="K1149" s="82" t="n">
        <x:v>-35</x:v>
      </x:c>
      <x:c r="L1149" s="82" t="n">
        <x:v>34</x:v>
      </x:c>
      <x:c r="M1149" s="82" t="n">
        <x:v>24.6</x:v>
      </x:c>
      <x:c r="N1149" s="86" t="n">
        <x:v>961</x:v>
      </x:c>
      <x:c r="O1149" s="90" t="n">
        <x:v>6.42</x:v>
      </x:c>
      <x:c r="P1149" s="150" t="n">
        <x:v>3.92</x:v>
      </x:c>
      <x:c r="Q1149" s="86" t="n">
        <x:v>19</x:v>
      </x:c>
      <x:c r="R1149" s="32"/>
      <x:c r="S1149" s="32" t="str">
        <x:v>ok</x:v>
      </x:c>
      <x:c r="T1149" s="32" t="str">
        <x:v>ok</x:v>
      </x:c>
      <x:c r="U1149" s="32" t="str">
        <x:v>ok</x:v>
      </x:c>
      <x:c r="V1149" s="32" t="str">
        <x:v>ok</x:v>
      </x:c>
      <x:c r="W1149" s="154" t="str">
        <x:v>{"schema_version":1,"imei":"862323089930718","timestamp":1786029053,"report_sequence":48,"task_version":"rice_tension_soil_demo","sensor_mode":"tension_soil","soil_moisture_percent":34,"soil_temperature_c":24.6,"soil_ec_us_cm":961,"soil_ph":6.42,"battery_mv":3920,"csq":19,"soil_rs485_status":"ok","cycle_status":"ok","soil_tension_kpa":-35,"soil_tension_rs485_status":"ok"}</x:v>
      </x:c>
    </x:row>
    <x:row r="1150">
      <x:c r="A1150" s="72" t="n">
        <x:v>46240.965891203705</x:v>
      </x:c>
      <x:c r="B1150" s="72" t="n">
        <x:v>46240.96590509259</x:v>
      </x:c>
      <x:c r="C1150" s="32" t="str">
        <x:v>P19</x:v>
      </x:c>
      <x:c r="D1150" s="32" t="str">
        <x:v>B4-W0-V1</x:v>
      </x:c>
      <x:c r="E1150" s="32" t="str">
        <x:v>B4</x:v>
      </x:c>
      <x:c r="F1150" s="32" t="str">
        <x:v>W0</x:v>
      </x:c>
      <x:c r="G1150" s="32" t="str">
        <x:v>V1</x:v>
      </x:c>
      <x:c r="H1150" s="32" t="str">
        <x:v>water_soil</x:v>
      </x:c>
      <x:c r="I1150" s="32" t="str">
        <x:v>862323089930719</x:v>
      </x:c>
      <x:c r="J1150" s="82" t="n">
        <x:v>32.2</x:v>
      </x:c>
      <x:c r="K1150" s="82"/>
      <x:c r="L1150" s="82" t="n">
        <x:v>35.1</x:v>
      </x:c>
      <x:c r="M1150" s="82" t="n">
        <x:v>24.6</x:v>
      </x:c>
      <x:c r="N1150" s="86" t="n">
        <x:v>974</x:v>
      </x:c>
      <x:c r="O1150" s="90" t="n">
        <x:v>6.47</x:v>
      </x:c>
      <x:c r="P1150" s="150" t="n">
        <x:v>3.938</x:v>
      </x:c>
      <x:c r="Q1150" s="86" t="n">
        <x:v>20</x:v>
      </x:c>
      <x:c r="R1150" s="32" t="str">
        <x:v>ok</x:v>
      </x:c>
      <x:c r="S1150" s="32"/>
      <x:c r="T1150" s="32" t="str">
        <x:v>ok</x:v>
      </x:c>
      <x:c r="U1150" s="32" t="str">
        <x:v>ok</x:v>
      </x:c>
      <x:c r="V1150" s="32" t="str">
        <x:v>ok</x:v>
      </x:c>
      <x:c r="W1150" s="154" t="str">
        <x:v>{"schema_version":1,"imei":"862323089930719","timestamp":1786029053,"report_sequence":48,"task_version":"rice_w0_water_soil_demo","sensor_mode":"water_soil","soil_moisture_percent":35.1,"soil_temperature_c":24.6,"soil_ec_us_cm":974,"soil_ph":6.47,"battery_mv":3938,"csq":20,"soil_rs485_status":"ok","cycle_status":"ok","water_level_mm":32.2,"water_4_20ma_status":"ok"}</x:v>
      </x:c>
    </x:row>
    <x:row r="1151">
      <x:c r="A1151" s="72" t="n">
        <x:v>46240.965891203705</x:v>
      </x:c>
      <x:c r="B1151" s="72" t="n">
        <x:v>46240.96590509259</x:v>
      </x:c>
      <x:c r="C1151" s="32" t="str">
        <x:v>P20</x:v>
      </x:c>
      <x:c r="D1151" s="32" t="str">
        <x:v>B4-W0-V2</x:v>
      </x:c>
      <x:c r="E1151" s="32" t="str">
        <x:v>B4</x:v>
      </x:c>
      <x:c r="F1151" s="32" t="str">
        <x:v>W0</x:v>
      </x:c>
      <x:c r="G1151" s="32" t="str">
        <x:v>V2</x:v>
      </x:c>
      <x:c r="H1151" s="32" t="str">
        <x:v>water_soil</x:v>
      </x:c>
      <x:c r="I1151" s="32" t="str">
        <x:v>862323089930720</x:v>
      </x:c>
      <x:c r="J1151" s="82" t="n">
        <x:v>23.7</x:v>
      </x:c>
      <x:c r="K1151" s="82"/>
      <x:c r="L1151" s="82" t="n">
        <x:v>36.3</x:v>
      </x:c>
      <x:c r="M1151" s="82" t="n">
        <x:v>24.7</x:v>
      </x:c>
      <x:c r="N1151" s="86" t="n">
        <x:v>990</x:v>
      </x:c>
      <x:c r="O1151" s="90" t="n">
        <x:v>6.27</x:v>
      </x:c>
      <x:c r="P1151" s="150" t="n">
        <x:v>3.956</x:v>
      </x:c>
      <x:c r="Q1151" s="86" t="n">
        <x:v>21</x:v>
      </x:c>
      <x:c r="R1151" s="32" t="str">
        <x:v>ok</x:v>
      </x:c>
      <x:c r="S1151" s="32"/>
      <x:c r="T1151" s="32" t="str">
        <x:v>ok</x:v>
      </x:c>
      <x:c r="U1151" s="32" t="str">
        <x:v>ok</x:v>
      </x:c>
      <x:c r="V1151" s="32" t="str">
        <x:v>ok</x:v>
      </x:c>
      <x:c r="W1151" s="154" t="str">
        <x:v>{"schema_version":1,"imei":"862323089930720","timestamp":1786029053,"report_sequence":48,"task_version":"rice_w0_water_soil_demo","sensor_mode":"water_soil","soil_moisture_percent":36.3,"soil_temperature_c":24.7,"soil_ec_us_cm":990,"soil_ph":6.27,"battery_mv":3956,"csq":21,"soil_rs485_status":"ok","cycle_status":"ok","water_level_mm":23.7,"water_4_20ma_status":"ok"}</x:v>
      </x:c>
    </x:row>
    <x:row r="1152">
      <x:c r="A1152" s="72" t="n">
        <x:v>46240.965891203705</x:v>
      </x:c>
      <x:c r="B1152" s="72" t="n">
        <x:v>46240.96590509259</x:v>
      </x:c>
      <x:c r="C1152" s="32" t="str">
        <x:v>P21</x:v>
      </x:c>
      <x:c r="D1152" s="32" t="str">
        <x:v>B4-W1-V1</x:v>
      </x:c>
      <x:c r="E1152" s="32" t="str">
        <x:v>B4</x:v>
      </x:c>
      <x:c r="F1152" s="32" t="str">
        <x:v>W1</x:v>
      </x:c>
      <x:c r="G1152" s="32" t="str">
        <x:v>V1</x:v>
      </x:c>
      <x:c r="H1152" s="32" t="str">
        <x:v>tension_soil</x:v>
      </x:c>
      <x:c r="I1152" s="32" t="str">
        <x:v>862323089930721</x:v>
      </x:c>
      <x:c r="J1152" s="82"/>
      <x:c r="K1152" s="82" t="n">
        <x:v>-22.6</x:v>
      </x:c>
      <x:c r="L1152" s="82" t="n">
        <x:v>37.6</x:v>
      </x:c>
      <x:c r="M1152" s="82" t="n">
        <x:v>24.7</x:v>
      </x:c>
      <x:c r="N1152" s="86" t="n">
        <x:v>1007</x:v>
      </x:c>
      <x:c r="O1152" s="90" t="n">
        <x:v>6.33</x:v>
      </x:c>
      <x:c r="P1152" s="150" t="n">
        <x:v>3.974</x:v>
      </x:c>
      <x:c r="Q1152" s="86" t="n">
        <x:v>22</x:v>
      </x:c>
      <x:c r="R1152" s="32"/>
      <x:c r="S1152" s="32" t="str">
        <x:v>ok</x:v>
      </x:c>
      <x:c r="T1152" s="32" t="str">
        <x:v>ok</x:v>
      </x:c>
      <x:c r="U1152" s="32" t="str">
        <x:v>ok</x:v>
      </x:c>
      <x:c r="V1152" s="32" t="str">
        <x:v>ok</x:v>
      </x:c>
      <x:c r="W1152" s="154" t="str">
        <x:v>{"schema_version":1,"imei":"862323089930721","timestamp":1786029053,"report_sequence":48,"task_version":"rice_tension_soil_demo","sensor_mode":"tension_soil","soil_moisture_percent":37.6,"soil_temperature_c":24.7,"soil_ec_us_cm":1007,"soil_ph":6.33,"battery_mv":3974,"csq":22,"soil_rs485_status":"ok","cycle_status":"ok","soil_tension_kpa":-22.6,"soil_tension_rs485_status":"ok"}</x:v>
      </x:c>
    </x:row>
    <x:row r="1153">
      <x:c r="A1153" s="72" t="n">
        <x:v>46240.965891203705</x:v>
      </x:c>
      <x:c r="B1153" s="72" t="n">
        <x:v>46240.96590509259</x:v>
      </x:c>
      <x:c r="C1153" s="32" t="str">
        <x:v>P22</x:v>
      </x:c>
      <x:c r="D1153" s="32" t="str">
        <x:v>B4-W1-V2</x:v>
      </x:c>
      <x:c r="E1153" s="32" t="str">
        <x:v>B4</x:v>
      </x:c>
      <x:c r="F1153" s="32" t="str">
        <x:v>W1</x:v>
      </x:c>
      <x:c r="G1153" s="32" t="str">
        <x:v>V2</x:v>
      </x:c>
      <x:c r="H1153" s="32" t="str">
        <x:v>tension_soil</x:v>
      </x:c>
      <x:c r="I1153" s="32" t="str">
        <x:v>862323089930722</x:v>
      </x:c>
      <x:c r="J1153" s="82"/>
      <x:c r="K1153" s="82" t="n">
        <x:v>-24</x:v>
      </x:c>
      <x:c r="L1153" s="82" t="n">
        <x:v>39</x:v>
      </x:c>
      <x:c r="M1153" s="82" t="n">
        <x:v>24.8</x:v>
      </x:c>
      <x:c r="N1153" s="86" t="n">
        <x:v>1026</x:v>
      </x:c>
      <x:c r="O1153" s="90" t="n">
        <x:v>6.38</x:v>
      </x:c>
      <x:c r="P1153" s="150" t="n">
        <x:v>3.992</x:v>
      </x:c>
      <x:c r="Q1153" s="86" t="n">
        <x:v>23</x:v>
      </x:c>
      <x:c r="R1153" s="32"/>
      <x:c r="S1153" s="32" t="str">
        <x:v>ok</x:v>
      </x:c>
      <x:c r="T1153" s="32" t="str">
        <x:v>ok</x:v>
      </x:c>
      <x:c r="U1153" s="32" t="str">
        <x:v>ok</x:v>
      </x:c>
      <x:c r="V1153" s="32" t="str">
        <x:v>ok</x:v>
      </x:c>
      <x:c r="W1153" s="154" t="str">
        <x:v>{"schema_version":1,"imei":"862323089930722","timestamp":1786029053,"report_sequence":48,"task_version":"rice_tension_soil_demo","sensor_mode":"tension_soil","soil_moisture_percent":39,"soil_temperature_c":24.8,"soil_ec_us_cm":1026,"soil_ph":6.38,"battery_mv":3992,"csq":23,"soil_rs485_status":"ok","cycle_status":"ok","soil_tension_kpa":-24,"soil_tension_rs485_status":"ok"}</x:v>
      </x:c>
    </x:row>
    <x:row r="1154">
      <x:c r="A1154" s="72" t="n">
        <x:v>46240.965891203705</x:v>
      </x:c>
      <x:c r="B1154" s="72" t="n">
        <x:v>46240.96590509259</x:v>
      </x:c>
      <x:c r="C1154" s="32" t="str">
        <x:v>P23</x:v>
      </x:c>
      <x:c r="D1154" s="32" t="str">
        <x:v>B4-W2-V1</x:v>
      </x:c>
      <x:c r="E1154" s="32" t="str">
        <x:v>B4</x:v>
      </x:c>
      <x:c r="F1154" s="32" t="str">
        <x:v>W2</x:v>
      </x:c>
      <x:c r="G1154" s="32" t="str">
        <x:v>V1</x:v>
      </x:c>
      <x:c r="H1154" s="32" t="str">
        <x:v>tension_soil</x:v>
      </x:c>
      <x:c r="I1154" s="32" t="str">
        <x:v>862323089930723</x:v>
      </x:c>
      <x:c r="J1154" s="82"/>
      <x:c r="K1154" s="82" t="n">
        <x:v>-36.4</x:v>
      </x:c>
      <x:c r="L1154" s="82" t="n">
        <x:v>40.4</x:v>
      </x:c>
      <x:c r="M1154" s="82" t="n">
        <x:v>25</x:v>
      </x:c>
      <x:c r="N1154" s="86" t="n">
        <x:v>1046</x:v>
      </x:c>
      <x:c r="O1154" s="90" t="n">
        <x:v>6.44</x:v>
      </x:c>
      <x:c r="P1154" s="150" t="n">
        <x:v>4.01</x:v>
      </x:c>
      <x:c r="Q1154" s="86" t="n">
        <x:v>24</x:v>
      </x:c>
      <x:c r="R1154" s="32"/>
      <x:c r="S1154" s="32" t="str">
        <x:v>ok</x:v>
      </x:c>
      <x:c r="T1154" s="32" t="str">
        <x:v>ok</x:v>
      </x:c>
      <x:c r="U1154" s="32" t="str">
        <x:v>ok</x:v>
      </x:c>
      <x:c r="V1154" s="32" t="str">
        <x:v>ok</x:v>
      </x:c>
      <x:c r="W1154" s="154" t="str">
        <x:v>{"schema_version":1,"imei":"862323089930723","timestamp":1786029053,"report_sequence":48,"task_version":"rice_tension_soil_demo","sensor_mode":"tension_soil","soil_moisture_percent":40.4,"soil_temperature_c":25,"soil_ec_us_cm":1046,"soil_ph":6.44,"battery_mv":4010,"csq":24,"soil_rs485_status":"ok","cycle_status":"ok","soil_tension_kpa":-36.4,"soil_tension_rs485_status":"ok"}</x:v>
      </x:c>
    </x:row>
    <x:row r="1155">
      <x:c r="A1155" s="72" t="n">
        <x:v>46240.965891203705</x:v>
      </x:c>
      <x:c r="B1155" s="72" t="n">
        <x:v>46240.96590509259</x:v>
      </x:c>
      <x:c r="C1155" s="32" t="str">
        <x:v>P24</x:v>
      </x:c>
      <x:c r="D1155" s="32" t="str">
        <x:v>B4-W2-V2</x:v>
      </x:c>
      <x:c r="E1155" s="32" t="str">
        <x:v>B4</x:v>
      </x:c>
      <x:c r="F1155" s="32" t="str">
        <x:v>W2</x:v>
      </x:c>
      <x:c r="G1155" s="32" t="str">
        <x:v>V2</x:v>
      </x:c>
      <x:c r="H1155" s="32" t="str">
        <x:v>tension_soil</x:v>
      </x:c>
      <x:c r="I1155" s="32" t="str">
        <x:v>862323089930724</x:v>
      </x:c>
      <x:c r="J1155" s="82"/>
      <x:c r="K1155" s="82" t="n">
        <x:v>-37.9</x:v>
      </x:c>
      <x:c r="L1155" s="82" t="n">
        <x:v>33.9</x:v>
      </x:c>
      <x:c r="M1155" s="82" t="n">
        <x:v>25.1</x:v>
      </x:c>
      <x:c r="N1155" s="86" t="n">
        <x:v>1067</x:v>
      </x:c>
      <x:c r="O1155" s="90" t="n">
        <x:v>6.5</x:v>
      </x:c>
      <x:c r="P1155" s="150" t="n">
        <x:v>3.92</x:v>
      </x:c>
      <x:c r="Q1155" s="86" t="n">
        <x:v>17</x:v>
      </x:c>
      <x:c r="R1155" s="32"/>
      <x:c r="S1155" s="32" t="str">
        <x:v>ok</x:v>
      </x:c>
      <x:c r="T1155" s="32" t="str">
        <x:v>ok</x:v>
      </x:c>
      <x:c r="U1155" s="32" t="str">
        <x:v>ok</x:v>
      </x:c>
      <x:c r="V1155" s="32" t="str">
        <x:v>ok</x:v>
      </x:c>
      <x:c r="W1155" s="154" t="str">
        <x:v>{"schema_version":1,"imei":"862323089930724","timestamp":1786029053,"report_sequence":48,"task_version":"rice_tension_soil_demo","sensor_mode":"tension_soil","soil_moisture_percent":33.9,"soil_temperature_c":25.1,"soil_ec_us_cm":1067,"soil_ph":6.5,"battery_mv":3920,"csq":17,"soil_rs485_status":"ok","cycle_status":"ok","soil_tension_kpa":-37.9,"soil_tension_rs485_status":"ok"}</x:v>
      </x:c>
    </x:row>
    <x:row r="1156">
      <x:c r="A1156" s="72" t="n">
        <x:v>46240.969363425924</x:v>
      </x:c>
      <x:c r="B1156" s="72" t="n">
        <x:v>46240.96937731482</x:v>
      </x:c>
      <x:c r="C1156" s="32" t="str">
        <x:v>P01</x:v>
      </x:c>
      <x:c r="D1156" s="32" t="str">
        <x:v>B1-W0-V1</x:v>
      </x:c>
      <x:c r="E1156" s="32" t="str">
        <x:v>B1</x:v>
      </x:c>
      <x:c r="F1156" s="32" t="str">
        <x:v>W0</x:v>
      </x:c>
      <x:c r="G1156" s="32" t="str">
        <x:v>V1</x:v>
      </x:c>
      <x:c r="H1156" s="32" t="str">
        <x:v>water_soil</x:v>
      </x:c>
      <x:c r="I1156" s="32" t="str">
        <x:v>862323089930701</x:v>
      </x:c>
      <x:c r="J1156" s="82" t="n">
        <x:v>32.2</x:v>
      </x:c>
      <x:c r="K1156" s="82"/>
      <x:c r="L1156" s="82" t="n">
        <x:v>35.5</x:v>
      </x:c>
      <x:c r="M1156" s="82" t="n">
        <x:v>25.2</x:v>
      </x:c>
      <x:c r="N1156" s="86" t="n">
        <x:v>801</x:v>
      </x:c>
      <x:c r="O1156" s="90" t="n">
        <x:v>6.36</x:v>
      </x:c>
      <x:c r="P1156" s="150" t="n">
        <x:v>3.938</x:v>
      </x:c>
      <x:c r="Q1156" s="86" t="n">
        <x:v>18</x:v>
      </x:c>
      <x:c r="R1156" s="32" t="str">
        <x:v>ok</x:v>
      </x:c>
      <x:c r="S1156" s="32"/>
      <x:c r="T1156" s="32" t="str">
        <x:v>ok</x:v>
      </x:c>
      <x:c r="U1156" s="32" t="str">
        <x:v>ok</x:v>
      </x:c>
      <x:c r="V1156" s="32" t="str">
        <x:v>ok</x:v>
      </x:c>
      <x:c r="W1156" s="154" t="str">
        <x:v>{"schema_version":1,"imei":"862323089930701","timestamp":1786029353,"report_sequence":49,"task_version":"rice_w0_water_soil_demo","sensor_mode":"water_soil","soil_moisture_percent":35.5,"soil_temperature_c":25.2,"soil_ec_us_cm":801,"soil_ph":6.36,"battery_mv":3938,"csq":18,"soil_rs485_status":"ok","cycle_status":"ok","water_level_mm":32.2,"water_4_20ma_status":"ok"}</x:v>
      </x:c>
    </x:row>
    <x:row r="1157">
      <x:c r="A1157" s="72" t="n">
        <x:v>46240.969363425924</x:v>
      </x:c>
      <x:c r="B1157" s="72" t="n">
        <x:v>46240.96937731482</x:v>
      </x:c>
      <x:c r="C1157" s="32" t="str">
        <x:v>P02</x:v>
      </x:c>
      <x:c r="D1157" s="32" t="str">
        <x:v>B1-W0-V2</x:v>
      </x:c>
      <x:c r="E1157" s="32" t="str">
        <x:v>B1</x:v>
      </x:c>
      <x:c r="F1157" s="32" t="str">
        <x:v>W0</x:v>
      </x:c>
      <x:c r="G1157" s="32" t="str">
        <x:v>V2</x:v>
      </x:c>
      <x:c r="H1157" s="32" t="str">
        <x:v>water_soil</x:v>
      </x:c>
      <x:c r="I1157" s="32" t="str">
        <x:v>862323089930702</x:v>
      </x:c>
      <x:c r="J1157" s="82" t="n">
        <x:v>36.4</x:v>
      </x:c>
      <x:c r="K1157" s="82"/>
      <x:c r="L1157" s="82" t="n">
        <x:v>37</x:v>
      </x:c>
      <x:c r="M1157" s="82" t="n">
        <x:v>25.3</x:v>
      </x:c>
      <x:c r="N1157" s="86" t="n">
        <x:v>821</x:v>
      </x:c>
      <x:c r="O1157" s="90" t="n">
        <x:v>6.41</x:v>
      </x:c>
      <x:c r="P1157" s="150" t="n">
        <x:v>3.956</x:v>
      </x:c>
      <x:c r="Q1157" s="86" t="n">
        <x:v>19</x:v>
      </x:c>
      <x:c r="R1157" s="32" t="str">
        <x:v>ok</x:v>
      </x:c>
      <x:c r="S1157" s="32"/>
      <x:c r="T1157" s="32" t="str">
        <x:v>ok</x:v>
      </x:c>
      <x:c r="U1157" s="32" t="str">
        <x:v>ok</x:v>
      </x:c>
      <x:c r="V1157" s="32" t="str">
        <x:v>ok</x:v>
      </x:c>
      <x:c r="W1157" s="154" t="str">
        <x:v>{"schema_version":1,"imei":"862323089930702","timestamp":1786029353,"report_sequence":49,"task_version":"rice_w0_water_soil_demo","sensor_mode":"water_soil","soil_moisture_percent":37,"soil_temperature_c":25.3,"soil_ec_us_cm":821,"soil_ph":6.41,"battery_mv":3956,"csq":19,"soil_rs485_status":"ok","cycle_status":"ok","water_level_mm":36.4,"water_4_20ma_status":"ok"}</x:v>
      </x:c>
    </x:row>
    <x:row r="1158">
      <x:c r="A1158" s="72" t="n">
        <x:v>46240.969363425924</x:v>
      </x:c>
      <x:c r="B1158" s="72" t="n">
        <x:v>46240.96937731482</x:v>
      </x:c>
      <x:c r="C1158" s="32" t="str">
        <x:v>P03</x:v>
      </x:c>
      <x:c r="D1158" s="32" t="str">
        <x:v>B1-W1-V1</x:v>
      </x:c>
      <x:c r="E1158" s="32" t="str">
        <x:v>B1</x:v>
      </x:c>
      <x:c r="F1158" s="32" t="str">
        <x:v>W1</x:v>
      </x:c>
      <x:c r="G1158" s="32" t="str">
        <x:v>V1</x:v>
      </x:c>
      <x:c r="H1158" s="32" t="str">
        <x:v>tension_soil</x:v>
      </x:c>
      <x:c r="I1158" s="32" t="str">
        <x:v>862323089930703</x:v>
      </x:c>
      <x:c r="J1158" s="82"/>
      <x:c r="K1158" s="82" t="n">
        <x:v>-27.4</x:v>
      </x:c>
      <x:c r="L1158" s="82" t="n">
        <x:v>38.4</x:v>
      </x:c>
      <x:c r="M1158" s="82" t="n">
        <x:v>25.4</x:v>
      </x:c>
      <x:c r="N1158" s="86" t="n">
        <x:v>840</x:v>
      </x:c>
      <x:c r="O1158" s="90" t="n">
        <x:v>6.47</x:v>
      </x:c>
      <x:c r="P1158" s="150" t="n">
        <x:v>3.974</x:v>
      </x:c>
      <x:c r="Q1158" s="86" t="n">
        <x:v>20</x:v>
      </x:c>
      <x:c r="R1158" s="32"/>
      <x:c r="S1158" s="32" t="str">
        <x:v>ok</x:v>
      </x:c>
      <x:c r="T1158" s="32" t="str">
        <x:v>crc_error</x:v>
      </x:c>
      <x:c r="U1158" s="32" t="str">
        <x:v>partial</x:v>
      </x:c>
      <x:c r="V1158" s="32" t="str">
        <x:v>error</x:v>
      </x:c>
      <x:c r="W1158" s="154" t="str">
        <x:v>{"schema_version":1,"imei":"862323089930703","timestamp":1786029353,"report_sequence":49,"task_version":"rice_tension_soil_demo","sensor_mode":"tension_soil","soil_moisture_percent":38.4,"soil_temperature_c":25.4,"soil_ec_us_cm":840,"soil_ph":6.47,"battery_mv":3974,"csq":20,"soil_rs485_status":"crc_error","cycle_status":"partial","soil_tension_kpa":-27.4,"soil_tension_rs485_status":"ok"}</x:v>
      </x:c>
    </x:row>
    <x:row r="1159">
      <x:c r="A1159" s="72" t="n">
        <x:v>46240.969363425924</x:v>
      </x:c>
      <x:c r="B1159" s="72" t="n">
        <x:v>46240.96937731482</x:v>
      </x:c>
      <x:c r="C1159" s="32" t="str">
        <x:v>P04</x:v>
      </x:c>
      <x:c r="D1159" s="32" t="str">
        <x:v>B1-W1-V2</x:v>
      </x:c>
      <x:c r="E1159" s="32" t="str">
        <x:v>B1</x:v>
      </x:c>
      <x:c r="F1159" s="32" t="str">
        <x:v>W1</x:v>
      </x:c>
      <x:c r="G1159" s="32" t="str">
        <x:v>V2</x:v>
      </x:c>
      <x:c r="H1159" s="32" t="str">
        <x:v>tension_soil</x:v>
      </x:c>
      <x:c r="I1159" s="32" t="str">
        <x:v>862323089930704</x:v>
      </x:c>
      <x:c r="J1159" s="82"/>
      <x:c r="K1159" s="82" t="n">
        <x:v>-28.7</x:v>
      </x:c>
      <x:c r="L1159" s="82" t="n">
        <x:v>39.7</x:v>
      </x:c>
      <x:c r="M1159" s="82" t="n">
        <x:v>25.5</x:v>
      </x:c>
      <x:c r="N1159" s="86" t="n">
        <x:v>857</x:v>
      </x:c>
      <x:c r="O1159" s="90" t="n">
        <x:v>6.53</x:v>
      </x:c>
      <x:c r="P1159" s="150" t="n">
        <x:v>3.992</x:v>
      </x:c>
      <x:c r="Q1159" s="86" t="n">
        <x:v>21</x:v>
      </x:c>
      <x:c r="R1159" s="32"/>
      <x:c r="S1159" s="32" t="str">
        <x:v>ok</x:v>
      </x:c>
      <x:c r="T1159" s="32" t="str">
        <x:v>ok</x:v>
      </x:c>
      <x:c r="U1159" s="32" t="str">
        <x:v>ok</x:v>
      </x:c>
      <x:c r="V1159" s="32" t="str">
        <x:v>ok</x:v>
      </x:c>
      <x:c r="W1159" s="154" t="str">
        <x:v>{"schema_version":1,"imei":"862323089930704","timestamp":1786029353,"report_sequence":49,"task_version":"rice_tension_soil_demo","sensor_mode":"tension_soil","soil_moisture_percent":39.7,"soil_temperature_c":25.5,"soil_ec_us_cm":857,"soil_ph":6.53,"battery_mv":3992,"csq":21,"soil_rs485_status":"ok","cycle_status":"ok","soil_tension_kpa":-28.7,"soil_tension_rs485_status":"ok"}</x:v>
      </x:c>
    </x:row>
    <x:row r="1160">
      <x:c r="A1160" s="72" t="n">
        <x:v>46240.969363425924</x:v>
      </x:c>
      <x:c r="B1160" s="72" t="n">
        <x:v>46240.96937731482</x:v>
      </x:c>
      <x:c r="C1160" s="32" t="str">
        <x:v>P05</x:v>
      </x:c>
      <x:c r="D1160" s="32" t="str">
        <x:v>B1-W2-V1</x:v>
      </x:c>
      <x:c r="E1160" s="32" t="str">
        <x:v>B1</x:v>
      </x:c>
      <x:c r="F1160" s="32" t="str">
        <x:v>W2</x:v>
      </x:c>
      <x:c r="G1160" s="32" t="str">
        <x:v>V1</x:v>
      </x:c>
      <x:c r="H1160" s="32" t="str">
        <x:v>tension_soil</x:v>
      </x:c>
      <x:c r="I1160" s="32" t="str">
        <x:v>862323089930705</x:v>
      </x:c>
      <x:c r="J1160" s="82"/>
      <x:c r="K1160" s="82" t="n">
        <x:v>-35.9</x:v>
      </x:c>
      <x:c r="L1160" s="82" t="n">
        <x:v>40.9</x:v>
      </x:c>
      <x:c r="M1160" s="82" t="n">
        <x:v>25.6</x:v>
      </x:c>
      <x:c r="N1160" s="86" t="n">
        <x:v>873</x:v>
      </x:c>
      <x:c r="O1160" s="90" t="n">
        <x:v>6.33</x:v>
      </x:c>
      <x:c r="P1160" s="150" t="n">
        <x:v>4.01</x:v>
      </x:c>
      <x:c r="Q1160" s="86" t="n">
        <x:v>22</x:v>
      </x:c>
      <x:c r="R1160" s="32"/>
      <x:c r="S1160" s="32" t="str">
        <x:v>ok</x:v>
      </x:c>
      <x:c r="T1160" s="32" t="str">
        <x:v>ok</x:v>
      </x:c>
      <x:c r="U1160" s="32" t="str">
        <x:v>ok</x:v>
      </x:c>
      <x:c r="V1160" s="32" t="str">
        <x:v>ok</x:v>
      </x:c>
      <x:c r="W1160" s="154" t="str">
        <x:v>{"schema_version":1,"imei":"862323089930705","timestamp":1786029353,"report_sequence":49,"task_version":"rice_tension_soil_demo","sensor_mode":"tension_soil","soil_moisture_percent":40.9,"soil_temperature_c":25.6,"soil_ec_us_cm":873,"soil_ph":6.33,"battery_mv":4010,"csq":22,"soil_rs485_status":"ok","cycle_status":"ok","soil_tension_kpa":-35.9,"soil_tension_rs485_status":"ok"}</x:v>
      </x:c>
    </x:row>
    <x:row r="1161">
      <x:c r="A1161" s="72" t="n">
        <x:v>46240.969363425924</x:v>
      </x:c>
      <x:c r="B1161" s="72" t="n">
        <x:v>46240.96937731482</x:v>
      </x:c>
      <x:c r="C1161" s="32" t="str">
        <x:v>P06</x:v>
      </x:c>
      <x:c r="D1161" s="32" t="str">
        <x:v>B1-W2-V2</x:v>
      </x:c>
      <x:c r="E1161" s="32" t="str">
        <x:v>B1</x:v>
      </x:c>
      <x:c r="F1161" s="32" t="str">
        <x:v>W2</x:v>
      </x:c>
      <x:c r="G1161" s="32" t="str">
        <x:v>V2</x:v>
      </x:c>
      <x:c r="H1161" s="32" t="str">
        <x:v>tension_soil</x:v>
      </x:c>
      <x:c r="I1161" s="32" t="str">
        <x:v>862323089930706</x:v>
      </x:c>
      <x:c r="J1161" s="82"/>
      <x:c r="K1161" s="82" t="n">
        <x:v>-37</x:v>
      </x:c>
      <x:c r="L1161" s="82" t="n">
        <x:v>42</x:v>
      </x:c>
      <x:c r="M1161" s="82" t="n">
        <x:v>25.6</x:v>
      </x:c>
      <x:c r="N1161" s="86" t="n">
        <x:v>887</x:v>
      </x:c>
      <x:c r="O1161" s="90" t="n">
        <x:v>6.38</x:v>
      </x:c>
      <x:c r="P1161" s="150" t="n">
        <x:v>3.92</x:v>
      </x:c>
      <x:c r="Q1161" s="86" t="n">
        <x:v>23</x:v>
      </x:c>
      <x:c r="R1161" s="32"/>
      <x:c r="S1161" s="32" t="str">
        <x:v>ok</x:v>
      </x:c>
      <x:c r="T1161" s="32" t="str">
        <x:v>ok</x:v>
      </x:c>
      <x:c r="U1161" s="32" t="str">
        <x:v>ok</x:v>
      </x:c>
      <x:c r="V1161" s="32" t="str">
        <x:v>ok</x:v>
      </x:c>
      <x:c r="W1161" s="154" t="str">
        <x:v>{"schema_version":1,"imei":"862323089930706","timestamp":1786029353,"report_sequence":49,"task_version":"rice_tension_soil_demo","sensor_mode":"tension_soil","soil_moisture_percent":42,"soil_temperature_c":25.6,"soil_ec_us_cm":887,"soil_ph":6.38,"battery_mv":3920,"csq":23,"soil_rs485_status":"ok","cycle_status":"ok","soil_tension_kpa":-37,"soil_tension_rs485_status":"ok"}</x:v>
      </x:c>
    </x:row>
    <x:row r="1162">
      <x:c r="A1162" s="72" t="n">
        <x:v>46240.969363425924</x:v>
      </x:c>
      <x:c r="B1162" s="72" t="n">
        <x:v>46240.96937731482</x:v>
      </x:c>
      <x:c r="C1162" s="32" t="str">
        <x:v>P07</x:v>
      </x:c>
      <x:c r="D1162" s="32" t="str">
        <x:v>B2-W0-V1</x:v>
      </x:c>
      <x:c r="E1162" s="32" t="str">
        <x:v>B2</x:v>
      </x:c>
      <x:c r="F1162" s="32" t="str">
        <x:v>W0</x:v>
      </x:c>
      <x:c r="G1162" s="32" t="str">
        <x:v>V1</x:v>
      </x:c>
      <x:c r="H1162" s="32" t="str">
        <x:v>water_soil</x:v>
      </x:c>
      <x:c r="I1162" s="32" t="str">
        <x:v>862323089930707</x:v>
      </x:c>
      <x:c r="J1162" s="82" t="n">
        <x:v>41.9</x:v>
      </x:c>
      <x:c r="K1162" s="82"/>
      <x:c r="L1162" s="82" t="n">
        <x:v>43</x:v>
      </x:c>
      <x:c r="M1162" s="82" t="n">
        <x:v>25.6</x:v>
      </x:c>
      <x:c r="N1162" s="86" t="n">
        <x:v>898</x:v>
      </x:c>
      <x:c r="O1162" s="90" t="n">
        <x:v>6.43</x:v>
      </x:c>
      <x:c r="P1162" s="150" t="n">
        <x:v>3.938</x:v>
      </x:c>
      <x:c r="Q1162" s="86" t="n">
        <x:v>24</x:v>
      </x:c>
      <x:c r="R1162" s="32" t="str">
        <x:v>ok</x:v>
      </x:c>
      <x:c r="S1162" s="32"/>
      <x:c r="T1162" s="32" t="str">
        <x:v>ok</x:v>
      </x:c>
      <x:c r="U1162" s="32" t="str">
        <x:v>ok</x:v>
      </x:c>
      <x:c r="V1162" s="32" t="str">
        <x:v>ok</x:v>
      </x:c>
      <x:c r="W1162" s="154" t="str">
        <x:v>{"schema_version":1,"imei":"862323089930707","timestamp":1786029353,"report_sequence":49,"task_version":"rice_w0_water_soil_demo","sensor_mode":"water_soil","soil_moisture_percent":43,"soil_temperature_c":25.6,"soil_ec_us_cm":898,"soil_ph":6.43,"battery_mv":3938,"csq":24,"soil_rs485_status":"ok","cycle_status":"ok","water_level_mm":41.9,"water_4_20ma_status":"ok"}</x:v>
      </x:c>
    </x:row>
    <x:row r="1163">
      <x:c r="A1163" s="72" t="n">
        <x:v>46240.969363425924</x:v>
      </x:c>
      <x:c r="B1163" s="72" t="n">
        <x:v>46240.96937731482</x:v>
      </x:c>
      <x:c r="C1163" s="32" t="str">
        <x:v>P08</x:v>
      </x:c>
      <x:c r="D1163" s="32" t="str">
        <x:v>B2-W0-V2</x:v>
      </x:c>
      <x:c r="E1163" s="32" t="str">
        <x:v>B2</x:v>
      </x:c>
      <x:c r="F1163" s="32" t="str">
        <x:v>W0</x:v>
      </x:c>
      <x:c r="G1163" s="32" t="str">
        <x:v>V2</x:v>
      </x:c>
      <x:c r="H1163" s="32" t="str">
        <x:v>water_soil</x:v>
      </x:c>
      <x:c r="I1163" s="32" t="str">
        <x:v>862323089930708</x:v>
      </x:c>
      <x:c r="J1163" s="82" t="n">
        <x:v>32.5</x:v>
      </x:c>
      <x:c r="K1163" s="82"/>
      <x:c r="L1163" s="82" t="n">
        <x:v>35.8</x:v>
      </x:c>
      <x:c r="M1163" s="82" t="n">
        <x:v>25.6</x:v>
      </x:c>
      <x:c r="N1163" s="86" t="n">
        <x:v>908</x:v>
      </x:c>
      <x:c r="O1163" s="90" t="n">
        <x:v>6.48</x:v>
      </x:c>
      <x:c r="P1163" s="150" t="n">
        <x:v>3.956</x:v>
      </x:c>
      <x:c r="Q1163" s="86" t="n">
        <x:v>17</x:v>
      </x:c>
      <x:c r="R1163" s="32" t="str">
        <x:v>ok</x:v>
      </x:c>
      <x:c r="S1163" s="32"/>
      <x:c r="T1163" s="32" t="str">
        <x:v>ok</x:v>
      </x:c>
      <x:c r="U1163" s="32" t="str">
        <x:v>ok</x:v>
      </x:c>
      <x:c r="V1163" s="32" t="str">
        <x:v>ok</x:v>
      </x:c>
      <x:c r="W1163" s="154" t="str">
        <x:v>{"schema_version":1,"imei":"862323089930708","timestamp":1786029353,"report_sequence":49,"task_version":"rice_w0_water_soil_demo","sensor_mode":"water_soil","soil_moisture_percent":35.8,"soil_temperature_c":25.6,"soil_ec_us_cm":908,"soil_ph":6.48,"battery_mv":3956,"csq":17,"soil_rs485_status":"ok","cycle_status":"ok","water_level_mm":32.5,"water_4_20ma_status":"ok"}</x:v>
      </x:c>
    </x:row>
    <x:row r="1164">
      <x:c r="A1164" s="72" t="n">
        <x:v>46240.969363425924</x:v>
      </x:c>
      <x:c r="B1164" s="72" t="n">
        <x:v>46240.96937731482</x:v>
      </x:c>
      <x:c r="C1164" s="32" t="str">
        <x:v>P09</x:v>
      </x:c>
      <x:c r="D1164" s="32" t="str">
        <x:v>B2-W1-V1</x:v>
      </x:c>
      <x:c r="E1164" s="32" t="str">
        <x:v>B2</x:v>
      </x:c>
      <x:c r="F1164" s="32" t="str">
        <x:v>W1</x:v>
      </x:c>
      <x:c r="G1164" s="32" t="str">
        <x:v>V1</x:v>
      </x:c>
      <x:c r="H1164" s="32" t="str">
        <x:v>tension_soil</x:v>
      </x:c>
      <x:c r="I1164" s="32" t="str">
        <x:v>862323089930709</x:v>
      </x:c>
      <x:c r="J1164" s="82"/>
      <x:c r="K1164" s="82" t="n">
        <x:v>-28.6</x:v>
      </x:c>
      <x:c r="L1164" s="82" t="n">
        <x:v>36.6</x:v>
      </x:c>
      <x:c r="M1164" s="82" t="n">
        <x:v>25.5</x:v>
      </x:c>
      <x:c r="N1164" s="86" t="n">
        <x:v>915</x:v>
      </x:c>
      <x:c r="O1164" s="90" t="n">
        <x:v>6.52</x:v>
      </x:c>
      <x:c r="P1164" s="150" t="n">
        <x:v>3.974</x:v>
      </x:c>
      <x:c r="Q1164" s="86" t="n">
        <x:v>18</x:v>
      </x:c>
      <x:c r="R1164" s="32"/>
      <x:c r="S1164" s="32" t="str">
        <x:v>ok</x:v>
      </x:c>
      <x:c r="T1164" s="32" t="str">
        <x:v>ok</x:v>
      </x:c>
      <x:c r="U1164" s="32" t="str">
        <x:v>ok</x:v>
      </x:c>
      <x:c r="V1164" s="32" t="str">
        <x:v>ok</x:v>
      </x:c>
      <x:c r="W1164" s="154" t="str">
        <x:v>{"schema_version":1,"imei":"862323089930709","timestamp":1786029353,"report_sequence":49,"task_version":"rice_tension_soil_demo","sensor_mode":"tension_soil","soil_moisture_percent":36.6,"soil_temperature_c":25.5,"soil_ec_us_cm":915,"soil_ph":6.52,"battery_mv":3974,"csq":18,"soil_rs485_status":"ok","cycle_status":"ok","soil_tension_kpa":-28.6,"soil_tension_rs485_status":"ok"}</x:v>
      </x:c>
    </x:row>
    <x:row r="1165">
      <x:c r="A1165" s="72" t="n">
        <x:v>46240.969363425924</x:v>
      </x:c>
      <x:c r="B1165" s="72" t="n">
        <x:v>46240.96937731482</x:v>
      </x:c>
      <x:c r="C1165" s="32" t="str">
        <x:v>P10</x:v>
      </x:c>
      <x:c r="D1165" s="32" t="str">
        <x:v>B2-W1-V2</x:v>
      </x:c>
      <x:c r="E1165" s="32" t="str">
        <x:v>B2</x:v>
      </x:c>
      <x:c r="F1165" s="32" t="str">
        <x:v>W1</x:v>
      </x:c>
      <x:c r="G1165" s="32" t="str">
        <x:v>V2</x:v>
      </x:c>
      <x:c r="H1165" s="32" t="str">
        <x:v>tension_soil</x:v>
      </x:c>
      <x:c r="I1165" s="32" t="str">
        <x:v>862323089930710</x:v>
      </x:c>
      <x:c r="J1165" s="82"/>
      <x:c r="K1165" s="82" t="n">
        <x:v>-24.2</x:v>
      </x:c>
      <x:c r="L1165" s="82" t="n">
        <x:v>37.2</x:v>
      </x:c>
      <x:c r="M1165" s="82" t="n">
        <x:v>25.4</x:v>
      </x:c>
      <x:c r="N1165" s="86" t="n">
        <x:v>921</x:v>
      </x:c>
      <x:c r="O1165" s="90" t="n">
        <x:v>6.32</x:v>
      </x:c>
      <x:c r="P1165" s="150" t="n">
        <x:v>3.992</x:v>
      </x:c>
      <x:c r="Q1165" s="86" t="n">
        <x:v>19</x:v>
      </x:c>
      <x:c r="R1165" s="32"/>
      <x:c r="S1165" s="32" t="str">
        <x:v>ok</x:v>
      </x:c>
      <x:c r="T1165" s="32" t="str">
        <x:v>ok</x:v>
      </x:c>
      <x:c r="U1165" s="32" t="str">
        <x:v>ok</x:v>
      </x:c>
      <x:c r="V1165" s="32" t="str">
        <x:v>ok</x:v>
      </x:c>
      <x:c r="W1165" s="154" t="str">
        <x:v>{"schema_version":1,"imei":"862323089930710","timestamp":1786029353,"report_sequence":49,"task_version":"rice_tension_soil_demo","sensor_mode":"tension_soil","soil_moisture_percent":37.2,"soil_temperature_c":25.4,"soil_ec_us_cm":921,"soil_ph":6.32,"battery_mv":3992,"csq":19,"soil_rs485_status":"ok","cycle_status":"ok","soil_tension_kpa":-24.2,"soil_tension_rs485_status":"ok"}</x:v>
      </x:c>
    </x:row>
    <x:row r="1166">
      <x:c r="A1166" s="72" t="n">
        <x:v>46240.969363425924</x:v>
      </x:c>
      <x:c r="B1166" s="72" t="n">
        <x:v>46240.96937731482</x:v>
      </x:c>
      <x:c r="C1166" s="32" t="str">
        <x:v>P11</x:v>
      </x:c>
      <x:c r="D1166" s="32" t="str">
        <x:v>B2-W2-V1</x:v>
      </x:c>
      <x:c r="E1166" s="32" t="str">
        <x:v>B2</x:v>
      </x:c>
      <x:c r="F1166" s="32" t="str">
        <x:v>W2</x:v>
      </x:c>
      <x:c r="G1166" s="32" t="str">
        <x:v>V1</x:v>
      </x:c>
      <x:c r="H1166" s="32" t="str">
        <x:v>tension_soil</x:v>
      </x:c>
      <x:c r="I1166" s="32" t="str">
        <x:v>862323089930711</x:v>
      </x:c>
      <x:c r="J1166" s="82"/>
      <x:c r="K1166" s="82"/>
      <x:c r="L1166" s="82" t="n">
        <x:v>37.8</x:v>
      </x:c>
      <x:c r="M1166" s="82" t="n">
        <x:v>25.3</x:v>
      </x:c>
      <x:c r="N1166" s="86" t="n">
        <x:v>925</x:v>
      </x:c>
      <x:c r="O1166" s="90" t="n">
        <x:v>6.36</x:v>
      </x:c>
      <x:c r="P1166" s="150" t="n">
        <x:v>4.01</x:v>
      </x:c>
      <x:c r="Q1166" s="86" t="n">
        <x:v>20</x:v>
      </x:c>
      <x:c r="R1166" s="32"/>
      <x:c r="S1166" s="32"/>
      <x:c r="T1166" s="32" t="str">
        <x:v>ok</x:v>
      </x:c>
      <x:c r="U1166" s="32" t="str">
        <x:v>ok</x:v>
      </x:c>
      <x:c r="V1166" s="32" t="str">
        <x:v>partial</x:v>
      </x:c>
      <x:c r="W1166" s="154" t="str">
        <x:v>{"schema_version":1,"imei":"862323089930711","timestamp":1786029353,"report_sequence":49,"task_version":"rice_tension_soil_demo","sensor_mode":"tension_soil","soil_moisture_percent":37.8,"soil_temperature_c":25.3,"soil_ec_us_cm":925,"soil_ph":6.36,"battery_mv":4010,"csq":20,"soil_rs485_status":"ok","cycle_status":"ok"}</x:v>
      </x:c>
    </x:row>
    <x:row r="1167">
      <x:c r="A1167" s="72" t="n">
        <x:v>46240.969363425924</x:v>
      </x:c>
      <x:c r="B1167" s="72" t="n">
        <x:v>46240.96937731482</x:v>
      </x:c>
      <x:c r="C1167" s="32" t="str">
        <x:v>P12</x:v>
      </x:c>
      <x:c r="D1167" s="32" t="str">
        <x:v>B2-W2-V2</x:v>
      </x:c>
      <x:c r="E1167" s="32" t="str">
        <x:v>B2</x:v>
      </x:c>
      <x:c r="F1167" s="32" t="str">
        <x:v>W2</x:v>
      </x:c>
      <x:c r="G1167" s="32" t="str">
        <x:v>V2</x:v>
      </x:c>
      <x:c r="H1167" s="32" t="str">
        <x:v>tension_soil</x:v>
      </x:c>
      <x:c r="I1167" s="32" t="str">
        <x:v>862323089930712</x:v>
      </x:c>
      <x:c r="J1167" s="82"/>
      <x:c r="K1167" s="82" t="n">
        <x:v>-36.3</x:v>
      </x:c>
      <x:c r="L1167" s="82" t="n">
        <x:v>38.3</x:v>
      </x:c>
      <x:c r="M1167" s="82" t="n">
        <x:v>25.2</x:v>
      </x:c>
      <x:c r="N1167" s="86" t="n">
        <x:v>929</x:v>
      </x:c>
      <x:c r="O1167" s="90" t="n">
        <x:v>6.4</x:v>
      </x:c>
      <x:c r="P1167" s="150" t="n">
        <x:v>3.92</x:v>
      </x:c>
      <x:c r="Q1167" s="86" t="n">
        <x:v>21</x:v>
      </x:c>
      <x:c r="R1167" s="32"/>
      <x:c r="S1167" s="32" t="str">
        <x:v>ok</x:v>
      </x:c>
      <x:c r="T1167" s="32" t="str">
        <x:v>ok</x:v>
      </x:c>
      <x:c r="U1167" s="32" t="str">
        <x:v>ok</x:v>
      </x:c>
      <x:c r="V1167" s="32" t="str">
        <x:v>ok</x:v>
      </x:c>
      <x:c r="W1167" s="154" t="str">
        <x:v>{"schema_version":1,"imei":"862323089930712","timestamp":1786029353,"report_sequence":49,"task_version":"rice_tension_soil_demo","sensor_mode":"tension_soil","soil_moisture_percent":38.3,"soil_temperature_c":25.2,"soil_ec_us_cm":929,"soil_ph":6.4,"battery_mv":3920,"csq":21,"soil_rs485_status":"ok","cycle_status":"ok","soil_tension_kpa":-36.3,"soil_tension_rs485_status":"ok"}</x:v>
      </x:c>
    </x:row>
    <x:row r="1168">
      <x:c r="A1168" s="72" t="n">
        <x:v>46240.969363425924</x:v>
      </x:c>
      <x:c r="B1168" s="72" t="n">
        <x:v>46240.96937731482</x:v>
      </x:c>
      <x:c r="C1168" s="32" t="str">
        <x:v>P13</x:v>
      </x:c>
      <x:c r="D1168" s="32" t="str">
        <x:v>B3-W0-V1</x:v>
      </x:c>
      <x:c r="E1168" s="32" t="str">
        <x:v>B3</x:v>
      </x:c>
      <x:c r="F1168" s="32" t="str">
        <x:v>W0</x:v>
      </x:c>
      <x:c r="G1168" s="32" t="str">
        <x:v>V1</x:v>
      </x:c>
      <x:c r="H1168" s="32" t="str">
        <x:v>water_soil</x:v>
      </x:c>
      <x:c r="I1168" s="32" t="str">
        <x:v>862323089930713</x:v>
      </x:c>
      <x:c r="J1168" s="82" t="n">
        <x:v>30.5</x:v>
      </x:c>
      <x:c r="K1168" s="82"/>
      <x:c r="L1168" s="82" t="n">
        <x:v>38.8</x:v>
      </x:c>
      <x:c r="M1168" s="82" t="n">
        <x:v>25</x:v>
      </x:c>
      <x:c r="N1168" s="86" t="n">
        <x:v>932</x:v>
      </x:c>
      <x:c r="O1168" s="90" t="n">
        <x:v>6.45</x:v>
      </x:c>
      <x:c r="P1168" s="150" t="n">
        <x:v>3.938</x:v>
      </x:c>
      <x:c r="Q1168" s="86" t="n">
        <x:v>22</x:v>
      </x:c>
      <x:c r="R1168" s="32" t="str">
        <x:v>ok</x:v>
      </x:c>
      <x:c r="S1168" s="32"/>
      <x:c r="T1168" s="32" t="str">
        <x:v>ok</x:v>
      </x:c>
      <x:c r="U1168" s="32" t="str">
        <x:v>ok</x:v>
      </x:c>
      <x:c r="V1168" s="32" t="str">
        <x:v>ok</x:v>
      </x:c>
      <x:c r="W1168" s="154" t="str">
        <x:v>{"schema_version":1,"imei":"862323089930713","timestamp":1786029353,"report_sequence":49,"task_version":"rice_w0_water_soil_demo","sensor_mode":"water_soil","soil_moisture_percent":38.8,"soil_temperature_c":25,"soil_ec_us_cm":932,"soil_ph":6.45,"battery_mv":3938,"csq":22,"soil_rs485_status":"ok","cycle_status":"ok","water_level_mm":30.5,"water_4_20ma_status":"ok"}</x:v>
      </x:c>
    </x:row>
    <x:row r="1169">
      <x:c r="A1169" s="72" t="n">
        <x:v>46240.969363425924</x:v>
      </x:c>
      <x:c r="B1169" s="72" t="n">
        <x:v>46240.96937731482</x:v>
      </x:c>
      <x:c r="C1169" s="32" t="str">
        <x:v>P14</x:v>
      </x:c>
      <x:c r="D1169" s="32" t="str">
        <x:v>B3-W0-V2</x:v>
      </x:c>
      <x:c r="E1169" s="32" t="str">
        <x:v>B3</x:v>
      </x:c>
      <x:c r="F1169" s="32" t="str">
        <x:v>W0</x:v>
      </x:c>
      <x:c r="G1169" s="32" t="str">
        <x:v>V2</x:v>
      </x:c>
      <x:c r="H1169" s="32" t="str">
        <x:v>water_soil</x:v>
      </x:c>
      <x:c r="I1169" s="32" t="str">
        <x:v>862323089930714</x:v>
      </x:c>
      <x:c r="J1169" s="82" t="n">
        <x:v>32.2</x:v>
      </x:c>
      <x:c r="K1169" s="82"/>
      <x:c r="L1169" s="82" t="n">
        <x:v>39.3</x:v>
      </x:c>
      <x:c r="M1169" s="82" t="n">
        <x:v>24.9</x:v>
      </x:c>
      <x:c r="N1169" s="86" t="n">
        <x:v>936</x:v>
      </x:c>
      <x:c r="O1169" s="90" t="n">
        <x:v>6.49</x:v>
      </x:c>
      <x:c r="P1169" s="150" t="n">
        <x:v>3.956</x:v>
      </x:c>
      <x:c r="Q1169" s="86" t="n">
        <x:v>23</x:v>
      </x:c>
      <x:c r="R1169" s="32" t="str">
        <x:v>ok</x:v>
      </x:c>
      <x:c r="S1169" s="32"/>
      <x:c r="T1169" s="32" t="str">
        <x:v>ok</x:v>
      </x:c>
      <x:c r="U1169" s="32" t="str">
        <x:v>ok</x:v>
      </x:c>
      <x:c r="V1169" s="32" t="str">
        <x:v>ok</x:v>
      </x:c>
      <x:c r="W1169" s="154" t="str">
        <x:v>{"schema_version":1,"imei":"862323089930714","timestamp":1786029353,"report_sequence":49,"task_version":"rice_w0_water_soil_demo","sensor_mode":"water_soil","soil_moisture_percent":39.3,"soil_temperature_c":24.9,"soil_ec_us_cm":936,"soil_ph":6.49,"battery_mv":3956,"csq":23,"soil_rs485_status":"ok","cycle_status":"ok","water_level_mm":32.2,"water_4_20ma_status":"ok"}</x:v>
      </x:c>
    </x:row>
    <x:row r="1170">
      <x:c r="A1170" s="72" t="n">
        <x:v>46240.969363425924</x:v>
      </x:c>
      <x:c r="B1170" s="72" t="n">
        <x:v>46240.96937731482</x:v>
      </x:c>
      <x:c r="C1170" s="32" t="str">
        <x:v>P15</x:v>
      </x:c>
      <x:c r="D1170" s="32" t="str">
        <x:v>B3-W1-V1</x:v>
      </x:c>
      <x:c r="E1170" s="32" t="str">
        <x:v>B3</x:v>
      </x:c>
      <x:c r="F1170" s="32" t="str">
        <x:v>W1</x:v>
      </x:c>
      <x:c r="G1170" s="32" t="str">
        <x:v>V1</x:v>
      </x:c>
      <x:c r="H1170" s="32" t="str">
        <x:v>tension_soil</x:v>
      </x:c>
      <x:c r="I1170" s="32" t="str">
        <x:v>862323089930715</x:v>
      </x:c>
      <x:c r="J1170" s="82"/>
      <x:c r="K1170" s="82" t="n">
        <x:v>-21.9</x:v>
      </x:c>
      <x:c r="L1170" s="82" t="n">
        <x:v>39.9</x:v>
      </x:c>
      <x:c r="M1170" s="82" t="n">
        <x:v>24.8</x:v>
      </x:c>
      <x:c r="N1170" s="86" t="n">
        <x:v>940</x:v>
      </x:c>
      <x:c r="O1170" s="90" t="n">
        <x:v>6.28</x:v>
      </x:c>
      <x:c r="P1170" s="150" t="n">
        <x:v>3.974</x:v>
      </x:c>
      <x:c r="Q1170" s="86" t="n">
        <x:v>24</x:v>
      </x:c>
      <x:c r="R1170" s="32"/>
      <x:c r="S1170" s="32" t="str">
        <x:v>ok</x:v>
      </x:c>
      <x:c r="T1170" s="32" t="str">
        <x:v>ok</x:v>
      </x:c>
      <x:c r="U1170" s="32" t="str">
        <x:v>ok</x:v>
      </x:c>
      <x:c r="V1170" s="32" t="str">
        <x:v>ok</x:v>
      </x:c>
      <x:c r="W1170" s="154" t="str">
        <x:v>{"schema_version":1,"imei":"862323089930715","timestamp":1786029353,"report_sequence":49,"task_version":"rice_tension_soil_demo","sensor_mode":"tension_soil","soil_moisture_percent":39.9,"soil_temperature_c":24.8,"soil_ec_us_cm":940,"soil_ph":6.28,"battery_mv":3974,"csq":24,"soil_rs485_status":"ok","cycle_status":"ok","soil_tension_kpa":-21.9,"soil_tension_rs485_status":"ok"}</x:v>
      </x:c>
    </x:row>
    <x:row r="1171">
      <x:c r="A1171" s="72" t="n">
        <x:v>46240.969363425924</x:v>
      </x:c>
      <x:c r="B1171" s="72" t="n">
        <x:v>46240.96937731482</x:v>
      </x:c>
      <x:c r="C1171" s="32" t="str">
        <x:v>P16</x:v>
      </x:c>
      <x:c r="D1171" s="32" t="str">
        <x:v>B3-W1-V2</x:v>
      </x:c>
      <x:c r="E1171" s="32" t="str">
        <x:v>B3</x:v>
      </x:c>
      <x:c r="F1171" s="32" t="str">
        <x:v>W1</x:v>
      </x:c>
      <x:c r="G1171" s="32" t="str">
        <x:v>V2</x:v>
      </x:c>
      <x:c r="H1171" s="32" t="str">
        <x:v>tension_soil</x:v>
      </x:c>
      <x:c r="I1171" s="32" t="str">
        <x:v>862323089930716</x:v>
      </x:c>
      <x:c r="J1171" s="82"/>
      <x:c r="K1171" s="82" t="n">
        <x:v>-22.5</x:v>
      </x:c>
      <x:c r="L1171" s="82" t="n">
        <x:v>32.5</x:v>
      </x:c>
      <x:c r="M1171" s="82" t="n">
        <x:v>24.7</x:v>
      </x:c>
      <x:c r="N1171" s="86" t="n">
        <x:v>946</x:v>
      </x:c>
      <x:c r="O1171" s="90" t="n">
        <x:v>6.33</x:v>
      </x:c>
      <x:c r="P1171" s="150" t="n">
        <x:v>3.992</x:v>
      </x:c>
      <x:c r="Q1171" s="86" t="n">
        <x:v>17</x:v>
      </x:c>
      <x:c r="R1171" s="32"/>
      <x:c r="S1171" s="32" t="str">
        <x:v>ok</x:v>
      </x:c>
      <x:c r="T1171" s="32" t="str">
        <x:v>ok</x:v>
      </x:c>
      <x:c r="U1171" s="32" t="str">
        <x:v>ok</x:v>
      </x:c>
      <x:c r="V1171" s="32" t="str">
        <x:v>ok</x:v>
      </x:c>
      <x:c r="W1171" s="154" t="str">
        <x:v>{"schema_version":1,"imei":"862323089930716","timestamp":1786029353,"report_sequence":49,"task_version":"rice_tension_soil_demo","sensor_mode":"tension_soil","soil_moisture_percent":32.5,"soil_temperature_c":24.7,"soil_ec_us_cm":946,"soil_ph":6.33,"battery_mv":3992,"csq":17,"soil_rs485_status":"ok","cycle_status":"ok","soil_tension_kpa":-22.5,"soil_tension_rs485_status":"ok"}</x:v>
      </x:c>
    </x:row>
    <x:row r="1172">
      <x:c r="A1172" s="72" t="n">
        <x:v>46240.969363425924</x:v>
      </x:c>
      <x:c r="B1172" s="72" t="n">
        <x:v>46240.96937731482</x:v>
      </x:c>
      <x:c r="C1172" s="32" t="str">
        <x:v>P17</x:v>
      </x:c>
      <x:c r="D1172" s="32" t="str">
        <x:v>B3-W2-V1</x:v>
      </x:c>
      <x:c r="E1172" s="32" t="str">
        <x:v>B3</x:v>
      </x:c>
      <x:c r="F1172" s="32" t="str">
        <x:v>W2</x:v>
      </x:c>
      <x:c r="G1172" s="32" t="str">
        <x:v>V1</x:v>
      </x:c>
      <x:c r="H1172" s="32" t="str">
        <x:v>tension_soil</x:v>
      </x:c>
      <x:c r="I1172" s="32" t="str">
        <x:v>862323089930717</x:v>
      </x:c>
      <x:c r="J1172" s="82"/>
      <x:c r="K1172" s="82" t="n">
        <x:v>-34.2</x:v>
      </x:c>
      <x:c r="L1172" s="82" t="n">
        <x:v>33.2</x:v>
      </x:c>
      <x:c r="M1172" s="82" t="n">
        <x:v>24.7</x:v>
      </x:c>
      <x:c r="N1172" s="86" t="n">
        <x:v>953</x:v>
      </x:c>
      <x:c r="O1172" s="90" t="n">
        <x:v>6.37</x:v>
      </x:c>
      <x:c r="P1172" s="150" t="n">
        <x:v>4.01</x:v>
      </x:c>
      <x:c r="Q1172" s="86" t="n">
        <x:v>18</x:v>
      </x:c>
      <x:c r="R1172" s="32"/>
      <x:c r="S1172" s="32" t="str">
        <x:v>ok</x:v>
      </x:c>
      <x:c r="T1172" s="32" t="str">
        <x:v>ok</x:v>
      </x:c>
      <x:c r="U1172" s="32" t="str">
        <x:v>ok</x:v>
      </x:c>
      <x:c r="V1172" s="32" t="str">
        <x:v>ok</x:v>
      </x:c>
      <x:c r="W1172" s="154" t="str">
        <x:v>{"schema_version":1,"imei":"862323089930717","timestamp":1786029353,"report_sequence":49,"task_version":"rice_tension_soil_demo","sensor_mode":"tension_soil","soil_moisture_percent":33.2,"soil_temperature_c":24.7,"soil_ec_us_cm":953,"soil_ph":6.37,"battery_mv":4010,"csq":18,"soil_rs485_status":"ok","cycle_status":"ok","soil_tension_kpa":-34.2,"soil_tension_rs485_status":"ok"}</x:v>
      </x:c>
    </x:row>
    <x:row r="1173">
      <x:c r="A1173" s="72" t="n">
        <x:v>46240.969363425924</x:v>
      </x:c>
      <x:c r="B1173" s="72" t="n">
        <x:v>46240.96937731482</x:v>
      </x:c>
      <x:c r="C1173" s="32" t="str">
        <x:v>P18</x:v>
      </x:c>
      <x:c r="D1173" s="32" t="str">
        <x:v>B3-W2-V2</x:v>
      </x:c>
      <x:c r="E1173" s="32" t="str">
        <x:v>B3</x:v>
      </x:c>
      <x:c r="F1173" s="32" t="str">
        <x:v>W2</x:v>
      </x:c>
      <x:c r="G1173" s="32" t="str">
        <x:v>V2</x:v>
      </x:c>
      <x:c r="H1173" s="32" t="str">
        <x:v>tension_soil</x:v>
      </x:c>
      <x:c r="I1173" s="32" t="str">
        <x:v>862323089930718</x:v>
      </x:c>
      <x:c r="J1173" s="82"/>
      <x:c r="K1173" s="82" t="n">
        <x:v>-35</x:v>
      </x:c>
      <x:c r="L1173" s="82" t="n">
        <x:v>34</x:v>
      </x:c>
      <x:c r="M1173" s="82" t="n">
        <x:v>24.6</x:v>
      </x:c>
      <x:c r="N1173" s="86" t="n">
        <x:v>962</x:v>
      </x:c>
      <x:c r="O1173" s="90" t="n">
        <x:v>6.42</x:v>
      </x:c>
      <x:c r="P1173" s="150" t="n">
        <x:v>3.92</x:v>
      </x:c>
      <x:c r="Q1173" s="86" t="n">
        <x:v>19</x:v>
      </x:c>
      <x:c r="R1173" s="32"/>
      <x:c r="S1173" s="32" t="str">
        <x:v>ok</x:v>
      </x:c>
      <x:c r="T1173" s="32" t="str">
        <x:v>ok</x:v>
      </x:c>
      <x:c r="U1173" s="32" t="str">
        <x:v>ok</x:v>
      </x:c>
      <x:c r="V1173" s="32" t="str">
        <x:v>ok</x:v>
      </x:c>
      <x:c r="W1173" s="154" t="str">
        <x:v>{"schema_version":1,"imei":"862323089930718","timestamp":1786029353,"report_sequence":49,"task_version":"rice_tension_soil_demo","sensor_mode":"tension_soil","soil_moisture_percent":34,"soil_temperature_c":24.6,"soil_ec_us_cm":962,"soil_ph":6.42,"battery_mv":3920,"csq":19,"soil_rs485_status":"ok","cycle_status":"ok","soil_tension_kpa":-35,"soil_tension_rs485_status":"ok"}</x:v>
      </x:c>
    </x:row>
    <x:row r="1174">
      <x:c r="A1174" s="72" t="n">
        <x:v>46240.969363425924</x:v>
      </x:c>
      <x:c r="B1174" s="72" t="n">
        <x:v>46240.96937731482</x:v>
      </x:c>
      <x:c r="C1174" s="32" t="str">
        <x:v>P19</x:v>
      </x:c>
      <x:c r="D1174" s="32" t="str">
        <x:v>B4-W0-V1</x:v>
      </x:c>
      <x:c r="E1174" s="32" t="str">
        <x:v>B4</x:v>
      </x:c>
      <x:c r="F1174" s="32" t="str">
        <x:v>W0</x:v>
      </x:c>
      <x:c r="G1174" s="32" t="str">
        <x:v>V1</x:v>
      </x:c>
      <x:c r="H1174" s="32" t="str">
        <x:v>water_soil</x:v>
      </x:c>
      <x:c r="I1174" s="32" t="str">
        <x:v>862323089930719</x:v>
      </x:c>
      <x:c r="J1174" s="82" t="n">
        <x:v>32</x:v>
      </x:c>
      <x:c r="K1174" s="82"/>
      <x:c r="L1174" s="82" t="n">
        <x:v>35</x:v>
      </x:c>
      <x:c r="M1174" s="82" t="n">
        <x:v>24.6</x:v>
      </x:c>
      <x:c r="N1174" s="86" t="n">
        <x:v>973</x:v>
      </x:c>
      <x:c r="O1174" s="90" t="n">
        <x:v>6.47</x:v>
      </x:c>
      <x:c r="P1174" s="150" t="n">
        <x:v>3.938</x:v>
      </x:c>
      <x:c r="Q1174" s="86" t="n">
        <x:v>20</x:v>
      </x:c>
      <x:c r="R1174" s="32" t="str">
        <x:v>ok</x:v>
      </x:c>
      <x:c r="S1174" s="32"/>
      <x:c r="T1174" s="32" t="str">
        <x:v>ok</x:v>
      </x:c>
      <x:c r="U1174" s="32" t="str">
        <x:v>ok</x:v>
      </x:c>
      <x:c r="V1174" s="32" t="str">
        <x:v>ok</x:v>
      </x:c>
      <x:c r="W1174" s="154" t="str">
        <x:v>{"schema_version":1,"imei":"862323089930719","timestamp":1786029353,"report_sequence":49,"task_version":"rice_w0_water_soil_demo","sensor_mode":"water_soil","soil_moisture_percent":35,"soil_temperature_c":24.6,"soil_ec_us_cm":973,"soil_ph":6.47,"battery_mv":3938,"csq":20,"soil_rs485_status":"ok","cycle_status":"ok","water_level_mm":32,"water_4_20ma_status":"ok"}</x:v>
      </x:c>
    </x:row>
    <x:row r="1175">
      <x:c r="A1175" s="72" t="n">
        <x:v>46240.969363425924</x:v>
      </x:c>
      <x:c r="B1175" s="72" t="n">
        <x:v>46240.96937731482</x:v>
      </x:c>
      <x:c r="C1175" s="32" t="str">
        <x:v>P20</x:v>
      </x:c>
      <x:c r="D1175" s="32" t="str">
        <x:v>B4-W0-V2</x:v>
      </x:c>
      <x:c r="E1175" s="32" t="str">
        <x:v>B4</x:v>
      </x:c>
      <x:c r="F1175" s="32" t="str">
        <x:v>W0</x:v>
      </x:c>
      <x:c r="G1175" s="32" t="str">
        <x:v>V2</x:v>
      </x:c>
      <x:c r="H1175" s="32" t="str">
        <x:v>water_soil</x:v>
      </x:c>
      <x:c r="I1175" s="32" t="str">
        <x:v>862323089930720</x:v>
      </x:c>
      <x:c r="J1175" s="82" t="n">
        <x:v>23.2</x:v>
      </x:c>
      <x:c r="K1175" s="82"/>
      <x:c r="L1175" s="82" t="n">
        <x:v>36.1</x:v>
      </x:c>
      <x:c r="M1175" s="82" t="n">
        <x:v>24.6</x:v>
      </x:c>
      <x:c r="N1175" s="86" t="n">
        <x:v>986</x:v>
      </x:c>
      <x:c r="O1175" s="90" t="n">
        <x:v>6.27</x:v>
      </x:c>
      <x:c r="P1175" s="150" t="n">
        <x:v>3.956</x:v>
      </x:c>
      <x:c r="Q1175" s="86" t="n">
        <x:v>21</x:v>
      </x:c>
      <x:c r="R1175" s="32" t="str">
        <x:v>ok</x:v>
      </x:c>
      <x:c r="S1175" s="32"/>
      <x:c r="T1175" s="32" t="str">
        <x:v>ok</x:v>
      </x:c>
      <x:c r="U1175" s="32" t="str">
        <x:v>ok</x:v>
      </x:c>
      <x:c r="V1175" s="32" t="str">
        <x:v>ok</x:v>
      </x:c>
      <x:c r="W1175" s="154" t="str">
        <x:v>{"schema_version":1,"imei":"862323089930720","timestamp":1786029353,"report_sequence":49,"task_version":"rice_w0_water_soil_demo","sensor_mode":"water_soil","soil_moisture_percent":36.1,"soil_temperature_c":24.6,"soil_ec_us_cm":986,"soil_ph":6.27,"battery_mv":3956,"csq":21,"soil_rs485_status":"ok","cycle_status":"ok","water_level_mm":23.2,"water_4_20ma_status":"ok"}</x:v>
      </x:c>
    </x:row>
    <x:row r="1176">
      <x:c r="A1176" s="72" t="n">
        <x:v>46240.969363425924</x:v>
      </x:c>
      <x:c r="B1176" s="72" t="n">
        <x:v>46240.96937731482</x:v>
      </x:c>
      <x:c r="C1176" s="32" t="str">
        <x:v>P21</x:v>
      </x:c>
      <x:c r="D1176" s="32" t="str">
        <x:v>B4-W1-V1</x:v>
      </x:c>
      <x:c r="E1176" s="32" t="str">
        <x:v>B4</x:v>
      </x:c>
      <x:c r="F1176" s="32" t="str">
        <x:v>W1</x:v>
      </x:c>
      <x:c r="G1176" s="32" t="str">
        <x:v>V1</x:v>
      </x:c>
      <x:c r="H1176" s="32" t="str">
        <x:v>tension_soil</x:v>
      </x:c>
      <x:c r="I1176" s="32" t="str">
        <x:v>862323089930721</x:v>
      </x:c>
      <x:c r="J1176" s="82"/>
      <x:c r="K1176" s="82" t="n">
        <x:v>-22.3</x:v>
      </x:c>
      <x:c r="L1176" s="82" t="n">
        <x:v>37.3</x:v>
      </x:c>
      <x:c r="M1176" s="82" t="n">
        <x:v>24.7</x:v>
      </x:c>
      <x:c r="N1176" s="86" t="n">
        <x:v>1002</x:v>
      </x:c>
      <x:c r="O1176" s="90" t="n">
        <x:v>6.32</x:v>
      </x:c>
      <x:c r="P1176" s="150" t="n">
        <x:v>3.974</x:v>
      </x:c>
      <x:c r="Q1176" s="86" t="n">
        <x:v>22</x:v>
      </x:c>
      <x:c r="R1176" s="32"/>
      <x:c r="S1176" s="32" t="str">
        <x:v>ok</x:v>
      </x:c>
      <x:c r="T1176" s="32" t="str">
        <x:v>ok</x:v>
      </x:c>
      <x:c r="U1176" s="32" t="str">
        <x:v>ok</x:v>
      </x:c>
      <x:c r="V1176" s="32" t="str">
        <x:v>ok</x:v>
      </x:c>
      <x:c r="W1176" s="154" t="str">
        <x:v>{"schema_version":1,"imei":"862323089930721","timestamp":1786029353,"report_sequence":49,"task_version":"rice_tension_soil_demo","sensor_mode":"tension_soil","soil_moisture_percent":37.3,"soil_temperature_c":24.7,"soil_ec_us_cm":1002,"soil_ph":6.32,"battery_mv":3974,"csq":22,"soil_rs485_status":"ok","cycle_status":"ok","soil_tension_kpa":-22.3,"soil_tension_rs485_status":"ok"}</x:v>
      </x:c>
    </x:row>
    <x:row r="1177">
      <x:c r="A1177" s="72" t="n">
        <x:v>46240.969363425924</x:v>
      </x:c>
      <x:c r="B1177" s="72" t="n">
        <x:v>46240.96937731482</x:v>
      </x:c>
      <x:c r="C1177" s="32" t="str">
        <x:v>P22</x:v>
      </x:c>
      <x:c r="D1177" s="32" t="str">
        <x:v>B4-W1-V2</x:v>
      </x:c>
      <x:c r="E1177" s="32" t="str">
        <x:v>B4</x:v>
      </x:c>
      <x:c r="F1177" s="32" t="str">
        <x:v>W1</x:v>
      </x:c>
      <x:c r="G1177" s="32" t="str">
        <x:v>V2</x:v>
      </x:c>
      <x:c r="H1177" s="32" t="str">
        <x:v>tension_soil</x:v>
      </x:c>
      <x:c r="I1177" s="32" t="str">
        <x:v>862323089930722</x:v>
      </x:c>
      <x:c r="J1177" s="82"/>
      <x:c r="K1177" s="82" t="n">
        <x:v>-23.6</x:v>
      </x:c>
      <x:c r="L1177" s="82" t="n">
        <x:v>38.6</x:v>
      </x:c>
      <x:c r="M1177" s="82" t="n">
        <x:v>24.7</x:v>
      </x:c>
      <x:c r="N1177" s="86" t="n">
        <x:v>1019</x:v>
      </x:c>
      <x:c r="O1177" s="90" t="n">
        <x:v>6.38</x:v>
      </x:c>
      <x:c r="P1177" s="150" t="n">
        <x:v>3.992</x:v>
      </x:c>
      <x:c r="Q1177" s="86" t="n">
        <x:v>23</x:v>
      </x:c>
      <x:c r="R1177" s="32"/>
      <x:c r="S1177" s="32" t="str">
        <x:v>ok</x:v>
      </x:c>
      <x:c r="T1177" s="32" t="str">
        <x:v>ok</x:v>
      </x:c>
      <x:c r="U1177" s="32" t="str">
        <x:v>ok</x:v>
      </x:c>
      <x:c r="V1177" s="32" t="str">
        <x:v>ok</x:v>
      </x:c>
      <x:c r="W1177" s="154" t="str">
        <x:v>{"schema_version":1,"imei":"862323089930722","timestamp":1786029353,"report_sequence":49,"task_version":"rice_tension_soil_demo","sensor_mode":"tension_soil","soil_moisture_percent":38.6,"soil_temperature_c":24.7,"soil_ec_us_cm":1019,"soil_ph":6.38,"battery_mv":3992,"csq":23,"soil_rs485_status":"ok","cycle_status":"ok","soil_tension_kpa":-23.6,"soil_tension_rs485_status":"ok"}</x:v>
      </x:c>
    </x:row>
    <x:row r="1178">
      <x:c r="A1178" s="72" t="n">
        <x:v>46240.969363425924</x:v>
      </x:c>
      <x:c r="B1178" s="72" t="n">
        <x:v>46240.96937731482</x:v>
      </x:c>
      <x:c r="C1178" s="32" t="str">
        <x:v>P23</x:v>
      </x:c>
      <x:c r="D1178" s="32" t="str">
        <x:v>B4-W2-V1</x:v>
      </x:c>
      <x:c r="E1178" s="32" t="str">
        <x:v>B4</x:v>
      </x:c>
      <x:c r="F1178" s="32" t="str">
        <x:v>W2</x:v>
      </x:c>
      <x:c r="G1178" s="32" t="str">
        <x:v>V1</x:v>
      </x:c>
      <x:c r="H1178" s="32" t="str">
        <x:v>tension_soil</x:v>
      </x:c>
      <x:c r="I1178" s="32" t="str">
        <x:v>862323089930723</x:v>
      </x:c>
      <x:c r="J1178" s="82"/>
      <x:c r="K1178" s="82" t="n">
        <x:v>-36</x:v>
      </x:c>
      <x:c r="L1178" s="82" t="n">
        <x:v>40</x:v>
      </x:c>
      <x:c r="M1178" s="82" t="n">
        <x:v>24.8</x:v>
      </x:c>
      <x:c r="N1178" s="86" t="n">
        <x:v>1038</x:v>
      </x:c>
      <x:c r="O1178" s="90" t="n">
        <x:v>6.43</x:v>
      </x:c>
      <x:c r="P1178" s="150" t="n">
        <x:v>4.01</x:v>
      </x:c>
      <x:c r="Q1178" s="86" t="n">
        <x:v>24</x:v>
      </x:c>
      <x:c r="R1178" s="32"/>
      <x:c r="S1178" s="32" t="str">
        <x:v>ok</x:v>
      </x:c>
      <x:c r="T1178" s="32" t="str">
        <x:v>ok</x:v>
      </x:c>
      <x:c r="U1178" s="32" t="str">
        <x:v>ok</x:v>
      </x:c>
      <x:c r="V1178" s="32" t="str">
        <x:v>ok</x:v>
      </x:c>
      <x:c r="W1178" s="154" t="str">
        <x:v>{"schema_version":1,"imei":"862323089930723","timestamp":1786029353,"report_sequence":49,"task_version":"rice_tension_soil_demo","sensor_mode":"tension_soil","soil_moisture_percent":40,"soil_temperature_c":24.8,"soil_ec_us_cm":1038,"soil_ph":6.43,"battery_mv":4010,"csq":24,"soil_rs485_status":"ok","cycle_status":"ok","soil_tension_kpa":-36,"soil_tension_rs485_status":"ok"}</x:v>
      </x:c>
    </x:row>
    <x:row r="1179">
      <x:c r="A1179" s="73" t="n">
        <x:v>46240.969363425924</x:v>
      </x:c>
      <x:c r="B1179" s="73" t="n">
        <x:v>46240.96937731482</x:v>
      </x:c>
      <x:c r="C1179" s="33" t="str">
        <x:v>P24</x:v>
      </x:c>
      <x:c r="D1179" s="33" t="str">
        <x:v>B4-W2-V2</x:v>
      </x:c>
      <x:c r="E1179" s="33" t="str">
        <x:v>B4</x:v>
      </x:c>
      <x:c r="F1179" s="33" t="str">
        <x:v>W2</x:v>
      </x:c>
      <x:c r="G1179" s="33" t="str">
        <x:v>V2</x:v>
      </x:c>
      <x:c r="H1179" s="33" t="str">
        <x:v>tension_soil</x:v>
      </x:c>
      <x:c r="I1179" s="33" t="str">
        <x:v>862323089930724</x:v>
      </x:c>
      <x:c r="J1179" s="83"/>
      <x:c r="K1179" s="83" t="n">
        <x:v>-37.4</x:v>
      </x:c>
      <x:c r="L1179" s="83" t="n">
        <x:v>33.4</x:v>
      </x:c>
      <x:c r="M1179" s="83" t="n">
        <x:v>25</x:v>
      </x:c>
      <x:c r="N1179" s="87" t="n">
        <x:v>1058</x:v>
      </x:c>
      <x:c r="O1179" s="91" t="n">
        <x:v>6.49</x:v>
      </x:c>
      <x:c r="P1179" s="151" t="n">
        <x:v>3.92</x:v>
      </x:c>
      <x:c r="Q1179" s="87" t="n">
        <x:v>17</x:v>
      </x:c>
      <x:c r="R1179" s="33"/>
      <x:c r="S1179" s="33" t="str">
        <x:v>ok</x:v>
      </x:c>
      <x:c r="T1179" s="33" t="str">
        <x:v>ok</x:v>
      </x:c>
      <x:c r="U1179" s="33" t="str">
        <x:v>ok</x:v>
      </x:c>
      <x:c r="V1179" s="33" t="str">
        <x:v>ok</x:v>
      </x:c>
      <x:c r="W1179" s="155" t="str">
        <x:v>{"schema_version":1,"imei":"862323089930724","timestamp":1786029353,"report_sequence":49,"task_version":"rice_tension_soil_demo","sensor_mode":"tension_soil","soil_moisture_percent":33.4,"soil_temperature_c":25,"soil_ec_us_cm":1058,"soil_ph":6.49,"battery_mv":3920,"csq":17,"soil_rs485_status":"ok","cycle_status":"ok","soil_tension_kpa":-37.4,"soil_tension_rs485_status":"ok"}</x:v>
      </x:c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2af158b8464f4954"/>
  </x:tableParts>
</x:worksheet>
</file>